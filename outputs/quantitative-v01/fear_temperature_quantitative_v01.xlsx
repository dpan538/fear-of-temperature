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23169f0c6bb45aa" /></Relationships>
</file>

<file path=xl/workbook.xml><?xml version="1.0" encoding="utf-8"?>
<x:workbook xmlns:x="http://schemas.openxmlformats.org/spreadsheetml/2006/main">
  <x:sheets>
    <x:sheet xmlns:r="http://schemas.openxmlformats.org/officeDocument/2006/relationships" name="Supervisor Dashboard" sheetId="1" r:id="R0ea1c20232ad42c7"/>
    <x:sheet xmlns:r="http://schemas.openxmlformats.org/officeDocument/2006/relationships" name="Keyword Discovery Method" sheetId="2" r:id="Rb279ffdc4abc4eb7"/>
    <x:sheet xmlns:r="http://schemas.openxmlformats.org/officeDocument/2006/relationships" name="Summary" sheetId="3" r:id="Rda2212d2a7534e22"/>
    <x:sheet xmlns:r="http://schemas.openxmlformats.org/officeDocument/2006/relationships" name="Priority 180 Coverage" sheetId="4" r:id="Re161c220336e4133"/>
    <x:sheet xmlns:r="http://schemas.openxmlformats.org/officeDocument/2006/relationships" name="Ngram Coverage" sheetId="5" r:id="R21123f0ee10c40d8"/>
    <x:sheet xmlns:r="http://schemas.openxmlformats.org/officeDocument/2006/relationships" name="Dictionary 180" sheetId="6" r:id="Rba6bf07d34134af9"/>
    <x:sheet xmlns:r="http://schemas.openxmlformats.org/officeDocument/2006/relationships" name="Search 180" sheetId="7" r:id="Ra9af7fe860d849ea"/>
    <x:sheet xmlns:r="http://schemas.openxmlformats.org/officeDocument/2006/relationships" name="Seed Ledger" sheetId="8" r:id="R79051e4b104240f9"/>
    <x:sheet xmlns:r="http://schemas.openxmlformats.org/officeDocument/2006/relationships" name="Master Frequency" sheetId="9" r:id="R6fe5dc87ad8747ac"/>
    <x:sheet xmlns:r="http://schemas.openxmlformats.org/officeDocument/2006/relationships" name="Anchor Matrix" sheetId="10" r:id="Rb26a0a9f2b3f4d18"/>
    <x:sheet xmlns:r="http://schemas.openxmlformats.org/officeDocument/2006/relationships" name="Family Summary" sheetId="11" r:id="R5571667cd9c24dcf"/>
    <x:sheet xmlns:r="http://schemas.openxmlformats.org/officeDocument/2006/relationships" name="Voice Matrix" sheetId="12" r:id="R38cc0b67bab14386"/>
    <x:sheet xmlns:r="http://schemas.openxmlformats.org/officeDocument/2006/relationships" name="Query Audit" sheetId="13" r:id="R40c65f8a0a1e4ebd"/>
    <x:sheet xmlns:r="http://schemas.openxmlformats.org/officeDocument/2006/relationships" name="Ngram Status" sheetId="14" r:id="R1fd6edfd19564f0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000000000E+00"/>
    <x:numFmt numFmtId="202" formatCode="yyyy-mm-dd hh:mm:ss"/>
    <x:numFmt numFmtId="203" formatCode="0.0000"/>
  </x:numFmts>
  <x:fonts count="38">
    <x:font>
      <x:sz val="11"/>
      <x:name val="Carlito"/>
    </x:font>
    <x:font>
      <x:b/>
      <x:sz val="18"/>
      <x:color rgb="FFFFFFFF"/>
      <x:name val="Arial"/>
    </x:font>
    <x:font>
      <x:i/>
      <x:sz val="10"/>
      <x:color rgb="FF17324D"/>
      <x:name val="Arial"/>
    </x:font>
    <x:font>
      <x:sz val="9"/>
      <x:color rgb="FF243B53"/>
      <x:name val="Arial"/>
    </x:font>
    <x:font>
      <x:b/>
      <x:sz val="9"/>
      <x:color rgb="FFFFFFFF"/>
      <x:name val="Arial"/>
    </x:font>
    <x:font>
      <x:b/>
      <x:sz val="12"/>
      <x:color rgb="FFFFFFFF"/>
      <x:name val="Arial"/>
    </x:font>
    <x:font>
      <x:i/>
      <x:sz val="9"/>
      <x:color rgb="FF6B5CA5"/>
      <x:name val="Arial"/>
    </x:font>
    <x:font>
      <x:b/>
      <x:sz val="21"/>
      <x:color rgb="FFFFFFFF"/>
      <x:name val="Arial"/>
    </x:font>
    <x:font>
      <x:b/>
      <x:sz val="11"/>
      <x:color rgb="FFFFFFFF"/>
      <x:name val="Arial"/>
    </x:font>
    <x:font>
      <x:sz val="10"/>
      <x:color rgb="FF243B53"/>
      <x:name val="Arial"/>
    </x:font>
    <x:font>
      <x:b/>
      <x:sz val="10"/>
      <x:color rgb="FF17324D"/>
      <x:name val="Arial"/>
    </x:font>
    <x:font>
      <x:b/>
      <x:sz val="12"/>
      <x:color rgb="FF2E7D5B"/>
      <x:name val="Arial"/>
    </x:font>
    <x:font>
      <x:b/>
      <x:sz val="10"/>
      <x:color rgb="FF2E7D5B"/>
      <x:name val="Arial"/>
    </x:font>
    <x:font>
      <x:b/>
      <x:sz val="10"/>
      <x:color rgb="FFFFFFFF"/>
      <x:name val="Arial"/>
    </x:font>
    <x:font>
      <x:b/>
      <x:sz val="11"/>
      <x:color rgb="FF7B341E"/>
      <x:name val="Arial"/>
    </x:font>
    <x:font>
      <x:b/>
      <x:sz val="11"/>
      <x:color rgb="FF0B6E75"/>
      <x:name val="Arial"/>
    </x:font>
    <x:font>
      <x:i/>
      <x:sz val="10"/>
      <x:color rgb="FF667085"/>
      <x:name val="Arial"/>
    </x:font>
    <x:font>
      <x:b/>
      <x:sz val="22"/>
      <x:color rgb="FFFFFFFF"/>
      <x:name val="Arial"/>
    </x:font>
    <x:font>
      <x:i/>
      <x:sz val="11"/>
      <x:color rgb="FF17324D"/>
      <x:name val="Arial"/>
    </x:font>
    <x:font>
      <x:sz val="11"/>
      <x:color rgb="FF17324D"/>
      <x:name val="Arial"/>
    </x:font>
    <x:font>
      <x:b/>
      <x:sz val="10"/>
      <x:color rgb="FF243B53"/>
      <x:name val="Arial"/>
    </x:font>
    <x:font>
      <x:sz val="18"/>
      <x:color rgb="FF6B5CA5"/>
      <x:name val="Arial"/>
    </x:font>
    <x:font>
      <x:sz val="18"/>
      <x:color rgb="FF0B6E75"/>
      <x:name val="Arial"/>
    </x:font>
    <x:font>
      <x:b/>
      <x:sz val="12"/>
      <x:color rgb="FF7B341E"/>
      <x:name val="Arial"/>
    </x:font>
    <x:font>
      <x:sz val="10"/>
      <x:color rgb="FF243B53"/>
      <x:name val="Arial"/>
    </x:font>
    <x:font>
      <x:sz val="11"/>
      <x:color rgb="FF243B53"/>
      <x:name val="Arial"/>
    </x:font>
    <x:font>
      <x:sz val="11"/>
      <x:name val="Arial"/>
    </x:font>
    <x:font>
      <x:b/>
      <x:sz val="24"/>
      <x:color rgb="FFFFFFFF"/>
      <x:name val="Arial"/>
    </x:font>
    <x:font>
      <x:b/>
      <x:sz val="10"/>
      <x:color rgb="FF0B6E75"/>
      <x:name val="Arial"/>
    </x:font>
    <x:font>
      <x:b/>
      <x:sz val="14"/>
      <x:color rgb="FF102A43"/>
      <x:name val="Arial"/>
    </x:font>
    <x:font>
      <x:b/>
      <x:sz val="10"/>
      <x:color rgb="FF6B5CA5"/>
      <x:name val="Arial"/>
    </x:font>
    <x:font>
      <x:b/>
      <x:sz val="10"/>
      <x:color rgb="FF7B5B12"/>
      <x:name val="Arial"/>
    </x:font>
    <x:font>
      <x:b/>
      <x:sz val="10"/>
      <x:color rgb="FFB42318"/>
      <x:name val="Arial"/>
    </x:font>
    <x:font>
      <x:b/>
      <x:sz val="10"/>
      <x:color rgb="FF667085"/>
      <x:name val="Arial"/>
    </x:font>
    <x:font>
      <x:b/>
      <x:sz val="10"/>
      <x:color rgb="FF175CD3"/>
      <x:name val="Arial"/>
    </x:font>
    <x:font>
      <x:i/>
      <x:sz val="9"/>
      <x:color rgb="FF0B6E75"/>
      <x:name val="Arial"/>
    </x:font>
    <x:font>
      <x:b/>
      <x:sz val="11"/>
      <x:color rgb="FF102A43"/>
      <x:name val="Arial"/>
    </x:font>
    <x:font>
      <x:b/>
      <x:sz val="15"/>
      <x:color rgb="FF7B5B12"/>
      <x:name val="Arial"/>
    </x:font>
  </x:fonts>
  <x:fills count="20">
    <x:fill>
      <x:patternFill patternType="none"/>
    </x:fill>
    <x:fill>
      <x:patternFill patternType="gray125"/>
    </x:fill>
    <x:fill>
      <x:patternFill patternType="solid">
        <x:fgColor rgb="FF102A43"/>
      </x:patternFill>
    </x:fill>
    <x:fill>
      <x:patternFill patternType="solid">
        <x:fgColor rgb="FFD9EAF0"/>
      </x:patternFill>
    </x:fill>
    <x:fill>
      <x:patternFill patternType="solid">
        <x:fgColor rgb="FF17324D"/>
      </x:patternFill>
    </x:fill>
    <x:fill>
      <x:patternFill patternType="solid">
        <x:fgColor rgb="FF6B5CA5"/>
      </x:patternFill>
    </x:fill>
    <x:fill>
      <x:patternFill patternType="solid">
        <x:fgColor rgb="FFF3F0F8"/>
      </x:patternFill>
    </x:fill>
    <x:fill>
      <x:patternFill patternType="solid">
        <x:fgColor rgb="FF0B6E75"/>
      </x:patternFill>
    </x:fill>
    <x:fill>
      <x:patternFill patternType="solid">
        <x:fgColor rgb="FFFFFFFF"/>
      </x:patternFill>
    </x:fill>
    <x:fill>
      <x:patternFill patternType="solid">
        <x:fgColor rgb="FFEEF4F7"/>
      </x:patternFill>
    </x:fill>
    <x:fill>
      <x:patternFill patternType="solid">
        <x:fgColor rgb="FFE7F4ED"/>
      </x:patternFill>
    </x:fill>
    <x:fill>
      <x:patternFill patternType="solid">
        <x:fgColor rgb="FFFFF3EC"/>
      </x:patternFill>
    </x:fill>
    <x:fill>
      <x:patternFill patternType="solid">
        <x:fgColor rgb="FFD9F0F0"/>
      </x:patternFill>
    </x:fill>
    <x:fill>
      <x:patternFill patternType="solid">
        <x:fgColor rgb="FFF2F4F7"/>
      </x:patternFill>
    </x:fill>
    <x:fill>
      <x:patternFill patternType="solid">
        <x:fgColor rgb="FFC65D3B"/>
      </x:patternFill>
    </x:fill>
    <x:fill>
      <x:patternFill patternType="solid">
        <x:fgColor rgb="FF667085"/>
      </x:patternFill>
    </x:fill>
    <x:fill>
      <x:patternFill patternType="solid">
        <x:fgColor rgb="FFFFF8E7"/>
      </x:patternFill>
    </x:fill>
    <x:fill>
      <x:patternFill patternType="solid">
        <x:fgColor rgb="FFFDECEC"/>
      </x:patternFill>
    </x:fill>
    <x:fill>
      <x:patternFill patternType="solid">
        <x:fgColor rgb="FFE8F1FB"/>
      </x:patternFill>
    </x:fill>
    <x:fill>
      <x:patternFill patternType="solid">
        <x:fgColor rgb="FFD49B28"/>
      </x:patternFill>
    </x:fill>
  </x:fills>
  <x:borders count="22">
    <x:border/>
    <x:border>
      <x:left style="thin">
        <x:color rgb="FFD9E2EC"/>
      </x:left>
      <x:right style="thin">
        <x:color rgb="FFD9E2EC"/>
      </x:right>
      <x:top style="thin">
        <x:color rgb="FFD9E2EC"/>
      </x:top>
      <x:bottom style="thin">
        <x:color rgb="FFD9E2EC"/>
      </x:bottom>
    </x:border>
    <x:border>
      <x:right style="thin">
        <x:color rgb="FFE8EEF3"/>
      </x:right>
      <x:bottom style="thin">
        <x:color rgb="FFE8EEF3"/>
      </x:bottom>
    </x:border>
    <x:border>
      <x:left style="thin">
        <x:color rgb="FFE8EEF3"/>
      </x:left>
      <x:right style="thin">
        <x:color rgb="FFE8EEF3"/>
      </x:right>
      <x:bottom style="thin">
        <x:color rgb="FFE8EEF3"/>
      </x:bottom>
    </x:border>
    <x:border>
      <x:left style="thin">
        <x:color rgb="FFE8EEF3"/>
      </x:left>
      <x:bottom style="thin">
        <x:color rgb="FFE8EEF3"/>
      </x:bottom>
    </x:border>
    <x:border>
      <x:right style="thin">
        <x:color rgb="FFE8EEF3"/>
      </x:right>
      <x:top style="thin">
        <x:color rgb="FFE8EEF3"/>
      </x:top>
      <x:bottom style="thin">
        <x:color rgb="FFE8EEF3"/>
      </x:bottom>
    </x:border>
    <x:border>
      <x:left style="thin">
        <x:color rgb="FFE8EEF3"/>
      </x:left>
      <x:right style="thin">
        <x:color rgb="FFE8EEF3"/>
      </x:right>
      <x:top style="thin">
        <x:color rgb="FFE8EEF3"/>
      </x:top>
      <x:bottom style="thin">
        <x:color rgb="FFE8EEF3"/>
      </x:bottom>
    </x:border>
    <x:border>
      <x:left style="thin">
        <x:color rgb="FFE8EEF3"/>
      </x:left>
      <x:top style="thin">
        <x:color rgb="FFE8EEF3"/>
      </x:top>
      <x:bottom style="thin">
        <x:color rgb="FFE8EEF3"/>
      </x:bottom>
    </x:border>
    <x:border>
      <x:right style="thin">
        <x:color rgb="FFE8EEF3"/>
      </x:right>
      <x:top style="thin">
        <x:color rgb="FFE8EEF3"/>
      </x:top>
    </x:border>
    <x:border>
      <x:left style="thin">
        <x:color rgb="FFE8EEF3"/>
      </x:left>
      <x:right style="thin">
        <x:color rgb="FFE8EEF3"/>
      </x:right>
      <x:top style="thin">
        <x:color rgb="FFE8EEF3"/>
      </x:top>
    </x:border>
    <x:border>
      <x:left style="thin">
        <x:color rgb="FFE8EEF3"/>
      </x:left>
      <x:top style="thin">
        <x:color rgb="FFE8EEF3"/>
      </x:top>
    </x:border>
    <x:border>
      <x:left style="thin">
        <x:color rgb="FF2E7D5B"/>
      </x:left>
      <x:right style="thin">
        <x:color rgb="FF2E7D5B"/>
      </x:right>
      <x:top style="thin">
        <x:color rgb="FF2E7D5B"/>
      </x:top>
      <x:bottom style="thin">
        <x:color rgb="FF2E7D5B"/>
      </x:bottom>
    </x:border>
    <x:border>
      <x:left style="thin">
        <x:color rgb="FFC65D3B"/>
      </x:left>
      <x:right style="thin">
        <x:color rgb="FFC65D3B"/>
      </x:right>
      <x:top style="thin">
        <x:color rgb="FFC65D3B"/>
      </x:top>
      <x:bottom style="thin">
        <x:color rgb="FFC65D3B"/>
      </x:bottom>
    </x:border>
    <x:border>
      <x:left style="thin">
        <x:color rgb="FF0B6E75"/>
      </x:left>
      <x:right style="thin">
        <x:color rgb="FF0B6E75"/>
      </x:right>
      <x:top style="thin">
        <x:color rgb="FF0B6E75"/>
      </x:top>
      <x:bottom style="thin">
        <x:color rgb="FF0B6E75"/>
      </x:bottom>
    </x:border>
    <x:border>
      <x:left style="medium">
        <x:color rgb="FFC65D3B"/>
      </x:left>
      <x:right style="medium">
        <x:color rgb="FFC65D3B"/>
      </x:right>
      <x:top style="medium">
        <x:color rgb="FFC65D3B"/>
      </x:top>
      <x:bottom style="medium">
        <x:color rgb="FFC65D3B"/>
      </x:bottom>
    </x:border>
    <x:border>
      <x:left style="thin">
        <x:color rgb="FF6B5CA5"/>
      </x:left>
      <x:right style="thin">
        <x:color rgb="FF6B5CA5"/>
      </x:right>
      <x:top style="thin">
        <x:color rgb="FF6B5CA5"/>
      </x:top>
      <x:bottom style="thin">
        <x:color rgb="FF6B5CA5"/>
      </x:bottom>
    </x:border>
    <x:border>
      <x:left style="thin">
        <x:color rgb="FFD49B28"/>
      </x:left>
      <x:right style="thin">
        <x:color rgb="FFD49B28"/>
      </x:right>
      <x:top style="thin">
        <x:color rgb="FFD49B28"/>
      </x:top>
      <x:bottom style="thin">
        <x:color rgb="FFD49B28"/>
      </x:bottom>
    </x:border>
    <x:border>
      <x:left style="thin">
        <x:color rgb="FFB42318"/>
      </x:left>
      <x:right style="thin">
        <x:color rgb="FFB42318"/>
      </x:right>
      <x:top style="thin">
        <x:color rgb="FFB42318"/>
      </x:top>
      <x:bottom style="thin">
        <x:color rgb="FFB42318"/>
      </x:bottom>
    </x:border>
    <x:border>
      <x:left style="thin">
        <x:color rgb="FF667085"/>
      </x:left>
      <x:right style="thin">
        <x:color rgb="FF667085"/>
      </x:right>
      <x:top style="thin">
        <x:color rgb="FF667085"/>
      </x:top>
      <x:bottom style="thin">
        <x:color rgb="FF667085"/>
      </x:bottom>
    </x:border>
    <x:border>
      <x:left style="thin">
        <x:color rgb="FF175CD3"/>
      </x:left>
      <x:right style="thin">
        <x:color rgb="FF175CD3"/>
      </x:right>
      <x:top style="thin">
        <x:color rgb="FF175CD3"/>
      </x:top>
      <x:bottom style="thin">
        <x:color rgb="FF175CD3"/>
      </x:bottom>
    </x:border>
    <x:border>
      <x:left style="medium">
        <x:color rgb="FF0B6E75"/>
      </x:left>
      <x:right style="medium">
        <x:color rgb="FF0B6E75"/>
      </x:right>
      <x:top style="medium">
        <x:color rgb="FF0B6E75"/>
      </x:top>
      <x:bottom style="medium">
        <x:color rgb="FF0B6E75"/>
      </x:bottom>
    </x:border>
    <x:border>
      <x:left style="medium">
        <x:color rgb="FFD49B28"/>
      </x:left>
      <x:right style="medium">
        <x:color rgb="FFD49B28"/>
      </x:right>
      <x:top style="medium">
        <x:color rgb="FFD49B28"/>
      </x:top>
      <x:bottom style="medium">
        <x:color rgb="FFD49B28"/>
      </x:bottom>
    </x:border>
  </x:borders>
  <x:cellStyleXfs count="1">
    <x:xf numFmtId="0" fontId="0" fillId="0" borderId="0"/>
  </x:cellStyleXfs>
  <x:cellXfs count="22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applyAlignment="1">
      <x:alignment vertical="top"/>
    </x:xf>
    <x:xf numFmtId="0" fontId="3" fillId="4" borderId="0" xfId="0" applyNumberFormat="1" applyFont="1" applyFill="1" applyBorder="1" applyAlignment="1">
      <x:alignment vertical="top"/>
    </x:xf>
    <x:xf numFmtId="0" fontId="4" fillId="4" borderId="0" xfId="0" applyNumberFormat="1" applyFont="1" applyFill="1" applyBorder="1" applyAlignment="1">
      <x:alignment vertical="top"/>
    </x:xf>
    <x:xf numFmtId="0" fontId="4" fillId="4" borderId="1" xfId="0" applyNumberFormat="1" applyFont="1" applyFill="1" applyBorder="1" applyAlignment="1">
      <x:alignment vertical="top"/>
    </x:xf>
    <x:xf numFmtId="0" fontId="4" fillId="4" borderId="1" xfId="0" applyNumberFormat="1" applyFont="1" applyFill="1" applyBorder="1" applyAlignment="1">
      <x:alignment vertical="top" wrapText="1"/>
    </x:xf>
    <x:xf numFmtId="0" fontId="4" fillId="4" borderId="1" xfId="0" applyNumberFormat="1" applyFont="1" applyFill="1" applyBorder="1" applyAlignment="1">
      <x:alignment vertical="center" wrapText="1"/>
    </x:xf>
    <x:xf numFmtId="0" fontId="3" fillId="0" borderId="2" xfId="0" applyNumberFormat="1" applyFont="1" applyFill="1" applyBorder="1" applyAlignment="1">
      <x:alignment vertical="top"/>
    </x:xf>
    <x:xf numFmtId="0" fontId="3" fillId="0" borderId="3" xfId="0" applyNumberFormat="1" applyFont="1" applyFill="1" applyBorder="1" applyAlignment="1">
      <x:alignment vertical="top"/>
    </x:xf>
    <x:xf numFmtId="0" fontId="3" fillId="0" borderId="4" xfId="0" applyNumberFormat="1" applyFont="1" applyFill="1" applyBorder="1" applyAlignment="1">
      <x:alignment vertical="top"/>
    </x:xf>
    <x:xf numFmtId="0" fontId="3" fillId="0" borderId="5" xfId="0" applyNumberFormat="1" applyFont="1" applyFill="1" applyBorder="1" applyAlignment="1">
      <x:alignment vertical="top"/>
    </x:xf>
    <x:xf numFmtId="0" fontId="3" fillId="0" borderId="6" xfId="0" applyNumberFormat="1" applyFont="1" applyFill="1" applyBorder="1" applyAlignment="1">
      <x:alignment vertical="top"/>
    </x:xf>
    <x:xf numFmtId="0" fontId="3" fillId="0" borderId="7" xfId="0" applyNumberFormat="1" applyFont="1" applyFill="1" applyBorder="1" applyAlignment="1">
      <x:alignment vertical="top"/>
    </x:xf>
    <x:xf numFmtId="0" fontId="3" fillId="0" borderId="8" xfId="0" applyNumberFormat="1" applyFont="1" applyFill="1" applyBorder="1" applyAlignment="1">
      <x:alignment vertical="top"/>
    </x:xf>
    <x:xf numFmtId="0" fontId="3" fillId="0" borderId="9" xfId="0" applyNumberFormat="1" applyFont="1" applyFill="1" applyBorder="1" applyAlignment="1">
      <x:alignment vertical="top"/>
    </x:xf>
    <x:xf numFmtId="0" fontId="3" fillId="0" borderId="10" xfId="0" applyNumberFormat="1" applyFont="1" applyFill="1" applyBorder="1" applyAlignment="1">
      <x:alignment vertical="top"/>
    </x:xf>
    <x:xf numFmtId="0" fontId="3" fillId="0" borderId="2"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0" fontId="3" fillId="0" borderId="3" xfId="0" applyNumberFormat="1" applyFont="1" applyFill="1" applyBorder="1" applyAlignment="1">
      <x:alignment vertical="top"/>
    </x:xf>
    <x:xf numFmtId="200" fontId="3" fillId="0" borderId="6" xfId="0" applyNumberFormat="1" applyFont="1" applyFill="1" applyBorder="1" applyAlignment="1">
      <x:alignment vertical="top"/>
    </x:xf>
    <x:xf numFmtId="200" fontId="3" fillId="0" borderId="9" xfId="0" applyNumberFormat="1" applyFont="1" applyFill="1" applyBorder="1" applyAlignment="1">
      <x:alignment vertical="top"/>
    </x:xf>
    <x:xf numFmtId="0" fontId="3" fillId="0" borderId="3"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3" fillId="0" borderId="9" xfId="0" applyNumberFormat="1" applyFont="1" applyFill="1" applyBorder="1" applyAlignment="1">
      <x:alignment vertical="top" wrapText="1"/>
    </x:xf>
    <x:xf numFmtId="201" fontId="3" fillId="0" borderId="3" xfId="0" applyNumberFormat="1" applyFont="1" applyFill="1" applyBorder="1" applyAlignment="1">
      <x:alignment vertical="top"/>
    </x:xf>
    <x:xf numFmtId="201" fontId="3" fillId="0" borderId="6" xfId="0" applyNumberFormat="1" applyFont="1" applyFill="1" applyBorder="1" applyAlignment="1">
      <x:alignment vertical="top"/>
    </x:xf>
    <x:xf numFmtId="201" fontId="3" fillId="0" borderId="9"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6"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9" xfId="0" applyNumberFormat="1" applyFont="1" applyFill="1" applyBorder="1" applyAlignment="1">
      <x:alignment vertical="top"/>
      <x:extLst>
        <x:ext uri="{C7286773-470A-42A8-94C5-96B5CB345126}">
          <xfpb:xfComplement xmlns:xfpb="http://schemas.microsoft.com/office/spreadsheetml/2022/featurepropertybag" i="0"/>
        </x:ext>
      </x:extLst>
    </x:xf>
    <x:xf numFmtId="202" fontId="3" fillId="0" borderId="3" xfId="0" applyNumberFormat="1" applyFont="1" applyFill="1" applyBorder="1" applyAlignment="1">
      <x:alignment vertical="top"/>
    </x:xf>
    <x:xf numFmtId="202" fontId="3" fillId="0" borderId="6" xfId="0" applyNumberFormat="1" applyFont="1" applyFill="1" applyBorder="1" applyAlignment="1">
      <x:alignment vertical="top"/>
    </x:xf>
    <x:xf numFmtId="202" fontId="3" fillId="0" borderId="9" xfId="0" applyNumberFormat="1" applyFont="1" applyFill="1" applyBorder="1" applyAlignment="1">
      <x:alignment vertical="top"/>
    </x:xf>
    <x:xf numFmtId="0" fontId="3" fillId="0" borderId="4"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4" fillId="5" borderId="0" xfId="0" applyNumberFormat="1" applyFont="1" applyFill="1" applyBorder="1"/>
    <x:xf numFmtId="0" fontId="4" fillId="5" borderId="0" xfId="0" applyNumberFormat="1" applyFont="1" applyFill="1" applyBorder="1" applyAlignment="1">
      <x:alignment wrapText="1"/>
    </x:xf>
    <x:xf numFmtId="0" fontId="0" fillId="0" borderId="0" xfId="0" applyNumberFormat="1" applyFont="1" applyFill="1" applyBorder="1" applyAlignment="1">
      <x:alignment wrapText="1"/>
    </x:xf>
    <x:xf numFmtId="200" fontId="3" fillId="0" borderId="4" xfId="0" applyNumberFormat="1" applyFont="1" applyFill="1" applyBorder="1" applyAlignment="1">
      <x:alignment vertical="top"/>
    </x:xf>
    <x:xf numFmtId="200" fontId="3" fillId="0" borderId="7" xfId="0" applyNumberFormat="1" applyFont="1" applyFill="1" applyBorder="1" applyAlignment="1">
      <x:alignment vertical="top"/>
    </x:xf>
    <x:xf numFmtId="200" fontId="3" fillId="0" borderId="10" xfId="0" applyNumberFormat="1" applyFont="1" applyFill="1" applyBorder="1" applyAlignment="1">
      <x:alignment vertical="top"/>
    </x:xf>
    <x:xf numFmtId="201" fontId="3" fillId="0" borderId="3" xfId="0" applyNumberFormat="1" applyFont="1" applyFill="1" applyBorder="1" applyAlignment="1">
      <x:alignment vertical="top" wrapText="1"/>
    </x:xf>
    <x:xf numFmtId="201" fontId="3" fillId="0" borderId="6"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0" fillId="7" borderId="0" xfId="0" applyNumberFormat="1" applyFont="1" applyFill="1" applyBorder="1"/>
    <x:xf numFmtId="0" fontId="8" fillId="7" borderId="0" xfId="0" applyNumberFormat="1" applyFont="1" applyFill="1" applyBorder="1"/>
    <x:xf numFmtId="0" fontId="0" fillId="8" borderId="0" xfId="0" applyNumberFormat="1" applyFont="1" applyFill="1" applyBorder="1"/>
    <x:xf numFmtId="0" fontId="9" fillId="8" borderId="0" xfId="0" applyNumberFormat="1" applyFont="1" applyFill="1" applyBorder="1"/>
    <x:xf numFmtId="0" fontId="9" fillId="8" borderId="1" xfId="0" applyNumberFormat="1" applyFont="1" applyFill="1" applyBorder="1"/>
    <x:xf numFmtId="0" fontId="9" fillId="8" borderId="1" xfId="0" applyNumberFormat="1" applyFont="1" applyFill="1" applyBorder="1" applyAlignment="1">
      <x:alignment wrapText="1"/>
    </x:xf>
    <x:xf numFmtId="0" fontId="9" fillId="8" borderId="1" xfId="0" applyNumberFormat="1" applyFont="1" applyFill="1" applyBorder="1" applyAlignment="1">
      <x:alignment vertical="center" wrapText="1"/>
    </x:xf>
    <x:xf numFmtId="0" fontId="9" fillId="9" borderId="1" xfId="0" applyNumberFormat="1" applyFont="1" applyFill="1" applyBorder="1" applyAlignment="1">
      <x:alignment vertical="center" wrapText="1"/>
    </x:xf>
    <x:xf numFmtId="0" fontId="10" fillId="9" borderId="1" xfId="0" applyNumberFormat="1" applyFont="1" applyFill="1" applyBorder="1" applyAlignment="1">
      <x:alignment vertical="center" wrapText="1"/>
    </x:xf>
    <x:xf numFmtId="0" fontId="9" fillId="10" borderId="1" xfId="0" applyNumberFormat="1" applyFont="1" applyFill="1" applyBorder="1" applyAlignment="1">
      <x:alignment vertical="center" wrapText="1"/>
    </x:xf>
    <x:xf numFmtId="0" fontId="11" fillId="10" borderId="1" xfId="0" applyNumberFormat="1" applyFont="1" applyFill="1" applyBorder="1" applyAlignment="1">
      <x:alignment vertical="center" wrapText="1"/>
    </x:xf>
    <x:xf numFmtId="0" fontId="11" fillId="10" borderId="11" xfId="0" applyNumberFormat="1" applyFont="1" applyFill="1" applyBorder="1" applyAlignment="1">
      <x:alignment vertical="center" wrapText="1"/>
    </x:xf>
    <x:xf numFmtId="0" fontId="10" fillId="10" borderId="1" xfId="0" applyNumberFormat="1" applyFont="1" applyFill="1" applyBorder="1" applyAlignment="1">
      <x:alignment vertical="center" wrapText="1"/>
    </x:xf>
    <x:xf numFmtId="0" fontId="12" fillId="10" borderId="1" xfId="0" applyNumberFormat="1" applyFont="1" applyFill="1" applyBorder="1" applyAlignment="1">
      <x:alignment vertical="center" wrapText="1"/>
    </x:xf>
    <x:xf numFmtId="0" fontId="12" fillId="10" borderId="11" xfId="0" applyNumberFormat="1" applyFont="1" applyFill="1" applyBorder="1" applyAlignment="1">
      <x:alignment vertical="center" wrapText="1"/>
    </x:xf>
    <x:xf numFmtId="0" fontId="8" fillId="5" borderId="0" xfId="0" applyNumberFormat="1" applyFont="1" applyFill="1" applyBorder="1"/>
    <x:xf numFmtId="0" fontId="8" fillId="5" borderId="0" xfId="0" applyNumberFormat="1" applyFont="1" applyFill="1" applyBorder="1" applyAlignment="1">
      <x:alignment wrapText="1"/>
    </x:xf>
    <x:xf numFmtId="0" fontId="8" fillId="5" borderId="0" xfId="0" applyNumberFormat="1" applyFont="1" applyFill="1" applyBorder="1" applyAlignment="1">
      <x:alignment vertical="center" wrapText="1"/>
    </x:xf>
    <x:xf numFmtId="0" fontId="9" fillId="6" borderId="0" xfId="0" applyNumberFormat="1" applyFont="1" applyFill="1" applyBorder="1"/>
    <x:xf numFmtId="0" fontId="9" fillId="6" borderId="1" xfId="0" applyNumberFormat="1" applyFont="1" applyFill="1" applyBorder="1"/>
    <x:xf numFmtId="0" fontId="9" fillId="6" borderId="1" xfId="0" applyNumberFormat="1" applyFont="1" applyFill="1" applyBorder="1" applyAlignment="1">
      <x:alignment wrapText="1"/>
    </x:xf>
    <x:xf numFmtId="0" fontId="9" fillId="6" borderId="1" xfId="0" applyNumberFormat="1" applyFont="1" applyFill="1" applyBorder="1" applyAlignment="1">
      <x:alignment vertical="center" wrapText="1"/>
    </x:xf>
    <x:xf numFmtId="0" fontId="9" fillId="5" borderId="1" xfId="0" applyNumberFormat="1" applyFont="1" applyFill="1" applyBorder="1" applyAlignment="1">
      <x:alignment vertical="center" wrapText="1"/>
    </x:xf>
    <x:xf numFmtId="0" fontId="13" fillId="5" borderId="1" xfId="0" applyNumberFormat="1" applyFont="1" applyFill="1" applyBorder="1" applyAlignment="1">
      <x:alignment vertical="center" wrapText="1"/>
    </x:xf>
    <x:xf numFmtId="203" fontId="9" fillId="6" borderId="1" xfId="0" applyNumberFormat="1" applyFont="1" applyFill="1" applyBorder="1" applyAlignment="1">
      <x:alignment vertical="center" wrapText="1"/>
    </x:xf>
    <x:xf numFmtId="0" fontId="0" fillId="11" borderId="0" xfId="0" applyNumberFormat="1" applyFont="1" applyFill="1" applyBorder="1"/>
    <x:xf numFmtId="0" fontId="14" fillId="11" borderId="0" xfId="0" applyNumberFormat="1" applyFont="1" applyFill="1" applyBorder="1"/>
    <x:xf numFmtId="0" fontId="14" fillId="11" borderId="12" xfId="0" applyNumberFormat="1" applyFont="1" applyFill="1" applyBorder="1"/>
    <x:xf numFmtId="0" fontId="14" fillId="11" borderId="12" xfId="0" applyNumberFormat="1" applyFont="1" applyFill="1" applyBorder="1" applyAlignment="1">
      <x:alignment wrapText="1"/>
    </x:xf>
    <x:xf numFmtId="0" fontId="14" fillId="11" borderId="12" xfId="0" applyNumberFormat="1" applyFont="1" applyFill="1" applyBorder="1" applyAlignment="1">
      <x:alignment vertical="center" wrapText="1"/>
    </x:xf>
    <x:xf numFmtId="0" fontId="0" fillId="12" borderId="0" xfId="0" applyNumberFormat="1" applyFont="1" applyFill="1" applyBorder="1"/>
    <x:xf numFmtId="0" fontId="15" fillId="12" borderId="0" xfId="0" applyNumberFormat="1" applyFont="1" applyFill="1" applyBorder="1"/>
    <x:xf numFmtId="0" fontId="15" fillId="12" borderId="13" xfId="0" applyNumberFormat="1" applyFont="1" applyFill="1" applyBorder="1"/>
    <x:xf numFmtId="0" fontId="15" fillId="12" borderId="13" xfId="0" applyNumberFormat="1" applyFont="1" applyFill="1" applyBorder="1" applyAlignment="1">
      <x:alignment wrapText="1"/>
    </x:xf>
    <x:xf numFmtId="0" fontId="15" fillId="12" borderId="13" xfId="0" applyNumberFormat="1" applyFont="1" applyFill="1" applyBorder="1" applyAlignment="1">
      <x:alignment vertical="center" wrapText="1"/>
    </x:xf>
    <x:xf numFmtId="0" fontId="0" fillId="13" borderId="0" xfId="0" applyNumberFormat="1" applyFont="1" applyFill="1" applyBorder="1"/>
    <x:xf numFmtId="0" fontId="16" fillId="13" borderId="0" xfId="0" applyNumberFormat="1" applyFont="1" applyFill="1" applyBorder="1"/>
    <x:xf numFmtId="0" fontId="16" fillId="13" borderId="1" xfId="0" applyNumberFormat="1" applyFont="1" applyFill="1" applyBorder="1"/>
    <x:xf numFmtId="0" fontId="16" fillId="13" borderId="1" xfId="0" applyNumberFormat="1" applyFont="1" applyFill="1" applyBorder="1" applyAlignment="1">
      <x:alignment wrapText="1"/>
    </x:xf>
    <x:xf numFmtId="0" fontId="16" fillId="13" borderId="1" xfId="0" applyNumberFormat="1" applyFont="1" applyFill="1" applyBorder="1" applyAlignment="1">
      <x:alignment vertical="center" wrapText="1"/>
    </x:xf>
    <x:xf numFmtId="0" fontId="17" fillId="2" borderId="0" xfId="0" applyNumberFormat="1" applyFont="1" applyFill="1" applyBorder="1"/>
    <x:xf numFmtId="0" fontId="17" fillId="2" borderId="0" xfId="0" applyNumberFormat="1" applyFont="1" applyFill="1" applyBorder="1" applyAlignment="1">
      <x:alignment wrapText="1"/>
    </x:xf>
    <x:xf numFmtId="0" fontId="17" fillId="2" borderId="0" xfId="0" applyNumberFormat="1" applyFont="1" applyFill="1" applyBorder="1" applyAlignment="1">
      <x:alignment vertical="center" wrapText="1"/>
    </x:xf>
    <x:xf numFmtId="0" fontId="18" fillId="3" borderId="0" xfId="0" applyNumberFormat="1" applyFont="1" applyFill="1" applyBorder="1"/>
    <x:xf numFmtId="0" fontId="18" fillId="3" borderId="0" xfId="0" applyNumberFormat="1" applyFont="1" applyFill="1" applyBorder="1" applyAlignment="1">
      <x:alignment wrapText="1"/>
    </x:xf>
    <x:xf numFmtId="0" fontId="18" fillId="3" borderId="0" xfId="0" applyNumberFormat="1" applyFont="1" applyFill="1" applyBorder="1" applyAlignment="1">
      <x:alignment vertical="center" wrapText="1"/>
    </x:xf>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vertical="center" wrapText="1"/>
    </x:xf>
    <x:xf numFmtId="0" fontId="19" fillId="12" borderId="0" xfId="0" applyNumberFormat="1" applyFont="1" applyFill="1" applyBorder="1"/>
    <x:xf numFmtId="0" fontId="19" fillId="12" borderId="13" xfId="0" applyNumberFormat="1" applyFont="1" applyFill="1" applyBorder="1"/>
    <x:xf numFmtId="0" fontId="19" fillId="12" borderId="13" xfId="0" applyNumberFormat="1" applyFont="1" applyFill="1" applyBorder="1" applyAlignment="1">
      <x:alignment wrapText="1"/>
    </x:xf>
    <x:xf numFmtId="0" fontId="19" fillId="12" borderId="13" xfId="0" applyNumberFormat="1" applyFont="1" applyFill="1" applyBorder="1" applyAlignment="1">
      <x:alignment vertical="center" wrapText="1"/>
    </x:xf>
    <x:xf numFmtId="0" fontId="5" fillId="5" borderId="0" xfId="0" applyNumberFormat="1" applyFont="1" applyFill="1" applyBorder="1" applyAlignment="1">
      <x:alignment wrapText="1"/>
    </x:xf>
    <x:xf numFmtId="0" fontId="5" fillId="5" borderId="0" xfId="0" applyNumberFormat="1" applyFont="1" applyFill="1" applyBorder="1" applyAlignment="1">
      <x:alignment vertical="center" wrapText="1"/>
    </x:xf>
    <x:xf numFmtId="0" fontId="20" fillId="6" borderId="0" xfId="0" applyNumberFormat="1" applyFont="1" applyFill="1" applyBorder="1"/>
    <x:xf numFmtId="0" fontId="20" fillId="6" borderId="1" xfId="0" applyNumberFormat="1" applyFont="1" applyFill="1" applyBorder="1"/>
    <x:xf numFmtId="0" fontId="20" fillId="6" borderId="1" xfId="0" applyNumberFormat="1" applyFont="1" applyFill="1" applyBorder="1" applyAlignment="1">
      <x:alignment wrapText="1"/>
    </x:xf>
    <x:xf numFmtId="0" fontId="20" fillId="6" borderId="1" xfId="0" applyNumberFormat="1" applyFont="1" applyFill="1" applyBorder="1" applyAlignment="1">
      <x:alignment horizontal="center" wrapText="1"/>
    </x:xf>
    <x:xf numFmtId="0" fontId="20" fillId="6" borderId="1" xfId="0" applyNumberFormat="1" applyFont="1" applyFill="1" applyBorder="1" applyAlignment="1">
      <x:alignment horizontal="center" vertical="center" wrapText="1"/>
    </x:xf>
    <x:xf numFmtId="0" fontId="21" fillId="8" borderId="0" xfId="0" applyNumberFormat="1" applyFont="1" applyFill="1" applyBorder="1"/>
    <x:xf numFmtId="0" fontId="21" fillId="8" borderId="1" xfId="0" applyNumberFormat="1" applyFont="1" applyFill="1" applyBorder="1"/>
    <x:xf numFmtId="0" fontId="21" fillId="8" borderId="1" xfId="0" applyNumberFormat="1" applyFont="1" applyFill="1" applyBorder="1" applyAlignment="1">
      <x:alignment wrapText="1"/>
    </x:xf>
    <x:xf numFmtId="0" fontId="21" fillId="8" borderId="1" xfId="0" applyNumberFormat="1" applyFont="1" applyFill="1" applyBorder="1" applyAlignment="1">
      <x:alignment horizontal="center" wrapText="1"/>
    </x:xf>
    <x:xf numFmtId="0" fontId="21" fillId="8" borderId="1" xfId="0" applyNumberFormat="1" applyFont="1" applyFill="1" applyBorder="1" applyAlignment="1">
      <x:alignment horizontal="center" vertical="center" wrapText="1"/>
    </x:xf>
    <x:xf numFmtId="0" fontId="20" fillId="12" borderId="0" xfId="0" applyNumberFormat="1" applyFont="1" applyFill="1" applyBorder="1"/>
    <x:xf numFmtId="0" fontId="20" fillId="12" borderId="1" xfId="0" applyNumberFormat="1" applyFont="1" applyFill="1" applyBorder="1"/>
    <x:xf numFmtId="0" fontId="20" fillId="12" borderId="1" xfId="0" applyNumberFormat="1" applyFont="1" applyFill="1" applyBorder="1" applyAlignment="1">
      <x:alignment wrapText="1"/>
    </x:xf>
    <x:xf numFmtId="0" fontId="20" fillId="12" borderId="1" xfId="0" applyNumberFormat="1" applyFont="1" applyFill="1" applyBorder="1" applyAlignment="1">
      <x:alignment horizontal="center" wrapText="1"/>
    </x:xf>
    <x:xf numFmtId="0" fontId="20" fillId="12" borderId="1" xfId="0" applyNumberFormat="1" applyFont="1" applyFill="1" applyBorder="1" applyAlignment="1">
      <x:alignment horizontal="center" vertical="center" wrapText="1"/>
    </x:xf>
    <x:xf numFmtId="0" fontId="22" fillId="8" borderId="0" xfId="0" applyNumberFormat="1" applyFont="1" applyFill="1" applyBorder="1"/>
    <x:xf numFmtId="0" fontId="22" fillId="8" borderId="1" xfId="0" applyNumberFormat="1" applyFont="1" applyFill="1" applyBorder="1"/>
    <x:xf numFmtId="0" fontId="22" fillId="8" borderId="1" xfId="0" applyNumberFormat="1" applyFont="1" applyFill="1" applyBorder="1" applyAlignment="1">
      <x:alignment wrapText="1"/>
    </x:xf>
    <x:xf numFmtId="0" fontId="22" fillId="8" borderId="1" xfId="0" applyNumberFormat="1" applyFont="1" applyFill="1" applyBorder="1" applyAlignment="1">
      <x:alignment horizontal="center" wrapText="1"/>
    </x:xf>
    <x:xf numFmtId="0" fontId="22" fillId="8" borderId="1" xfId="0" applyNumberFormat="1" applyFont="1" applyFill="1" applyBorder="1" applyAlignment="1">
      <x:alignment horizontal="center" vertical="center" wrapText="1"/>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vertical="center" wrapText="1"/>
    </x:xf>
    <x:xf numFmtId="0" fontId="23" fillId="11" borderId="0" xfId="0" applyNumberFormat="1" applyFont="1" applyFill="1" applyBorder="1"/>
    <x:xf numFmtId="0" fontId="23" fillId="11" borderId="14" xfId="0" applyNumberFormat="1" applyFont="1" applyFill="1" applyBorder="1"/>
    <x:xf numFmtId="0" fontId="23" fillId="11" borderId="14" xfId="0" applyNumberFormat="1" applyFont="1" applyFill="1" applyBorder="1" applyAlignment="1">
      <x:alignment wrapText="1"/>
    </x:xf>
    <x:xf numFmtId="0" fontId="23" fillId="11" borderId="14" xfId="0" applyNumberFormat="1" applyFont="1" applyFill="1" applyBorder="1" applyAlignment="1">
      <x:alignment vertical="center" wrapText="1"/>
    </x:xf>
    <x:xf numFmtId="0" fontId="24" fillId="12" borderId="0" xfId="0" applyNumberFormat="1" applyFont="1" applyFill="1" applyBorder="1"/>
    <x:xf numFmtId="0" fontId="24" fillId="12" borderId="13" xfId="0" applyNumberFormat="1" applyFont="1" applyFill="1" applyBorder="1"/>
    <x:xf numFmtId="0" fontId="24" fillId="12" borderId="13" xfId="0" applyNumberFormat="1" applyFont="1" applyFill="1" applyBorder="1" applyAlignment="1">
      <x:alignment wrapText="1"/>
    </x:xf>
    <x:xf numFmtId="0" fontId="24" fillId="12" borderId="13" xfId="0" applyNumberFormat="1" applyFont="1" applyFill="1" applyBorder="1" applyAlignment="1">
      <x:alignment vertical="center" wrapText="1"/>
    </x:xf>
    <x:xf numFmtId="0" fontId="25" fillId="6" borderId="0" xfId="0" applyNumberFormat="1" applyFont="1" applyFill="1" applyBorder="1"/>
    <x:xf numFmtId="0" fontId="25" fillId="6" borderId="15" xfId="0" applyNumberFormat="1" applyFont="1" applyFill="1" applyBorder="1"/>
    <x:xf numFmtId="0" fontId="25" fillId="6" borderId="15" xfId="0" applyNumberFormat="1" applyFont="1" applyFill="1" applyBorder="1" applyAlignment="1">
      <x:alignment wrapText="1"/>
    </x:xf>
    <x:xf numFmtId="0" fontId="25" fillId="6" borderId="15" xfId="0" applyNumberFormat="1" applyFont="1" applyFill="1" applyBorder="1" applyAlignment="1">
      <x:alignment vertical="center" wrapText="1"/>
    </x:xf>
    <x:xf numFmtId="0" fontId="26" fillId="0" borderId="0" xfId="0" applyNumberFormat="1" applyFont="1" applyFill="1" applyBorder="1"/>
    <x:xf numFmtId="0" fontId="27" fillId="2" borderId="0" xfId="0" applyNumberFormat="1" applyFont="1" applyFill="1" applyBorder="1"/>
    <x:xf numFmtId="0" fontId="27" fillId="2" borderId="0" xfId="0" applyNumberFormat="1" applyFont="1" applyFill="1" applyBorder="1" applyAlignment="1">
      <x:alignment wrapText="1"/>
    </x:xf>
    <x:xf numFmtId="0" fontId="27" fillId="2" borderId="0" xfId="0" applyNumberFormat="1" applyFont="1" applyFill="1" applyBorder="1" applyAlignment="1">
      <x:alignment vertical="center" wrapText="1"/>
    </x:xf>
    <x:xf numFmtId="0" fontId="0" fillId="15" borderId="0" xfId="0" applyNumberFormat="1" applyFont="1" applyFill="1" applyBorder="1"/>
    <x:xf numFmtId="0" fontId="5" fillId="15" borderId="0" xfId="0" applyNumberFormat="1" applyFont="1" applyFill="1" applyBorder="1"/>
    <x:xf numFmtId="0" fontId="5" fillId="15" borderId="0" xfId="0" applyNumberFormat="1" applyFont="1" applyFill="1" applyBorder="1" applyAlignment="1">
      <x:alignment wrapText="1"/>
    </x:xf>
    <x:xf numFmtId="0" fontId="5" fillId="15" borderId="0" xfId="0" applyNumberFormat="1" applyFont="1" applyFill="1" applyBorder="1" applyAlignment="1">
      <x:alignment vertical="center" wrapText="1"/>
    </x:xf>
    <x:xf numFmtId="0" fontId="9" fillId="12" borderId="0" xfId="0" applyNumberFormat="1" applyFont="1" applyFill="1" applyBorder="1"/>
    <x:xf numFmtId="0" fontId="9" fillId="12" borderId="1" xfId="0" applyNumberFormat="1" applyFont="1" applyFill="1" applyBorder="1"/>
    <x:xf numFmtId="0" fontId="9" fillId="12" borderId="1" xfId="0" applyNumberFormat="1" applyFont="1" applyFill="1" applyBorder="1" applyAlignment="1">
      <x:alignment wrapText="1"/>
    </x:xf>
    <x:xf numFmtId="0" fontId="9" fillId="12" borderId="1" xfId="0" applyNumberFormat="1" applyFont="1" applyFill="1" applyBorder="1" applyAlignment="1">
      <x:alignment vertical="center" wrapText="1"/>
    </x:xf>
    <x:xf numFmtId="0" fontId="28" fillId="12" borderId="1" xfId="0" applyNumberFormat="1" applyFont="1" applyFill="1" applyBorder="1" applyAlignment="1">
      <x:alignment vertical="center" wrapText="1"/>
    </x:xf>
    <x:xf numFmtId="0" fontId="29" fillId="12" borderId="1" xfId="0" applyNumberFormat="1" applyFont="1" applyFill="1" applyBorder="1" applyAlignment="1">
      <x:alignment vertical="center" wrapText="1"/>
    </x:xf>
    <x:xf numFmtId="0" fontId="30" fillId="6" borderId="1" xfId="0" applyNumberFormat="1" applyFont="1" applyFill="1" applyBorder="1" applyAlignment="1">
      <x:alignment vertical="center" wrapText="1"/>
    </x:xf>
    <x:xf numFmtId="0" fontId="29" fillId="6" borderId="1"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11" xfId="0" applyNumberFormat="1" applyFont="1" applyFill="1" applyBorder="1"/>
    <x:xf numFmtId="0" fontId="12" fillId="10" borderId="11" xfId="0" applyNumberFormat="1" applyFont="1" applyFill="1" applyBorder="1" applyAlignment="1">
      <x:alignment wrapText="1"/>
    </x:xf>
    <x:xf numFmtId="0" fontId="0" fillId="16" borderId="0" xfId="0" applyNumberFormat="1" applyFont="1" applyFill="1" applyBorder="1"/>
    <x:xf numFmtId="0" fontId="31" fillId="16" borderId="0" xfId="0" applyNumberFormat="1" applyFont="1" applyFill="1" applyBorder="1"/>
    <x:xf numFmtId="0" fontId="31" fillId="16" borderId="16" xfId="0" applyNumberFormat="1" applyFont="1" applyFill="1" applyBorder="1"/>
    <x:xf numFmtId="0" fontId="31" fillId="16" borderId="16" xfId="0" applyNumberFormat="1" applyFont="1" applyFill="1" applyBorder="1" applyAlignment="1">
      <x:alignment wrapText="1"/>
    </x:xf>
    <x:xf numFmtId="0" fontId="31" fillId="16" borderId="16" xfId="0" applyNumberFormat="1" applyFont="1" applyFill="1" applyBorder="1" applyAlignment="1">
      <x:alignment vertical="center" wrapText="1"/>
    </x:xf>
    <x:xf numFmtId="0" fontId="0" fillId="17" borderId="0" xfId="0" applyNumberFormat="1" applyFont="1" applyFill="1" applyBorder="1"/>
    <x:xf numFmtId="0" fontId="32" fillId="17" borderId="0" xfId="0" applyNumberFormat="1" applyFont="1" applyFill="1" applyBorder="1"/>
    <x:xf numFmtId="0" fontId="32" fillId="17" borderId="17" xfId="0" applyNumberFormat="1" applyFont="1" applyFill="1" applyBorder="1"/>
    <x:xf numFmtId="0" fontId="32" fillId="17" borderId="17" xfId="0" applyNumberFormat="1" applyFont="1" applyFill="1" applyBorder="1" applyAlignment="1">
      <x:alignment wrapText="1"/>
    </x:xf>
    <x:xf numFmtId="0" fontId="32" fillId="17" borderId="17" xfId="0" applyNumberFormat="1" applyFont="1" applyFill="1" applyBorder="1" applyAlignment="1">
      <x:alignment vertical="center" wrapText="1"/>
    </x:xf>
    <x:xf numFmtId="0" fontId="33" fillId="13" borderId="0" xfId="0" applyNumberFormat="1" applyFont="1" applyFill="1" applyBorder="1"/>
    <x:xf numFmtId="0" fontId="33" fillId="13" borderId="18" xfId="0" applyNumberFormat="1" applyFont="1" applyFill="1" applyBorder="1"/>
    <x:xf numFmtId="0" fontId="33" fillId="13" borderId="18" xfId="0" applyNumberFormat="1" applyFont="1" applyFill="1" applyBorder="1" applyAlignment="1">
      <x:alignment wrapText="1"/>
    </x:xf>
    <x:xf numFmtId="0" fontId="33" fillId="13" borderId="18" xfId="0" applyNumberFormat="1" applyFont="1" applyFill="1" applyBorder="1" applyAlignment="1">
      <x:alignment vertical="center" wrapText="1"/>
    </x:xf>
    <x:xf numFmtId="0" fontId="0" fillId="18" borderId="0" xfId="0" applyNumberFormat="1" applyFont="1" applyFill="1" applyBorder="1"/>
    <x:xf numFmtId="0" fontId="34" fillId="18" borderId="0" xfId="0" applyNumberFormat="1" applyFont="1" applyFill="1" applyBorder="1"/>
    <x:xf numFmtId="0" fontId="34" fillId="18" borderId="19" xfId="0" applyNumberFormat="1" applyFont="1" applyFill="1" applyBorder="1"/>
    <x:xf numFmtId="0" fontId="34" fillId="18" borderId="19" xfId="0" applyNumberFormat="1" applyFont="1" applyFill="1" applyBorder="1" applyAlignment="1">
      <x:alignment wrapText="1"/>
    </x:xf>
    <x:xf numFmtId="0" fontId="34" fillId="18" borderId="19" xfId="0" applyNumberFormat="1" applyFont="1" applyFill="1" applyBorder="1" applyAlignment="1">
      <x:alignment vertical="center" wrapText="1"/>
    </x:xf>
    <x:xf numFmtId="0" fontId="9" fillId="4" borderId="1" xfId="0" applyNumberFormat="1" applyFont="1" applyFill="1" applyBorder="1" applyAlignment="1">
      <x:alignment vertical="center" wrapText="1"/>
    </x:xf>
    <x:xf numFmtId="203" fontId="9" fillId="8" borderId="1" xfId="0" applyNumberFormat="1" applyFont="1" applyFill="1" applyBorder="1" applyAlignment="1">
      <x:alignment vertical="center" wrapText="1"/>
    </x:xf>
    <x:xf numFmtId="0" fontId="14" fillId="11" borderId="14" xfId="0" applyNumberFormat="1" applyFont="1" applyFill="1" applyBorder="1"/>
    <x:xf numFmtId="0" fontId="14" fillId="11" borderId="14" xfId="0" applyNumberFormat="1" applyFont="1" applyFill="1" applyBorder="1" applyAlignment="1">
      <x:alignment wrapText="1"/>
    </x:xf>
    <x:xf numFmtId="0" fontId="14" fillId="11" borderId="14" xfId="0" applyNumberFormat="1" applyFont="1" applyFill="1" applyBorder="1" applyAlignment="1">
      <x:alignment horizontal="center" wrapText="1"/>
    </x:xf>
    <x:xf numFmtId="0" fontId="14" fillId="11" borderId="14" xfId="0" applyNumberFormat="1" applyFont="1" applyFill="1" applyBorder="1" applyAlignment="1">
      <x:alignment horizontal="center" vertical="center" wrapText="1"/>
    </x:xf>
    <x:xf numFmtId="0" fontId="28" fillId="12" borderId="0" xfId="0" applyNumberFormat="1" applyFont="1" applyFill="1" applyBorder="1"/>
    <x:xf numFmtId="0" fontId="28" fillId="12" borderId="20" xfId="0" applyNumberFormat="1" applyFont="1" applyFill="1" applyBorder="1"/>
    <x:xf numFmtId="0" fontId="28" fillId="12" borderId="20" xfId="0" applyNumberFormat="1" applyFont="1" applyFill="1" applyBorder="1" applyAlignment="1">
      <x:alignment wrapText="1"/>
    </x:xf>
    <x:xf numFmtId="0" fontId="28" fillId="12" borderId="20" xfId="0" applyNumberFormat="1" applyFont="1" applyFill="1" applyBorder="1" applyAlignment="1">
      <x:alignment horizontal="center" wrapText="1"/>
    </x:xf>
    <x:xf numFmtId="0" fontId="28" fillId="12" borderId="20" xfId="0" applyNumberFormat="1" applyFont="1" applyFill="1" applyBorder="1" applyAlignment="1">
      <x:alignment horizontal="center" vertical="center" wrapText="1"/>
    </x:xf>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35" fillId="12" borderId="0" xfId="0" applyNumberFormat="1" applyFont="1" applyFill="1" applyBorder="1"/>
    <x:xf numFmtId="0" fontId="35" fillId="12" borderId="13" xfId="0" applyNumberFormat="1" applyFont="1" applyFill="1" applyBorder="1"/>
    <x:xf numFmtId="0" fontId="35" fillId="12" borderId="13" xfId="0" applyNumberFormat="1" applyFont="1" applyFill="1" applyBorder="1" applyAlignment="1">
      <x:alignment wrapText="1"/>
    </x:xf>
    <x:xf numFmtId="0" fontId="35" fillId="12" borderId="13" xfId="0" applyNumberFormat="1" applyFont="1" applyFill="1" applyBorder="1" applyAlignment="1">
      <x:alignment vertical="center" wrapText="1"/>
    </x:xf>
    <x:xf numFmtId="0" fontId="6" fillId="6" borderId="15" xfId="0" applyNumberFormat="1" applyFont="1" applyFill="1" applyBorder="1"/>
    <x:xf numFmtId="0" fontId="6" fillId="6" borderId="15" xfId="0" applyNumberFormat="1" applyFont="1" applyFill="1" applyBorder="1" applyAlignment="1">
      <x:alignment wrapText="1"/>
    </x:xf>
    <x:xf numFmtId="0" fontId="6" fillId="6" borderId="15" xfId="0" applyNumberFormat="1" applyFont="1" applyFill="1" applyBorder="1" applyAlignment="1">
      <x:alignment vertical="center" wrapText="1"/>
    </x:xf>
    <x:xf numFmtId="0" fontId="0" fillId="19" borderId="0" xfId="0" applyNumberFormat="1" applyFont="1" applyFill="1" applyBorder="1"/>
    <x:xf numFmtId="0" fontId="36" fillId="19" borderId="0" xfId="0" applyNumberFormat="1" applyFont="1" applyFill="1" applyBorder="1"/>
    <x:xf numFmtId="0" fontId="36" fillId="19" borderId="0" xfId="0" applyNumberFormat="1" applyFont="1" applyFill="1" applyBorder="1" applyAlignment="1">
      <x:alignment wrapText="1"/>
    </x:xf>
    <x:xf numFmtId="0" fontId="36" fillId="19" borderId="0" xfId="0" applyNumberFormat="1" applyFont="1" applyFill="1" applyBorder="1" applyAlignment="1">
      <x:alignment vertical="center" wrapText="1"/>
    </x:xf>
    <x:xf numFmtId="0" fontId="37" fillId="16" borderId="0" xfId="0" applyNumberFormat="1" applyFont="1" applyFill="1" applyBorder="1"/>
    <x:xf numFmtId="0" fontId="37" fillId="16" borderId="21" xfId="0" applyNumberFormat="1" applyFont="1" applyFill="1" applyBorder="1"/>
    <x:xf numFmtId="0" fontId="37" fillId="16" borderId="21" xfId="0" applyNumberFormat="1" applyFont="1" applyFill="1" applyBorder="1" applyAlignment="1">
      <x:alignment wrapText="1"/>
    </x:xf>
    <x:xf numFmtId="0" fontId="37" fillId="16" borderId="21" xfId="0" applyNumberFormat="1" applyFont="1" applyFill="1" applyBorder="1" applyAlignment="1">
      <x:alignment horizontal="center" wrapText="1"/>
    </x:xf>
    <x:xf numFmtId="0" fontId="37" fillId="16" borderId="21" xfId="0" applyNumberFormat="1" applyFont="1" applyFill="1" applyBorder="1" applyAlignment="1">
      <x:alignment horizontal="center" vertical="center" wrapText="1"/>
    </x:xf>
  </x:cellXfs>
  <x:cellStyles count="1">
    <x:cellStyle name="Normal" xfId="0"/>
  </x:cellStyles>
  <x:dxfs count="253">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
      <x:font>
        <x:b/>
        <x:color rgb="FF2E7D5B"/>
      </x:font>
      <x:fill>
        <x:patternFill patternType="solid">
          <x:bgColor rgb="FFE7F4ED"/>
        </x:patternFill>
      </x:fill>
    </x:dxf>
    <x:dxf>
      <x:font>
        <x:color rgb="FF2E7D5B"/>
      </x:font>
      <x:fill>
        <x:patternFill patternType="solid">
          <x:bgColor rgb="FFE7F4ED"/>
        </x:patternFill>
      </x:fill>
    </x:dxf>
    <x:dxf>
      <x:font>
        <x:color rgb="FF2E7D5B"/>
      </x:font>
      <x:fill>
        <x:patternFill patternType="solid">
          <x:bgColor rgb="FFE7F4ED"/>
        </x:patternFill>
      </x:fill>
    </x:dxf>
    <x:dxf>
      <x:font>
        <x:color rgb="FF0B6E75"/>
      </x:font>
      <x:fill>
        <x:patternFill patternType="solid">
          <x:bgColor rgb="FFD9F0F0"/>
        </x:patternFill>
      </x:fill>
    </x:dxf>
    <x:dxf>
      <x:font>
        <x:b/>
        <x:color rgb="FF7B5B12"/>
      </x:font>
      <x:fill>
        <x:patternFill patternType="solid">
          <x:bgColor rgb="FFFFF8E7"/>
        </x:patternFill>
      </x:fill>
    </x:dxf>
    <x:dxf>
      <x:font>
        <x:b/>
        <x:color rgb="FFB42318"/>
      </x:font>
      <x:fill>
        <x:patternFill patternType="solid">
          <x:bgColor rgb="FFFDECEC"/>
        </x:patternFill>
      </x:fill>
    </x:dxf>
    <x:dxf>
      <x:font>
        <x:color rgb="FFB42318"/>
      </x:font>
      <x:fill>
        <x:patternFill patternType="solid">
          <x:bgColor rgb="FFFDECEC"/>
        </x:patternFill>
      </x:fill>
    </x:dxf>
    <x:dxf>
      <x:font>
        <x:color rgb="FF175CD3"/>
      </x:font>
      <x:fill>
        <x:patternFill patternType="solid">
          <x:bgColor rgb="FFE8F1FB"/>
        </x:patternFill>
      </x:fill>
    </x:dxf>
    <x:dxf>
      <x:font>
        <x:color rgb="FF175CD3"/>
      </x:font>
      <x:fill>
        <x:patternFill patternType="solid">
          <x:bgColor rgb="FFE8F1FB"/>
        </x:patternFill>
      </x:fill>
    </x:dxf>
    <x:dxf>
      <x:font>
        <x:color rgb="FF6B5CA5"/>
      </x:font>
      <x:fill>
        <x:patternFill patternType="solid">
          <x:bgColor rgb="FFF3F0F8"/>
        </x:patternFill>
      </x:fill>
    </x:dxf>
    <x:dxf>
      <x:font>
        <x:color rgb="FF667085"/>
      </x:font>
      <x:fill>
        <x:patternFill patternType="solid">
          <x:bgColor rgb="FFF2F4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d76684cebe47c0" /><Relationship Type="http://schemas.openxmlformats.org/officeDocument/2006/relationships/theme" Target="/xl/theme/theme1.xml" Id="Rd2bfe7737f684e33" /><Relationship Type="http://schemas.microsoft.com/office/2022/11/relationships/FeaturePropertyBag" Target="/xl/featurePropertyBag/featurePropertyBag.xml" Id="Reb9a2e455ea14b12" /><Relationship Type="http://schemas.openxmlformats.org/officeDocument/2006/relationships/sharedStrings" Target="/xl/sharedStrings.xml" Id="Rff6f10a848fc44ee" /><Relationship Type="http://schemas.openxmlformats.org/officeDocument/2006/relationships/worksheet" Target="/xl/worksheets/sheet1.xml" Id="R0ea1c20232ad42c7" /><Relationship Type="http://schemas.openxmlformats.org/officeDocument/2006/relationships/worksheet" Target="/xl/worksheets/sheet2.xml" Id="Rb279ffdc4abc4eb7" /><Relationship Type="http://schemas.openxmlformats.org/officeDocument/2006/relationships/worksheet" Target="/xl/worksheets/sheet3.xml" Id="Rda2212d2a7534e22" /><Relationship Type="http://schemas.openxmlformats.org/officeDocument/2006/relationships/worksheet" Target="/xl/worksheets/sheet4.xml" Id="Re161c220336e4133" /><Relationship Type="http://schemas.openxmlformats.org/officeDocument/2006/relationships/worksheet" Target="/xl/worksheets/sheet5.xml" Id="R21123f0ee10c40d8" /><Relationship Type="http://schemas.openxmlformats.org/officeDocument/2006/relationships/worksheet" Target="/xl/worksheets/sheet6.xml" Id="Rba6bf07d34134af9" /><Relationship Type="http://schemas.openxmlformats.org/officeDocument/2006/relationships/worksheet" Target="/xl/worksheets/sheet7.xml" Id="Ra9af7fe860d849ea" /><Relationship Type="http://schemas.openxmlformats.org/officeDocument/2006/relationships/worksheet" Target="/xl/worksheets/sheet8.xml" Id="R79051e4b104240f9" /><Relationship Type="http://schemas.openxmlformats.org/officeDocument/2006/relationships/worksheet" Target="/xl/worksheets/sheet9.xml" Id="R6fe5dc87ad8747ac" /><Relationship Type="http://schemas.openxmlformats.org/officeDocument/2006/relationships/worksheet" Target="/xl/worksheets/sheet10.xml" Id="Rb26a0a9f2b3f4d18" /><Relationship Type="http://schemas.openxmlformats.org/officeDocument/2006/relationships/worksheet" Target="/xl/worksheets/sheet11.xml" Id="R5571667cd9c24dcf" /><Relationship Type="http://schemas.openxmlformats.org/officeDocument/2006/relationships/worksheet" Target="/xl/worksheets/sheet12.xml" Id="R38cc0b67bab14386" /><Relationship Type="http://schemas.openxmlformats.org/officeDocument/2006/relationships/worksheet" Target="/xl/worksheets/sheet13.xml" Id="R40c65f8a0a1e4ebd" /><Relationship Type="http://schemas.openxmlformats.org/officeDocument/2006/relationships/worksheet" Target="/xl/worksheets/sheet14.xml" Id="R1fd6edfd19564f0f" /></Relationships>
</file>

<file path=xl/drawings/_rels/drawing1.xml.rels>&#65279;<?xml version="1.0" encoding="utf-8"?><Relationships xmlns="http://schemas.openxmlformats.org/package/2006/relationships"><Relationship Type="http://schemas.openxmlformats.org/officeDocument/2006/relationships/image" Target="/xl/media/image.png" Id="R44bd84b4836c4c40" /><Relationship Type="http://schemas.openxmlformats.org/officeDocument/2006/relationships/image" Target="/xl/media/image2.png" Id="R000bb6923e2a4c4d" /><Relationship Type="http://schemas.openxmlformats.org/officeDocument/2006/relationships/image" Target="/xl/media/image3.png" Id="Rd1653e7c9b864753" /><Relationship Type="http://schemas.openxmlformats.org/officeDocument/2006/relationships/image" Target="/xl/media/image4.png" Id="R94bc094044014014" /><Relationship Type="http://schemas.openxmlformats.org/officeDocument/2006/relationships/image" Target="/xl/media/image5.png" Id="R7a30c7c65a0e4768" /></Relationships>
</file>

<file path=xl/drawings/drawing1.xml><?xml version="1.0" encoding="utf-8"?>
<xdr:wsDr xmlns:xdr="http://schemas.openxmlformats.org/drawingml/2006/spreadsheetDrawing">
  <xdr:oneCellAnchor>
    <xdr:from>
      <xdr:col>0</xdr:col>
      <xdr:colOff>0</xdr:colOff>
      <xdr:row>20</xdr:row>
      <xdr:rowOff>0</xdr:rowOff>
    </xdr:from>
    <xdr:ext cx="5286375" cy="2238375"/>
    <xdr:pic>
      <xdr:nvPicPr>
        <xdr:cNvPr id="1" name="16b75ed0-b886-42ff-b4cd-1590540ba892"/>
        <xdr:cNvPicPr>
          <a:picLocks xmlns:a="http://schemas.openxmlformats.org/drawingml/2006/main" noChangeAspect="1"/>
        </xdr:cNvPicPr>
      </xdr:nvPicPr>
      <xdr:blipFill>
        <a:blip xmlns:r="http://schemas.openxmlformats.org/officeDocument/2006/relationships" xmlns:a="http://schemas.openxmlformats.org/drawingml/2006/main" r:embed="R44bd84b4836c4c40"/>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20</xdr:row>
      <xdr:rowOff>0</xdr:rowOff>
    </xdr:from>
    <xdr:ext cx="5286375" cy="2238375"/>
    <xdr:pic>
      <xdr:nvPicPr>
        <xdr:cNvPr id="2" name="fba68513-152d-4772-bd70-3f12557bb468"/>
        <xdr:cNvPicPr>
          <a:picLocks xmlns:a="http://schemas.openxmlformats.org/drawingml/2006/main" noChangeAspect="1"/>
        </xdr:cNvPicPr>
      </xdr:nvPicPr>
      <xdr:blipFill>
        <a:blip xmlns:r="http://schemas.openxmlformats.org/officeDocument/2006/relationships" xmlns:a="http://schemas.openxmlformats.org/drawingml/2006/main" r:embed="R000bb6923e2a4c4d"/>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36</xdr:row>
      <xdr:rowOff>0</xdr:rowOff>
    </xdr:from>
    <xdr:ext cx="5286375" cy="3429000"/>
    <xdr:pic>
      <xdr:nvPicPr>
        <xdr:cNvPr id="3" name="6e4d2689-ba6f-4f15-91e9-620f182a1d6c"/>
        <xdr:cNvPicPr>
          <a:picLocks xmlns:a="http://schemas.openxmlformats.org/drawingml/2006/main" noChangeAspect="1"/>
        </xdr:cNvPicPr>
      </xdr:nvPicPr>
      <xdr:blipFill>
        <a:blip xmlns:r="http://schemas.openxmlformats.org/officeDocument/2006/relationships" xmlns:a="http://schemas.openxmlformats.org/drawingml/2006/main" r:embed="Rd1653e7c9b864753"/>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36</xdr:row>
      <xdr:rowOff>0</xdr:rowOff>
    </xdr:from>
    <xdr:ext cx="5286375" cy="3429000"/>
    <xdr:pic>
      <xdr:nvPicPr>
        <xdr:cNvPr id="4" name="162bec54-d030-462b-93fb-7b0e6c9d6a46"/>
        <xdr:cNvPicPr>
          <a:picLocks xmlns:a="http://schemas.openxmlformats.org/drawingml/2006/main" noChangeAspect="1"/>
        </xdr:cNvPicPr>
      </xdr:nvPicPr>
      <xdr:blipFill>
        <a:blip xmlns:r="http://schemas.openxmlformats.org/officeDocument/2006/relationships" xmlns:a="http://schemas.openxmlformats.org/drawingml/2006/main" r:embed="R94bc094044014014"/>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58</xdr:row>
      <xdr:rowOff>0</xdr:rowOff>
    </xdr:from>
    <xdr:ext cx="5286375" cy="3429000"/>
    <xdr:pic>
      <xdr:nvPicPr>
        <xdr:cNvPr id="5" name="b17463b4-1860-4322-8e4a-411a3feec930"/>
        <xdr:cNvPicPr>
          <a:picLocks xmlns:a="http://schemas.openxmlformats.org/drawingml/2006/main" noChangeAspect="1"/>
        </xdr:cNvPicPr>
      </xdr:nvPicPr>
      <xdr:blipFill>
        <a:blip xmlns:r="http://schemas.openxmlformats.org/officeDocument/2006/relationships" xmlns:a="http://schemas.openxmlformats.org/drawingml/2006/main" r:embed="R7a30c7c65a0e4768"/>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iority180CoverageTable" displayName="Priority180CoverageTable" ref="A4:AM184" headerRowCount="1" totalsRowCount="0" totalsRowShown="0">
  <x:autoFilter ref="A4:AM184"/>
  <x:tableColumns count="39">
    <x:tableColumn id="1" name="Candidate ID"/>
    <x:tableColumn id="2" name="Anchor"/>
    <x:tableColumn id="3" name="Rank"/>
    <x:tableColumn id="4" name="Surface Form"/>
    <x:tableColumn id="5" name="Normalised Concept"/>
    <x:tableColumn id="6" name="Lexical Family"/>
    <x:tableColumn id="7" name="Layer"/>
    <x:tableColumn id="8" name="Voice"/>
    <x:tableColumn id="9" name="Expression Mode"/>
    <x:tableColumn id="10" name="Evidence Source"/>
    <x:tableColumn id="11" name="Candidate Provenance"/>
    <x:tableColumn id="12" name="Ngram Status"/>
    <x:tableColumn id="13" name="Measurement Form"/>
    <x:tableColumn id="14" name="Mapping Type"/>
    <x:tableColumn id="15" name="First Non-Zero Year"/>
    <x:tableColumn id="16" name="Peak Year"/>
    <x:tableColumn id="17" name="Peak Frequency"/>
    <x:tableColumn id="18" name="Anchor Frequency"/>
    <x:tableColumn id="19" name="Context Window Mean"/>
    <x:tableColumn id="20" name="2022 Frequency"/>
    <x:tableColumn id="21" name="Ngram Note"/>
    <x:tableColumn id="22" name="Dictionary Status"/>
    <x:tableColumn id="23" name="Dictionary Source"/>
    <x:tableColumn id="24" name="Historical Sense"/>
    <x:tableColumn id="25" name="Modern Sense"/>
    <x:tableColumn id="26" name="Anchor Sense Match"/>
    <x:tableColumn id="27" name="Polysemy / Ambiguity"/>
    <x:tableColumn id="28" name="Dictionary Note"/>
    <x:tableColumn id="29" name="Search Source"/>
    <x:tableColumn id="30" name="Search Query"/>
    <x:tableColumn id="31" name="Search Exactness"/>
    <x:tableColumn id="32" name="Search Status"/>
    <x:tableColumn id="33" name="Result Count"/>
    <x:tableColumn id="34" name="Date-Window Count"/>
    <x:tableColumn id="35" name="Retrieval Date"/>
    <x:tableColumn id="36" name="Search Note"/>
    <x:tableColumn id="37" name="Coverage Status"/>
    <x:tableColumn id="38" name="Remaining Annotation Gap"/>
    <x:tableColumn id="39" name="Review Priority"/>
  </x:tableColumns>
  <x:tableStyleInfo name="TableStyleMedium2" showFirstColumn="0" showLastColumn="0" showRowStripes="1" showColumnStripes="0"/>
</x:table>
</file>

<file path=xl/tables/table2.xml><?xml version="1.0" encoding="utf-8"?>
<x:table xmlns:x="http://schemas.openxmlformats.org/spreadsheetml/2006/main" id="2" name="NgramCoverageTable" displayName="NgramCoverageTable" ref="A4:O147" headerRowCount="1" totalsRowCount="0" totalsRowShown="0">
  <x:autoFilter ref="A4:O147"/>
  <x:tableColumns count="15">
    <x:tableColumn id="1" name="Query ID"/>
    <x:tableColumn id="2" name="Anchor"/>
    <x:tableColumn id="3" name="Surface Form"/>
    <x:tableColumn id="4" name="Classification"/>
    <x:tableColumn id="5" name="Compatibility Status"/>
    <x:tableColumn id="6" name="Execution Eligible"/>
    <x:tableColumn id="7" name="Execution Status"/>
    <x:tableColumn id="8" name="Accounting State"/>
    <x:tableColumn id="9" name="Observation Count"/>
    <x:tableColumn id="10" name="Request Surface Form"/>
    <x:tableColumn id="11" name="First Response Ngram"/>
    <x:tableColumn id="12" name="Reason / Error"/>
    <x:tableColumn id="13" name="Retrieved At"/>
    <x:tableColumn id="14" name="Raw Response Path"/>
    <x:tableColumn id="15" name="Provenance Status"/>
  </x:tableColumns>
  <x:tableStyleInfo name="TableStyleMedium2" showFirstColumn="0" showLastColumn="0" showRowStripes="1" showColumnStripes="0"/>
</x:table>
</file>

<file path=xl/tables/table3.xml><?xml version="1.0" encoding="utf-8"?>
<x:table xmlns:x="http://schemas.openxmlformats.org/spreadsheetml/2006/main" id="3" name="NgramCandidateExceptionsTable" displayName="NgramCandidateExceptionsTable" ref="Q4:X10" headerRowCount="1" totalsRowCount="0" totalsRowShown="0">
  <x:autoFilter ref="Q4:X10"/>
  <x:tableColumns count="8">
    <x:tableColumn id="1" name="Candidate ID"/>
    <x:tableColumn id="2" name="Anchor"/>
    <x:tableColumn id="3" name="Surface Form"/>
    <x:tableColumn id="4" name="Measurement Form"/>
    <x:tableColumn id="5" name="Mapping Type"/>
    <x:tableColumn id="6" name="Ngram Status"/>
    <x:tableColumn id="7" name="Query ID"/>
    <x:tableColumn id="8" name="Note"/>
  </x:tableColumns>
  <x:tableStyleInfo name="TableStyleMedium4" showFirstColumn="0" showLastColumn="0" showRowStripes="1" showColumnStripes="0"/>
</x:table>
</file>

<file path=xl/tables/table4.xml><?xml version="1.0" encoding="utf-8"?>
<x:table xmlns:x="http://schemas.openxmlformats.org/spreadsheetml/2006/main" id="4" name="Dictionary180Table" displayName="Dictionary180Table" ref="A4:T184" headerRowCount="1" totalsRowCount="0" totalsRowShown="0">
  <x:autoFilter ref="A4:T184"/>
  <x:tableColumns count="20">
    <x:tableColumn id="1" name="Candidate ID"/>
    <x:tableColumn id="2" name="Anchor"/>
    <x:tableColumn id="3" name="Rank"/>
    <x:tableColumn id="4" name="Surface Form"/>
    <x:tableColumn id="5" name="Normalised Concept"/>
    <x:tableColumn id="6" name="Lexical Family"/>
    <x:tableColumn id="7" name="Dictionary Status"/>
    <x:tableColumn id="8" name="Direct Headword Exists"/>
    <x:tableColumn id="9" name="Primary Source"/>
    <x:tableColumn id="10" name="Secondary Source"/>
    <x:tableColumn id="11" name="Historical / Domain Source"/>
    <x:tableColumn id="12" name="Concise Definition Paraphrase"/>
    <x:tableColumn id="13" name="Historically Relevant Sense"/>
    <x:tableColumn id="14" name="Modern Sense"/>
    <x:tableColumn id="15" name="Anchor Sense Match"/>
    <x:tableColumn id="16" name="First Attestation"/>
    <x:tableColumn id="17" name="Polysemy Warning"/>
    <x:tableColumn id="18" name="Source Citation / Link"/>
    <x:tableColumn id="19" name="Access Date"/>
    <x:tableColumn id="20" name="Candidate Provenance"/>
  </x:tableColumns>
  <x:tableStyleInfo name="TableStyleMedium2" showFirstColumn="0" showLastColumn="0" showRowStripes="1" showColumnStripes="0"/>
</x:table>
</file>

<file path=xl/tables/table5.xml><?xml version="1.0" encoding="utf-8"?>
<x:table xmlns:x="http://schemas.openxmlformats.org/spreadsheetml/2006/main" id="5" name="Search180Table" displayName="Search180Table" ref="A4:R184" headerRowCount="1" totalsRowCount="0" totalsRowShown="0">
  <x:autoFilter ref="A4:R184"/>
  <x:tableColumns count="18">
    <x:tableColumn id="1" name="Candidate ID"/>
    <x:tableColumn id="2" name="Anchor"/>
    <x:tableColumn id="3" name="Rank"/>
    <x:tableColumn id="4" name="Surface Form"/>
    <x:tableColumn id="5" name="Search Source"/>
    <x:tableColumn id="6" name="Count Meaning"/>
    <x:tableColumn id="7" name="Query String"/>
    <x:tableColumn id="8" name="Query Type"/>
    <x:tableColumn id="9" name="Exactness"/>
    <x:tableColumn id="10" name="Full-Corpus Result Count"/>
    <x:tableColumn id="11" name="Strict-Window Result Count"/>
    <x:tableColumn id="12" name="Contextual-Window Result Count"/>
    <x:tableColumn id="13" name="Search Status"/>
    <x:tableColumn id="14" name="Retrieval Timestamp"/>
    <x:tableColumn id="15" name="API / Interface"/>
    <x:tableColumn id="16" name="Notes"/>
    <x:tableColumn id="17" name="Secondary Source"/>
    <x:tableColumn id="18" name="Secondary All-Period Count"/>
  </x:tableColumns>
  <x:tableStyleInfo name="TableStyleMedium2" showFirstColumn="0" showLastColumn="0" showRowStripes="1" showColumnStripes="0"/>
</x:table>
</file>

<file path=xl/tables/table6.xml><?xml version="1.0" encoding="utf-8"?>
<x:table xmlns:x="http://schemas.openxmlformats.org/spreadsheetml/2006/main" id="6" name="SeedLedgerTable" displayName="SeedLedgerTable" ref="A4:R400" headerRowCount="1" totalsRowCount="0" totalsRowShown="0">
  <x:autoFilter ref="A4:R400"/>
  <x:tableColumns count="18">
    <x:tableColumn id="1" name="seed_candidate_id"/>
    <x:tableColumn id="2" name="originating_seed_stage"/>
    <x:tableColumn id="3" name="original_candidate_id"/>
    <x:tableColumn id="4" name="source_page"/>
    <x:tableColumn id="5" name="anchor_id"/>
    <x:tableColumn id="6" name="surface_form"/>
    <x:tableColumn id="7" name="layer_code"/>
    <x:tableColumn id="8" name="voice_code"/>
    <x:tableColumn id="9" name="source_id"/>
    <x:tableColumn id="10" name="expression_mode_code"/>
    <x:tableColumn id="11" name="original_decision"/>
    <x:tableColumn id="12" name="confidence_label"/>
    <x:tableColumn id="13" name="relevance_label"/>
    <x:tableColumn id="14" name="reconstruction_status"/>
    <x:tableColumn id="15" name="reconciliation_status"/>
    <x:tableColumn id="16" name="originating_report"/>
    <x:tableColumn id="17" name="provenance_status"/>
    <x:tableColumn id="18" name="provenance_note"/>
  </x:tableColumns>
  <x:tableStyleInfo name="TableStyleMedium2" showFirstColumn="0" showLastColumn="0" showRowStripes="1" showColumnStripes="0"/>
</x:table>
</file>

<file path=xl/tables/table7.xml><?xml version="1.0" encoding="utf-8"?>
<x:table xmlns:x="http://schemas.openxmlformats.org/spreadsheetml/2006/main" id="7" name="MasterFrequencyTable" displayName="MasterFrequencyTable" ref="A4:AC147" headerRowCount="1" totalsRowCount="0" totalsRowShown="0">
  <x:autoFilter ref="A4:AC147"/>
  <x:tableColumns count="29">
    <x:tableColumn id="1" name="query_id"/>
    <x:tableColumn id="2" name="surface_form"/>
    <x:tableColumn id="3" name="canonical_concept"/>
    <x:tableColumn id="4" name="lexical_family"/>
    <x:tableColumn id="5" name="primary_layer"/>
    <x:tableColumn id="6" name="query_classification"/>
    <x:tableColumn id="7" name="ambiguity_class"/>
    <x:tableColumn id="8" name="corpus"/>
    <x:tableColumn id="9" name="corpus_version"/>
    <x:tableColumn id="10" name="year_start"/>
    <x:tableColumn id="11" name="year_end"/>
    <x:tableColumn id="12" name="first_nonzero_year"/>
    <x:tableColumn id="13" name="nonzero_year_count"/>
    <x:tableColumn id="14" name="peak_year"/>
    <x:tableColumn id="15" name="peak_frequency"/>
    <x:tableColumn id="16" name="latest_year_value"/>
    <x:tableColumn id="17" name="1842_value"/>
    <x:tableColumn id="18" name="1938_value"/>
    <x:tableColumn id="19" name="1988_value"/>
    <x:tableColumn id="20" name="2006_value"/>
    <x:tableColumn id="21" name="2007_value"/>
    <x:tableColumn id="22" name="2006_07_mean"/>
    <x:tableColumn id="23" name="2015_value"/>
    <x:tableColumn id="24" name="2022_value"/>
    <x:tableColumn id="25" name="2022_or_latest_value"/>
    <x:tableColumn id="26" name="latest_supported_year"/>
    <x:tableColumn id="27" name="zero_sparse_flag"/>
    <x:tableColumn id="28" name="trajectory_availability"/>
    <x:tableColumn id="29" name="interpretation_note"/>
  </x:tableColumns>
  <x:tableStyleInfo name="TableStyleMedium2" showFirstColumn="0" showLastColumn="0" showRowStripes="1" showColumnStripes="0"/>
</x:table>
</file>

<file path=xl/tables/table8.xml><?xml version="1.0" encoding="utf-8"?>
<x:table xmlns:x="http://schemas.openxmlformats.org/spreadsheetml/2006/main" id="8" name="AnchorMatrixTable" displayName="AnchorMatrixTable" ref="A4:M147" headerRowCount="1" totalsRowCount="0" totalsRowShown="0">
  <x:autoFilter ref="A4:M147"/>
  <x:tableColumns count="13">
    <x:tableColumn id="1" name="query_id"/>
    <x:tableColumn id="2" name="surface_form"/>
    <x:tableColumn id="3" name="family"/>
    <x:tableColumn id="4" name="interpretation_class"/>
    <x:tableColumn id="5" name="1842_value"/>
    <x:tableColumn id="6" name="1938_value"/>
    <x:tableColumn id="7" name="1988_value"/>
    <x:tableColumn id="8" name="2006_value"/>
    <x:tableColumn id="9" name="2007_value"/>
    <x:tableColumn id="10" name="2006_07_mean"/>
    <x:tableColumn id="11" name="2015_value"/>
    <x:tableColumn id="12" name="2022_or_latest_value"/>
    <x:tableColumn id="13" name="latest_supported_year"/>
  </x:tableColumns>
  <x:tableStyleInfo name="TableStyleMedium2" showFirstColumn="0" showLastColumn="0" showRowStripes="1" showColumnStripes="0"/>
</x:table>
</file>

<file path=xl/tables/table9.xml><?xml version="1.0" encoding="utf-8"?>
<x:table xmlns:x="http://schemas.openxmlformats.org/spreadsheetml/2006/main" id="9" name="FamilySummaryTable" displayName="FamilySummaryTable" ref="A4:K18" headerRowCount="1" totalsRowCount="0" totalsRowShown="0">
  <x:autoFilter ref="A4:K18"/>
  <x:tableColumns count="11">
    <x:tableColumn id="1" name="family_id"/>
    <x:tableColumn id="2" name="family_code"/>
    <x:tableColumn id="3" name="members_queried"/>
    <x:tableColumn id="4" name="query_rule_count"/>
    <x:tableColumn id="5" name="members_successful"/>
    <x:tableColumn id="6" name="members_sparse_or_zero"/>
    <x:tableColumn id="7" name="earliest_observable_member"/>
    <x:tableColumn id="8" name="representative_terms_by_peak_frequency"/>
    <x:tableColumn id="9" name="member_peak_years"/>
    <x:tableColumn id="10" name="anchor_period_notes"/>
    <x:tableColumn id="11" name="semantic_comparability_warning"/>
  </x:tableColumns>
  <x:tableStyleInfo name="TableStyleMedium2" showFirstColumn="0" showLastColumn="0" showRowStripes="1" showColumnStripes="0"/>
</x:table>
</file>

<file path=xl/tables/table10.xml><?xml version="1.0" encoding="utf-8"?>
<x:table xmlns:x="http://schemas.openxmlformats.org/spreadsheetml/2006/main" id="10" name="VoiceMatrixTable" displayName="VoiceMatrixTable" ref="A4:F34" headerRowCount="1" totalsRowCount="0" totalsRowShown="0">
  <x:autoFilter ref="A4:F34"/>
  <x:tableColumns count="6">
    <x:tableColumn id="1" name="anchor_id"/>
    <x:tableColumn id="2" name="anchor_label"/>
    <x:tableColumn id="3" name="voice_code"/>
    <x:tableColumn id="4" name="coverage_status"/>
    <x:tableColumn id="5" name="representative_high_value_lexical_forms"/>
    <x:tableColumn id="6" name="source_evidence_note"/>
  </x:tableColumns>
  <x:tableStyleInfo name="TableStyleMedium2" showFirstColumn="0" showLastColumn="0" showRowStripes="1" showColumnStripes="0"/>
</x:table>
</file>

<file path=xl/tables/table11.xml><?xml version="1.0" encoding="utf-8"?>
<x:table xmlns:x="http://schemas.openxmlformats.org/spreadsheetml/2006/main" id="11" name="QueryAuditTable" displayName="QueryAuditTable" ref="A4:K147" headerRowCount="1" totalsRowCount="0" totalsRowShown="0">
  <x:autoFilter ref="A4:K147"/>
  <x:tableColumns count="11">
    <x:tableColumn id="1" name="query_id"/>
    <x:tableColumn id="2" name="anchor"/>
    <x:tableColumn id="3" name="surface_form"/>
    <x:tableColumn id="4" name="classification"/>
    <x:tableColumn id="5" name="compatibility_status"/>
    <x:tableColumn id="6" name="execution_eligible"/>
    <x:tableColumn id="7" name="reason"/>
    <x:tableColumn id="8" name="interpretation_class"/>
    <x:tableColumn id="9" name="source_report"/>
    <x:tableColumn id="10" name="source_page"/>
    <x:tableColumn id="11" name="provenance_status"/>
  </x:tableColumns>
  <x:tableStyleInfo name="TableStyleMedium2" showFirstColumn="0" showLastColumn="0" showRowStripes="1" showColumnStripes="0"/>
</x:table>
</file>

<file path=xl/tables/table12.xml><?xml version="1.0" encoding="utf-8"?>
<x:table xmlns:x="http://schemas.openxmlformats.org/spreadsheetml/2006/main" id="12" name="NgramStatusTable" displayName="NgramStatusTable" ref="A4:L147" headerRowCount="1" totalsRowCount="0" totalsRowShown="0">
  <x:autoFilter ref="A4:L147"/>
  <x:tableColumns count="12">
    <x:tableColumn id="1" name="query_id"/>
    <x:tableColumn id="2" name="request_surface_form"/>
    <x:tableColumn id="3" name="execution_status"/>
    <x:tableColumn id="4" name="attempt_count"/>
    <x:tableColumn id="5" name="observation_count"/>
    <x:tableColumn id="6" name="first_response_ngram"/>
    <x:tableColumn id="7" name="raw_response_path"/>
    <x:tableColumn id="8" name="raw_payload_sha256"/>
    <x:tableColumn id="9" name="error_reason"/>
    <x:tableColumn id="10" name="retrieved_at"/>
    <x:tableColumn id="11" name="request_url"/>
    <x:tableColumn id="12" name="content_typ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20d17532a944e35" /></Relationships>
</file>

<file path=xl/worksheets/_rels/sheet4.xml.rels>&#65279;<?xml version="1.0" encoding="utf-8"?><Relationships xmlns="http://schemas.openxmlformats.org/package/2006/relationships"><Relationship Type="http://schemas.openxmlformats.org/officeDocument/2006/relationships/table" Target="/xl/tables/table1.xml" Id="R38f3e97b7d864d46" /></Relationships>
</file>

<file path=xl/worksheets/_rels/sheet5.xml.rels>&#65279;<?xml version="1.0" encoding="utf-8"?><Relationships xmlns="http://schemas.openxmlformats.org/package/2006/relationships"><Relationship Type="http://schemas.openxmlformats.org/officeDocument/2006/relationships/table" Target="/xl/tables/table2.xml" Id="R024a2ebe7dc940ad" /><Relationship Type="http://schemas.openxmlformats.org/officeDocument/2006/relationships/table" Target="/xl/tables/table3.xml" Id="R854c507a90a54c46" /></Relationships>
</file>

<file path=xl/worksheets/_rels/sheet6.xml.rels>&#65279;<?xml version="1.0" encoding="utf-8"?><Relationships xmlns="http://schemas.openxmlformats.org/package/2006/relationships"><Relationship Type="http://schemas.openxmlformats.org/officeDocument/2006/relationships/table" Target="/xl/tables/table4.xml" Id="Rdea873dd3f114b3b" /></Relationships>
</file>

<file path=xl/worksheets/_rels/sheet7.xml.rels>&#65279;<?xml version="1.0" encoding="utf-8"?><Relationships xmlns="http://schemas.openxmlformats.org/package/2006/relationships"><Relationship Type="http://schemas.openxmlformats.org/officeDocument/2006/relationships/table" Target="/xl/tables/table5.xml" Id="R12225567bace4946" /></Relationships>
</file>

<file path=xl/worksheets/_rels/sheet8.xml.rels>&#65279;<?xml version="1.0" encoding="utf-8"?><Relationships xmlns="http://schemas.openxmlformats.org/package/2006/relationships"><Relationship Type="http://schemas.openxmlformats.org/officeDocument/2006/relationships/table" Target="/xl/tables/table6.xml" Id="R3783cb3b020d4d1e" /></Relationships>
</file>

<file path=xl/worksheets/_rels/sheet9.xml.rels>&#65279;<?xml version="1.0" encoding="utf-8"?><Relationships xmlns="http://schemas.openxmlformats.org/package/2006/relationships"><Relationship Type="http://schemas.openxmlformats.org/officeDocument/2006/relationships/table" Target="/xl/tables/table7.xml" Id="Rc28a47ae34964e2f" /></Relationships>
</file>

<file path=xl/worksheets/_rels/sheet10.xml.rels>&#65279;<?xml version="1.0" encoding="utf-8"?><Relationships xmlns="http://schemas.openxmlformats.org/package/2006/relationships"><Relationship Type="http://schemas.openxmlformats.org/officeDocument/2006/relationships/table" Target="/xl/tables/table8.xml" Id="R95ba87b3f93346fc" /></Relationships>
</file>

<file path=xl/worksheets/_rels/sheet11.xml.rels>&#65279;<?xml version="1.0" encoding="utf-8"?><Relationships xmlns="http://schemas.openxmlformats.org/package/2006/relationships"><Relationship Type="http://schemas.openxmlformats.org/officeDocument/2006/relationships/table" Target="/xl/tables/table9.xml" Id="R70b2817d056049b8" /></Relationships>
</file>

<file path=xl/worksheets/_rels/sheet12.xml.rels>&#65279;<?xml version="1.0" encoding="utf-8"?><Relationships xmlns="http://schemas.openxmlformats.org/package/2006/relationships"><Relationship Type="http://schemas.openxmlformats.org/officeDocument/2006/relationships/table" Target="/xl/tables/table10.xml" Id="R50149c6c736d48ee" /></Relationships>
</file>

<file path=xl/worksheets/_rels/sheet13.xml.rels>&#65279;<?xml version="1.0" encoding="utf-8"?><Relationships xmlns="http://schemas.openxmlformats.org/package/2006/relationships"><Relationship Type="http://schemas.openxmlformats.org/officeDocument/2006/relationships/table" Target="/xl/tables/table11.xml" Id="R6b8a65f357644df1" /></Relationships>
</file>

<file path=xl/worksheets/_rels/sheet14.xml.rels>&#65279;<?xml version="1.0" encoding="utf-8"?><Relationships xmlns="http://schemas.openxmlformats.org/package/2006/relationships"><Relationship Type="http://schemas.openxmlformats.org/officeDocument/2006/relationships/table" Target="/xl/tables/table12.xml" Id="Rf463403477374143" /></Relationships>
</file>

<file path=xl/worksheets/sheet1.xml><?xml version="1.0" encoding="utf-8"?>
<x:worksheet xmlns:x="http://schemas.openxmlformats.org/spreadsheetml/2006/main">
  <x:sheetViews>
    <x:sheetView showGridLines="0" workbookViewId="0"/>
  </x:sheetViews>
  <x:sheetFormatPr defaultRowHeight="15"/>
  <x:cols>
    <x:col min="1" max="1" width="11"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46" customHeight="1">
      <x:c r="A1" s="159" t="str">
        <x:v>Fear of Temperature - Supervisor Dashboard</x:v>
      </x:c>
      <x:c r="B1" s="159" t="str">
        <x:v>Fear of Temperature - Supervisor Dashboard</x:v>
      </x:c>
      <x:c r="C1" s="159" t="str">
        <x:v>Fear of Temperature - Supervisor Dashboard</x:v>
      </x:c>
      <x:c r="D1" s="159" t="str">
        <x:v>Fear of Temperature - Supervisor Dashboard</x:v>
      </x:c>
      <x:c r="E1" s="159" t="str">
        <x:v>Fear of Temperature - Supervisor Dashboard</x:v>
      </x:c>
      <x:c r="F1" s="159" t="str">
        <x:v>Fear of Temperature - Supervisor Dashboard</x:v>
      </x:c>
      <x:c r="G1" s="159" t="str">
        <x:v>Fear of Temperature - Supervisor Dashboard</x:v>
      </x:c>
      <x:c r="H1" s="159" t="str">
        <x:v>Fear of Temperature - Supervisor Dashboard</x:v>
      </x:c>
      <x:c r="I1" s="159" t="str">
        <x:v>Fear of Temperature - Supervisor Dashboard</x:v>
      </x:c>
      <x:c r="J1" s="159" t="str">
        <x:v>Fear of Temperature - Supervisor Dashboard</x:v>
      </x:c>
      <x:c r="K1" s="159" t="str">
        <x:v>Fear of Temperature - Supervisor Dashboard</x:v>
      </x:c>
      <x:c r="L1" s="159" t="str">
        <x:v>Fear of Temperature - Supervisor Dashboard</x:v>
      </x:c>
      <x:c r="M1" s="159" t="str">
        <x:v>Fear of Temperature - Supervisor Dashboard</x:v>
      </x:c>
      <x:c r="N1" s="159" t="str">
        <x:v>Fear of Temperature - Supervisor Dashboard</x:v>
      </x:c>
    </x:row>
    <x:row r="2">
      <x:c r="A2" s="110" t="str">
        <x:v>Six anchors · four lexical layers · five voices · fourteen semantic families · provisional quantitative and lexicographic audit</x:v>
      </x:c>
      <x:c r="B2" s="110" t="str">
        <x:v>Six anchors · four lexical layers · five voices · fourteen semantic families · provisional quantitative and lexicographic audit</x:v>
      </x:c>
      <x:c r="C2" s="110" t="str">
        <x:v>Six anchors · four lexical layers · five voices · fourteen semantic families · provisional quantitative and lexicographic audit</x:v>
      </x:c>
      <x:c r="D2" s="110" t="str">
        <x:v>Six anchors · four lexical layers · five voices · fourteen semantic families · provisional quantitative and lexicographic audit</x:v>
      </x:c>
      <x:c r="E2" s="110" t="str">
        <x:v>Six anchors · four lexical layers · five voices · fourteen semantic families · provisional quantitative and lexicographic audit</x:v>
      </x:c>
      <x:c r="F2" s="110" t="str">
        <x:v>Six anchors · four lexical layers · five voices · fourteen semantic families · provisional quantitative and lexicographic audit</x:v>
      </x:c>
      <x:c r="G2" s="110" t="str">
        <x:v>Six anchors · four lexical layers · five voices · fourteen semantic families · provisional quantitative and lexicographic audit</x:v>
      </x:c>
      <x:c r="H2" s="110" t="str">
        <x:v>Six anchors · four lexical layers · five voices · fourteen semantic families · provisional quantitative and lexicographic audit</x:v>
      </x:c>
      <x:c r="I2" s="110" t="str">
        <x:v>Six anchors · four lexical layers · five voices · fourteen semantic families · provisional quantitative and lexicographic audit</x:v>
      </x:c>
      <x:c r="J2" s="110" t="str">
        <x:v>Six anchors · four lexical layers · five voices · fourteen semantic families · provisional quantitative and lexicographic audit</x:v>
      </x:c>
      <x:c r="K2" s="110" t="str">
        <x:v>Six anchors · four lexical layers · five voices · fourteen semantic families · provisional quantitative and lexicographic audit</x:v>
      </x:c>
      <x:c r="L2" s="110" t="str">
        <x:v>Six anchors · four lexical layers · five voices · fourteen semantic families · provisional quantitative and lexicographic audit</x:v>
      </x:c>
      <x:c r="M2" s="110" t="str">
        <x:v>Six anchors · four lexical layers · five voices · fourteen semantic families · provisional quantitative and lexicographic audit</x:v>
      </x:c>
      <x:c r="N2" s="110" t="str">
        <x:v>Six anchors · four lexical layers · five voices · fourteen semantic families · provisional quantitative and lexicographic audit</x:v>
      </x:c>
    </x:row>
    <x:row r="3">
      <x:c r="A3" s="156"/>
      <x:c r="B3" s="156"/>
      <x:c r="C3" s="156"/>
      <x:c r="D3" s="156"/>
      <x:c r="E3" s="156"/>
      <x:c r="F3" s="156"/>
      <x:c r="G3" s="156"/>
      <x:c r="H3" s="156"/>
      <x:c r="I3" s="156"/>
      <x:c r="J3" s="156"/>
      <x:c r="K3" s="156"/>
      <x:c r="L3" s="156"/>
      <x:c r="M3" s="156"/>
      <x:c r="N3" s="156"/>
    </x:row>
    <x:row r="4">
      <x:c r="A4" s="113" t="str">
        <x:v>Study design</x:v>
      </x:c>
      <x:c r="B4" s="113" t="str">
        <x:v>Study design</x:v>
      </x:c>
      <x:c r="C4" s="113" t="str">
        <x:v>Study design</x:v>
      </x:c>
      <x:c r="D4" s="113" t="str">
        <x:v>Study design</x:v>
      </x:c>
      <x:c r="E4" s="119" t="str">
        <x:v>Priority-180 coverage</x:v>
      </x:c>
      <x:c r="F4" s="119" t="str">
        <x:v>Priority-180 coverage</x:v>
      </x:c>
      <x:c r="G4" s="119" t="str">
        <x:v>Priority-180 coverage</x:v>
      </x:c>
      <x:c r="H4" s="119" t="str">
        <x:v>Priority-180 coverage</x:v>
      </x:c>
      <x:c r="I4" s="163" t="str">
        <x:v>Status legend</x:v>
      </x:c>
      <x:c r="J4" s="163" t="str">
        <x:v>Status legend</x:v>
      </x:c>
      <x:c r="K4" s="163" t="str">
        <x:v>Status legend</x:v>
      </x:c>
      <x:c r="L4" s="163" t="str">
        <x:v>Status legend</x:v>
      </x:c>
      <x:c r="M4" s="163" t="str">
        <x:v>Status legend</x:v>
      </x:c>
      <x:c r="N4" s="163" t="str">
        <x:v>Status legend</x:v>
      </x:c>
    </x:row>
    <x:row r="5">
      <x:c r="A5" s="168" t="str">
        <x:v>Historical anchors</x:v>
      </x:c>
      <x:c r="B5" s="169" t="n">
        <x:f>COUNTA('Voice Matrix'!A5:A34)/5</x:f>
        <x:v>6</x:v>
      </x:c>
      <x:c r="C5" s="167" t="str">
        <x:v>6 positions</x:v>
      </x:c>
      <x:c r="D5" s="156"/>
      <x:c r="E5" s="170" t="str">
        <x:v>Ngram accounted</x:v>
      </x:c>
      <x:c r="F5" s="171" t="n">
        <x:f>COUNTA('Priority 180 Coverage'!A5:A184)</x:f>
        <x:v>180</x:v>
      </x:c>
      <x:c r="G5" s="86" t="str">
        <x:v>180 / 180</x:v>
      </x:c>
      <x:c r="H5" s="156"/>
      <x:c r="I5" s="79" t="str">
        <x:v>COMPLETE / ACCOUNTED</x:v>
      </x:c>
      <x:c r="J5" s="79" t="str">
        <x:v>COMPLETE / ACCOUNTED</x:v>
      </x:c>
      <x:c r="K5" s="79" t="str">
        <x:v>COMPLETE / ACCOUNTED</x:v>
      </x:c>
      <x:c r="L5" s="79" t="str">
        <x:v>COMPLETE / ACCOUNTED</x:v>
      </x:c>
      <x:c r="M5" s="79" t="str">
        <x:v>COMPLETE / ACCOUNTED</x:v>
      </x:c>
      <x:c r="N5" s="79" t="str">
        <x:v>COMPLETE / ACCOUNTED</x:v>
      </x:c>
    </x:row>
    <x:row r="6">
      <x:c r="A6" s="168" t="str">
        <x:v>Priority Candidates</x:v>
      </x:c>
      <x:c r="B6" s="169" t="n">
        <x:f>COUNTIF('Seed Ledger'!B5:B400,"PRIORITY_180")</x:f>
        <x:v>180</x:v>
      </x:c>
      <x:c r="C6" s="167" t="str">
        <x:v>30 per anchor</x:v>
      </x:c>
      <x:c r="D6" s="156"/>
      <x:c r="E6" s="170" t="str">
        <x:v>Dictionary accounted</x:v>
      </x:c>
      <x:c r="F6" s="171" t="n">
        <x:f>COUNTA('Dictionary 180'!A5:A184)</x:f>
        <x:v>180</x:v>
      </x:c>
      <x:c r="G6" s="86" t="str">
        <x:v>180 / 180</x:v>
      </x:c>
      <x:c r="H6" s="156"/>
      <x:c r="I6" s="180" t="str">
        <x:v>ZERO RESULT - retained as a finding</x:v>
      </x:c>
      <x:c r="J6" s="180" t="str">
        <x:v>ZERO RESULT - retained as a finding</x:v>
      </x:c>
      <x:c r="K6" s="180" t="str">
        <x:v>ZERO RESULT - retained as a finding</x:v>
      </x:c>
      <x:c r="L6" s="180" t="str">
        <x:v>ZERO RESULT - retained as a finding</x:v>
      </x:c>
      <x:c r="M6" s="180" t="str">
        <x:v>ZERO RESULT - retained as a finding</x:v>
      </x:c>
      <x:c r="N6" s="180" t="str">
        <x:v>ZERO RESULT - retained as a finding</x:v>
      </x:c>
    </x:row>
    <x:row r="7">
      <x:c r="A7" s="168" t="str">
        <x:v>Expansion Candidates</x:v>
      </x:c>
      <x:c r="B7" s="169" t="n">
        <x:f>COUNTIF('Seed Ledger'!B5:B400,"EXPANSION_36")</x:f>
        <x:v>36</x:v>
      </x:c>
      <x:c r="C7" s="167" t="str">
        <x:v>Separate denominator</x:v>
      </x:c>
      <x:c r="D7" s="156"/>
      <x:c r="E7" s="170" t="str">
        <x:v>Search accounted</x:v>
      </x:c>
      <x:c r="F7" s="171" t="n">
        <x:f>COUNTA('Search 180'!A5:A184)</x:f>
        <x:v>180</x:v>
      </x:c>
      <x:c r="G7" s="86" t="str">
        <x:v>180 / 180</x:v>
      </x:c>
      <x:c r="H7" s="156"/>
      <x:c r="I7" s="185" t="str">
        <x:v>UNRESOLVED / PENDING REVIEW</x:v>
      </x:c>
      <x:c r="J7" s="185" t="str">
        <x:v>UNRESOLVED / PENDING REVIEW</x:v>
      </x:c>
      <x:c r="K7" s="185" t="str">
        <x:v>UNRESOLVED / PENDING REVIEW</x:v>
      </x:c>
      <x:c r="L7" s="185" t="str">
        <x:v>UNRESOLVED / PENDING REVIEW</x:v>
      </x:c>
      <x:c r="M7" s="185" t="str">
        <x:v>UNRESOLVED / PENDING REVIEW</x:v>
      </x:c>
      <x:c r="N7" s="185" t="str">
        <x:v>UNRESOLVED / PENDING REVIEW</x:v>
      </x:c>
    </x:row>
    <x:row r="8">
      <x:c r="A8" s="168" t="str">
        <x:v>Lexical layers</x:v>
      </x:c>
      <x:c r="B8" s="169" t="n">
        <x:v>4</x:v>
      </x:c>
      <x:c r="C8" s="167" t="str">
        <x:v>A-D</x:v>
      </x:c>
      <x:c r="D8" s="156"/>
      <x:c r="E8" s="170" t="str">
        <x:v>Ngram unexplained</x:v>
      </x:c>
      <x:c r="F8" s="171" t="n">
        <x:f>COUNTIF('Ngram Coverage'!H5:H147,"UNRESOLVED")</x:f>
        <x:v>0</x:v>
      </x:c>
      <x:c r="G8" s="86" t="str">
        <x:v>Required: 0</x:v>
      </x:c>
      <x:c r="H8" s="156"/>
      <x:c r="I8" s="189" t="str">
        <x:v>NOT APPLICABLE</x:v>
      </x:c>
      <x:c r="J8" s="189" t="str">
        <x:v>NOT APPLICABLE</x:v>
      </x:c>
      <x:c r="K8" s="189" t="str">
        <x:v>NOT APPLICABLE</x:v>
      </x:c>
      <x:c r="L8" s="189" t="str">
        <x:v>NOT APPLICABLE</x:v>
      </x:c>
      <x:c r="M8" s="189" t="str">
        <x:v>NOT APPLICABLE</x:v>
      </x:c>
      <x:c r="N8" s="189" t="str">
        <x:v>NOT APPLICABLE</x:v>
      </x:c>
    </x:row>
    <x:row r="9">
      <x:c r="A9" s="168" t="str">
        <x:v>Voices</x:v>
      </x:c>
      <x:c r="B9" s="169" t="n">
        <x:f>COUNTA('Voice Matrix'!A5:A34)/6</x:f>
        <x:v>5</x:v>
      </x:c>
      <x:c r="C9" s="167" t="str">
        <x:v>V1-V5</x:v>
      </x:c>
      <x:c r="D9" s="156"/>
      <x:c r="E9" s="170" t="str">
        <x:v>Blank annotation metadata</x:v>
      </x:c>
      <x:c r="F9" s="171" t="n">
        <x:f>COUNTBLANK('Seed Ledger'!H5:J400)</x:f>
        <x:v>0</x:v>
      </x:c>
      <x:c r="G9" s="86" t="str">
        <x:v>Required: 0</x:v>
      </x:c>
      <x:c r="H9" s="156"/>
      <x:c r="I9" s="194" t="str">
        <x:v>SOURCE / PROVENANCE LIMITATION - explicitly labelled; not inferred</x:v>
      </x:c>
      <x:c r="J9" s="194" t="str">
        <x:v>SOURCE / PROVENANCE LIMITATION - explicitly labelled; not inferred</x:v>
      </x:c>
      <x:c r="K9" s="194" t="str">
        <x:v>SOURCE / PROVENANCE LIMITATION - explicitly labelled; not inferred</x:v>
      </x:c>
      <x:c r="L9" s="194" t="str">
        <x:v>SOURCE / PROVENANCE LIMITATION - explicitly labelled; not inferred</x:v>
      </x:c>
      <x:c r="M9" s="194" t="str">
        <x:v>SOURCE / PROVENANCE LIMITATION - explicitly labelled; not inferred</x:v>
      </x:c>
      <x:c r="N9" s="194" t="str">
        <x:v>SOURCE / PROVENANCE LIMITATION - explicitly labelled; not inferred</x:v>
      </x:c>
    </x:row>
    <x:row r="10">
      <x:c r="A10" s="168" t="str">
        <x:v>Lexical families</x:v>
      </x:c>
      <x:c r="B10" s="169" t="n">
        <x:f>COUNTA('Family Summary'!A5:A18)</x:f>
        <x:v>14</x:v>
      </x:c>
      <x:c r="C10" s="167" t="str">
        <x:v>Not synonym sets</x:v>
      </x:c>
      <x:c r="D10" s="156"/>
      <x:c r="E10" s="170" t="str">
        <x:v>Controlled missingness cells</x:v>
      </x:c>
      <x:c r="F10" s="171" t="n">
        <x:v>1310</x:v>
      </x:c>
      <x:c r="G10" s="86" t="str">
        <x:v>Visible limitations</x:v>
      </x:c>
      <x:c r="H10" s="156"/>
      <x:c r="I10" s="194" t="str">
        <x:v>SOURCE / PROVENANCE LIMITATION - explicitly labelled; not inferred</x:v>
      </x:c>
      <x:c r="J10" s="194" t="str">
        <x:v>SOURCE / PROVENANCE LIMITATION - explicitly labelled; not inferred</x:v>
      </x:c>
      <x:c r="K10" s="194" t="str">
        <x:v>SOURCE / PROVENANCE LIMITATION - explicitly labelled; not inferred</x:v>
      </x:c>
      <x:c r="L10" s="194" t="str">
        <x:v>SOURCE / PROVENANCE LIMITATION - explicitly labelled; not inferred</x:v>
      </x:c>
      <x:c r="M10" s="194" t="str">
        <x:v>SOURCE / PROVENANCE LIMITATION - explicitly labelled; not inferred</x:v>
      </x:c>
      <x:c r="N10" s="194" t="str">
        <x:v>SOURCE / PROVENANCE LIMITATION - explicitly labelled; not inferred</x:v>
      </x:c>
    </x:row>
    <x:row r="11">
      <x:c r="A11" s="156"/>
      <x:c r="B11" s="156"/>
      <x:c r="C11" s="156"/>
      <x:c r="D11" s="156"/>
      <x:c r="E11" s="156"/>
      <x:c r="F11" s="156"/>
      <x:c r="G11" s="156"/>
      <x:c r="H11" s="156"/>
      <x:c r="I11" s="156"/>
      <x:c r="J11" s="156"/>
      <x:c r="K11" s="156"/>
      <x:c r="L11" s="156"/>
      <x:c r="M11" s="156"/>
      <x:c r="N11" s="156"/>
    </x:row>
    <x:row r="12">
      <x:c r="A12" s="119" t="str">
        <x:v>Key quantitative findings - annual normalized Ngram frequency (occurrences per million)</x:v>
      </x:c>
      <x:c r="B12" s="119" t="str">
        <x:v>Key quantitative findings - annual normalized Ngram frequency (occurrences per million)</x:v>
      </x:c>
      <x:c r="C12" s="119" t="str">
        <x:v>Key quantitative findings - annual normalized Ngram frequency (occurrences per million)</x:v>
      </x:c>
      <x:c r="D12" s="119" t="str">
        <x:v>Key quantitative findings - annual normalized Ngram frequency (occurrences per million)</x:v>
      </x:c>
      <x:c r="E12" s="119" t="str">
        <x:v>Key quantitative findings - annual normalized Ngram frequency (occurrences per million)</x:v>
      </x:c>
      <x:c r="F12" s="119" t="str">
        <x:v>Key quantitative findings - annual normalized Ngram frequency (occurrences per million)</x:v>
      </x:c>
      <x:c r="G12" s="119" t="str">
        <x:v>Key quantitative findings - annual normalized Ngram frequency (occurrences per million)</x:v>
      </x:c>
      <x:c r="H12" s="119" t="str">
        <x:v>Key quantitative findings - annual normalized Ngram frequency (occurrences per million)</x:v>
      </x:c>
      <x:c r="I12" s="119" t="str">
        <x:v>Key quantitative findings - annual normalized Ngram frequency (occurrences per million)</x:v>
      </x:c>
      <x:c r="J12" s="119" t="str">
        <x:v>Key quantitative findings - annual normalized Ngram frequency (occurrences per million)</x:v>
      </x:c>
      <x:c r="K12" s="119" t="str">
        <x:v>Key quantitative findings - annual normalized Ngram frequency (occurrences per million)</x:v>
      </x:c>
      <x:c r="L12" s="119" t="str">
        <x:v>Key quantitative findings - annual normalized Ngram frequency (occurrences per million)</x:v>
      </x:c>
      <x:c r="M12" s="119" t="str">
        <x:v>Key quantitative findings - annual normalized Ngram frequency (occurrences per million)</x:v>
      </x:c>
      <x:c r="N12" s="119" t="str">
        <x:v>Key quantitative findings - annual normalized Ngram frequency (occurrences per million)</x:v>
      </x:c>
    </x:row>
    <x:row r="13">
      <x:c r="A13" s="14" t="str">
        <x:v>Term</x:v>
      </x:c>
      <x:c r="B13" s="14" t="str">
        <x:v>1988</x:v>
      </x:c>
      <x:c r="C13" s="14" t="str">
        <x:v>2022</x:v>
      </x:c>
      <x:c r="D13" s="14" t="str">
        <x:v>Peak year</x:v>
      </x:c>
      <x:c r="E13" s="14" t="str">
        <x:v>Peak per million</x:v>
      </x:c>
      <x:c r="F13" s="156"/>
      <x:c r="G13" s="14" t="str">
        <x:v>Modern compound</x:v>
      </x:c>
      <x:c r="H13" s="14" t="str">
        <x:v>2022 per million</x:v>
      </x:c>
      <x:c r="I13" s="14" t="str">
        <x:v>Peak year</x:v>
      </x:c>
      <x:c r="J13" s="14" t="str">
        <x:v>Interpretation</x:v>
      </x:c>
      <x:c r="K13" s="200" t="str">
        <x:v>Method warning
String frequency is not equivalent to historical fear.</x:v>
      </x:c>
      <x:c r="L13" s="200" t="str">
        <x:v>Method warning
String frequency is not equivalent to historical fear.</x:v>
      </x:c>
      <x:c r="M13" s="200" t="str">
        <x:v>Method warning
String frequency is not equivalent to historical fear.</x:v>
      </x:c>
      <x:c r="N13" s="200" t="str">
        <x:v>Method warning
String frequency is not equivalent to historical fear.</x:v>
      </x:c>
    </x:row>
    <x:row r="14">
      <x:c r="A14" s="71" t="str">
        <x:v>climatic change</x:v>
      </x:c>
      <x:c r="B14" s="196" t="n">
        <x:f>'Master Frequency'!$S$125*1000000</x:f>
        <x:v>0.6100814835992285</x:v>
      </x:c>
      <x:c r="C14" s="196" t="n">
        <x:f>'Master Frequency'!$X$125*1000000</x:f>
        <x:v>0.3561308840049904</x:v>
      </x:c>
      <x:c r="D14" s="71" t="n">
        <x:f>'Master Frequency'!$N$125</x:f>
        <x:v>1990</x:v>
      </x:c>
      <x:c r="E14" s="196" t="n">
        <x:f>'Master Frequency'!$O$125*1000000</x:f>
        <x:v>1.085340898890341</x:v>
      </x:c>
      <x:c r="F14" s="156"/>
      <x:c r="G14" s="71" t="str">
        <x:v>climate crisis</x:v>
      </x:c>
      <x:c r="H14" s="196" t="n">
        <x:f>'Master Frequency'!$X$127*1000000</x:f>
        <x:v>0.938814122442011</x:v>
      </x:c>
      <x:c r="I14" s="71" t="n">
        <x:f>'Master Frequency'!$N$127</x:f>
        <x:v>2022</x:v>
      </x:c>
      <x:c r="J14" s="71" t="str">
        <x:v>climate-specific threat frame</x:v>
      </x:c>
      <x:c r="K14" s="200" t="str">
        <x:v>Method warning
String frequency is not equivalent to historical fear.</x:v>
      </x:c>
      <x:c r="L14" s="200" t="str">
        <x:v>Method warning
String frequency is not equivalent to historical fear.</x:v>
      </x:c>
      <x:c r="M14" s="200" t="str">
        <x:v>Method warning
String frequency is not equivalent to historical fear.</x:v>
      </x:c>
      <x:c r="N14" s="200" t="str">
        <x:v>Method warning
String frequency is not equivalent to historical fear.</x:v>
      </x:c>
    </x:row>
    <x:row r="15">
      <x:c r="A15" s="71" t="str">
        <x:v>greenhouse effect</x:v>
      </x:c>
      <x:c r="B15" s="196" t="n">
        <x:f>'Master Frequency'!$S$45*1000000</x:f>
        <x:v>1.086015104533045</x:v>
      </x:c>
      <x:c r="C15" s="196" t="n">
        <x:f>'Master Frequency'!$X$45*1000000</x:f>
        <x:v>0.4531046594036248</x:v>
      </x:c>
      <x:c r="D15" s="71" t="n">
        <x:f>'Master Frequency'!$N$45</x:f>
        <x:v>1990</x:v>
      </x:c>
      <x:c r="E15" s="196" t="n">
        <x:f>'Master Frequency'!$O$45*1000000</x:f>
        <x:v>1.9607200425764142</x:v>
      </x:c>
      <x:c r="F15" s="156"/>
      <x:c r="G15" s="71" t="str">
        <x:v>climate emergency</x:v>
      </x:c>
      <x:c r="H15" s="196" t="n">
        <x:f>'Master Frequency'!$X$128*1000000</x:f>
        <x:v>0.2626078123846298</x:v>
      </x:c>
      <x:c r="I15" s="71" t="n">
        <x:f>'Master Frequency'!$N$128</x:f>
        <x:v>2022</x:v>
      </x:c>
      <x:c r="J15" s="71" t="str">
        <x:v>climate-specific emergency frame</x:v>
      </x:c>
      <x:c r="K15" s="200" t="str">
        <x:v>Method warning
String frequency is not equivalent to historical fear.</x:v>
      </x:c>
      <x:c r="L15" s="200" t="str">
        <x:v>Method warning
String frequency is not equivalent to historical fear.</x:v>
      </x:c>
      <x:c r="M15" s="200" t="str">
        <x:v>Method warning
String frequency is not equivalent to historical fear.</x:v>
      </x:c>
      <x:c r="N15" s="200" t="str">
        <x:v>Method warning
String frequency is not equivalent to historical fear.</x:v>
      </x:c>
    </x:row>
    <x:row r="16">
      <x:c r="A16" s="71" t="str">
        <x:v>global warming</x:v>
      </x:c>
      <x:c r="B16" s="196" t="n">
        <x:f>'Master Frequency'!$S$46*1000000</x:f>
        <x:v>0.6400895369296222</x:v>
      </x:c>
      <x:c r="C16" s="196" t="n">
        <x:f>'Master Frequency'!$X$46*1000000</x:f>
        <x:v>3.963670369644401</x:v>
      </x:c>
      <x:c r="D16" s="71" t="n">
        <x:f>'Master Frequency'!$N$46</x:f>
        <x:v>2009</x:v>
      </x:c>
      <x:c r="E16" s="196" t="n">
        <x:f>'Master Frequency'!$O$46*1000000</x:f>
        <x:v>5.445639571555194</x:v>
      </x:c>
      <x:c r="F16" s="156"/>
      <x:c r="G16" s="71" t="str">
        <x:v>climate anxiety</x:v>
      </x:c>
      <x:c r="H16" s="196" t="n">
        <x:f>'Master Frequency'!$X$120*1000000</x:f>
        <x:v>0.03579004737019886</x:v>
      </x:c>
      <x:c r="I16" s="71" t="n">
        <x:f>'Master Frequency'!$N$120</x:f>
        <x:v>2022</x:v>
      </x:c>
      <x:c r="J16" s="71" t="str">
        <x:v>often researcher-defined construct</x:v>
      </x:c>
      <x:c r="K16" s="205" t="str">
        <x:v>Key methodological result
The same word may perform different historical and social functions depending on speaker, source, expression mode and context.</x:v>
      </x:c>
      <x:c r="L16" s="205" t="str">
        <x:v>Key methodological result
The same word may perform different historical and social functions depending on speaker, source, expression mode and context.</x:v>
      </x:c>
      <x:c r="M16" s="205" t="str">
        <x:v>Key methodological result
The same word may perform different historical and social functions depending on speaker, source, expression mode and context.</x:v>
      </x:c>
      <x:c r="N16" s="205" t="str">
        <x:v>Key methodological result
The same word may perform different historical and social functions depending on speaker, source, expression mode and context.</x:v>
      </x:c>
    </x:row>
    <x:row r="17">
      <x:c r="A17" s="71" t="str">
        <x:v>climate change</x:v>
      </x:c>
      <x:c r="B17" s="196" t="n">
        <x:f>'Master Frequency'!$S$74*1000000</x:f>
        <x:v>1.240793510930149</x:v>
      </x:c>
      <x:c r="C17" s="196" t="n">
        <x:f>'Master Frequency'!$X$74*1000000</x:f>
        <x:v>28.900088152067347</x:v>
      </x:c>
      <x:c r="D17" s="71" t="n">
        <x:f>'Master Frequency'!$N$74</x:f>
        <x:v>2022</x:v>
      </x:c>
      <x:c r="E17" s="196" t="n">
        <x:f>'Master Frequency'!$O$74*1000000</x:f>
        <x:v>28.900088152067347</x:v>
      </x:c>
      <x:c r="F17" s="156"/>
      <x:c r="G17" s="71" t="str">
        <x:v>eco-anxiety</x:v>
      </x:c>
      <x:c r="H17" s="196" t="n">
        <x:f>'Master Frequency'!$X$121*1000000</x:f>
        <x:v>0.05496096178170262</x:v>
      </x:c>
      <x:c r="I17" s="71" t="n">
        <x:f>'Master Frequency'!$N$121</x:f>
        <x:v>2022</x:v>
      </x:c>
      <x:c r="J17" s="71" t="str">
        <x:v>often researcher-defined construct</x:v>
      </x:c>
      <x:c r="K17" s="205" t="str">
        <x:v>Key methodological result
The same word may perform different historical and social functions depending on speaker, source, expression mode and context.</x:v>
      </x:c>
      <x:c r="L17" s="205" t="str">
        <x:v>Key methodological result
The same word may perform different historical and social functions depending on speaker, source, expression mode and context.</x:v>
      </x:c>
      <x:c r="M17" s="205" t="str">
        <x:v>Key methodological result
The same word may perform different historical and social functions depending on speaker, source, expression mode and context.</x:v>
      </x:c>
      <x:c r="N17" s="205" t="str">
        <x:v>Key methodological result
The same word may perform different historical and social functions depending on speaker, source, expression mode and context.</x:v>
      </x:c>
    </x:row>
    <x:row r="18">
      <x:c r="A18" s="71" t="str">
        <x:v>climate crisis</x:v>
      </x:c>
      <x:c r="B18" s="196" t="n">
        <x:f>'Master Frequency'!$S$127*1000000</x:f>
        <x:v>0.001974213945099557</x:v>
      </x:c>
      <x:c r="C18" s="196" t="n">
        <x:f>'Master Frequency'!$X$127*1000000</x:f>
        <x:v>0.938814122442011</x:v>
      </x:c>
      <x:c r="D18" s="71" t="n">
        <x:f>'Master Frequency'!$N$127</x:f>
        <x:v>2022</x:v>
      </x:c>
      <x:c r="E18" s="196" t="n">
        <x:f>'Master Frequency'!$O$127*1000000</x:f>
        <x:v>0.938814122442011</x:v>
      </x:c>
      <x:c r="F18" s="156"/>
      <x:c r="G18" s="71" t="str">
        <x:v>Search metric</x:v>
      </x:c>
      <x:c r="H18" s="71" t="n">
        <x:v>180</x:v>
      </x:c>
      <x:c r="I18" s="71"/>
      <x:c r="J18" s="71" t="str">
        <x:v>Internet Archive API candidate rows</x:v>
      </x:c>
      <x:c r="K18" s="205" t="str">
        <x:v>Key methodological result
The same word may perform different historical and social functions depending on speaker, source, expression mode and context.</x:v>
      </x:c>
      <x:c r="L18" s="205" t="str">
        <x:v>Key methodological result
The same word may perform different historical and social functions depending on speaker, source, expression mode and context.</x:v>
      </x:c>
      <x:c r="M18" s="205" t="str">
        <x:v>Key methodological result
The same word may perform different historical and social functions depending on speaker, source, expression mode and context.</x:v>
      </x:c>
      <x:c r="N18" s="205" t="str">
        <x:v>Key methodological result
The same word may perform different historical and social functions depending on speaker, source, expression mode and context.</x:v>
      </x:c>
    </x:row>
    <x:row r="19">
      <x:c r="A19" s="156"/>
      <x:c r="B19" s="156"/>
      <x:c r="C19" s="156"/>
      <x:c r="D19" s="156"/>
      <x:c r="E19" s="156"/>
      <x:c r="F19" s="156"/>
      <x:c r="G19" s="156"/>
      <x:c r="H19" s="156"/>
      <x:c r="I19" s="156"/>
      <x:c r="J19" s="156"/>
      <x:c r="K19" s="156"/>
      <x:c r="L19" s="156"/>
      <x:c r="M19" s="156"/>
      <x:c r="N19" s="156"/>
    </x:row>
    <x:row r="20">
      <x:c r="A20" s="207" t="str">
        <x:v>Figure 1 - Climate framing vocabulary</x:v>
      </x:c>
      <x:c r="B20" s="207" t="str">
        <x:v>Figure 1 - Climate framing vocabulary</x:v>
      </x:c>
      <x:c r="C20" s="207" t="str">
        <x:v>Figure 1 - Climate framing vocabulary</x:v>
      </x:c>
      <x:c r="D20" s="207" t="str">
        <x:v>Figure 1 - Climate framing vocabulary</x:v>
      </x:c>
      <x:c r="E20" s="207" t="str">
        <x:v>Figure 1 - Climate framing vocabulary</x:v>
      </x:c>
      <x:c r="F20" s="207" t="str">
        <x:v>Figure 1 - Climate framing vocabulary</x:v>
      </x:c>
      <x:c r="G20" s="207" t="str">
        <x:v>Figure 1 - Climate framing vocabulary</x:v>
      </x:c>
      <x:c r="H20" s="82" t="str">
        <x:v>Figure 5 - Modern climate-specific compounds</x:v>
      </x:c>
      <x:c r="I20" s="82" t="str">
        <x:v>Figure 5 - Modern climate-specific compounds</x:v>
      </x:c>
      <x:c r="J20" s="82" t="str">
        <x:v>Figure 5 - Modern climate-specific compounds</x:v>
      </x:c>
      <x:c r="K20" s="82" t="str">
        <x:v>Figure 5 - Modern climate-specific compounds</x:v>
      </x:c>
      <x:c r="L20" s="82" t="str">
        <x:v>Figure 5 - Modern climate-specific compounds</x:v>
      </x:c>
      <x:c r="M20" s="82" t="str">
        <x:v>Figure 5 - Modern climate-specific compounds</x:v>
      </x:c>
      <x:c r="N20" s="82" t="str">
        <x:v>Figure 5 - Modern climate-specific compounds</x:v>
      </x:c>
    </x:row>
    <x:row r="21">
      <x:c r="A21" s="156"/>
      <x:c r="B21" s="156"/>
      <x:c r="C21" s="156"/>
      <x:c r="D21" s="156"/>
      <x:c r="E21" s="156"/>
      <x:c r="F21" s="156"/>
      <x:c r="G21" s="156"/>
      <x:c r="H21" s="156"/>
      <x:c r="I21" s="156"/>
      <x:c r="J21" s="156"/>
      <x:c r="K21" s="156"/>
      <x:c r="L21" s="156"/>
      <x:c r="M21" s="156"/>
      <x:c r="N21" s="156"/>
    </x:row>
    <x:row r="22">
      <x:c r="A22" s="156"/>
      <x:c r="B22" s="156"/>
      <x:c r="C22" s="156"/>
      <x:c r="D22" s="156"/>
      <x:c r="E22" s="156"/>
      <x:c r="F22" s="156"/>
      <x:c r="G22" s="156"/>
      <x:c r="H22" s="156"/>
      <x:c r="I22" s="156"/>
      <x:c r="J22" s="156"/>
      <x:c r="K22" s="156"/>
      <x:c r="L22" s="156"/>
      <x:c r="M22" s="156"/>
      <x:c r="N22" s="156"/>
    </x:row>
    <x:row r="23">
      <x:c r="A23" s="156"/>
      <x:c r="B23" s="156"/>
      <x:c r="C23" s="156"/>
      <x:c r="D23" s="156"/>
      <x:c r="E23" s="156"/>
      <x:c r="F23" s="156"/>
      <x:c r="G23" s="156"/>
      <x:c r="H23" s="156"/>
      <x:c r="I23" s="156"/>
      <x:c r="J23" s="156"/>
      <x:c r="K23" s="156"/>
      <x:c r="L23" s="156"/>
      <x:c r="M23" s="156"/>
      <x:c r="N23" s="156"/>
    </x:row>
    <x:row r="24">
      <x:c r="A24" s="156"/>
      <x:c r="B24" s="156"/>
      <x:c r="C24" s="156"/>
      <x:c r="D24" s="156"/>
      <x:c r="E24" s="156"/>
      <x:c r="F24" s="156"/>
      <x:c r="G24" s="156"/>
      <x:c r="H24" s="156"/>
      <x:c r="I24" s="156"/>
      <x:c r="J24" s="156"/>
      <x:c r="K24" s="156"/>
      <x:c r="L24" s="156"/>
      <x:c r="M24" s="156"/>
      <x:c r="N24" s="156"/>
    </x:row>
    <x:row r="25">
      <x:c r="A25" s="156"/>
      <x:c r="B25" s="156"/>
      <x:c r="C25" s="156"/>
      <x:c r="D25" s="156"/>
      <x:c r="E25" s="156"/>
      <x:c r="F25" s="156"/>
      <x:c r="G25" s="156"/>
      <x:c r="H25" s="156"/>
      <x:c r="I25" s="156"/>
      <x:c r="J25" s="156"/>
      <x:c r="K25" s="156"/>
      <x:c r="L25" s="156"/>
      <x:c r="M25" s="156"/>
      <x:c r="N25" s="156"/>
    </x:row>
    <x:row r="26">
      <x:c r="A26" s="156"/>
      <x:c r="B26" s="156"/>
      <x:c r="C26" s="156"/>
      <x:c r="D26" s="156"/>
      <x:c r="E26" s="156"/>
      <x:c r="F26" s="156"/>
      <x:c r="G26" s="156"/>
      <x:c r="H26" s="156"/>
      <x:c r="I26" s="156"/>
      <x:c r="J26" s="156"/>
      <x:c r="K26" s="156"/>
      <x:c r="L26" s="156"/>
      <x:c r="M26" s="156"/>
      <x:c r="N26" s="156"/>
    </x:row>
    <x:row r="27">
      <x:c r="A27" s="156"/>
      <x:c r="B27" s="156"/>
      <x:c r="C27" s="156"/>
      <x:c r="D27" s="156"/>
      <x:c r="E27" s="156"/>
      <x:c r="F27" s="156"/>
      <x:c r="G27" s="156"/>
      <x:c r="H27" s="156"/>
      <x:c r="I27" s="156"/>
      <x:c r="J27" s="156"/>
      <x:c r="K27" s="156"/>
      <x:c r="L27" s="156"/>
      <x:c r="M27" s="156"/>
      <x:c r="N27" s="156"/>
    </x:row>
    <x:row r="28">
      <x:c r="A28" s="156"/>
      <x:c r="B28" s="156"/>
      <x:c r="C28" s="156"/>
      <x:c r="D28" s="156"/>
      <x:c r="E28" s="156"/>
      <x:c r="F28" s="156"/>
      <x:c r="G28" s="156"/>
      <x:c r="H28" s="156"/>
      <x:c r="I28" s="156"/>
      <x:c r="J28" s="156"/>
      <x:c r="K28" s="156"/>
      <x:c r="L28" s="156"/>
      <x:c r="M28" s="156"/>
      <x:c r="N28" s="156"/>
    </x:row>
    <x:row r="29">
      <x:c r="A29" s="156"/>
      <x:c r="B29" s="156"/>
      <x:c r="C29" s="156"/>
      <x:c r="D29" s="156"/>
      <x:c r="E29" s="156"/>
      <x:c r="F29" s="156"/>
      <x:c r="G29" s="156"/>
      <x:c r="H29" s="156"/>
      <x:c r="I29" s="156"/>
      <x:c r="J29" s="156"/>
      <x:c r="K29" s="156"/>
      <x:c r="L29" s="156"/>
      <x:c r="M29" s="156"/>
      <x:c r="N29" s="156"/>
    </x:row>
    <x:row r="30">
      <x:c r="A30" s="156"/>
      <x:c r="B30" s="156"/>
      <x:c r="C30" s="156"/>
      <x:c r="D30" s="156"/>
      <x:c r="E30" s="156"/>
      <x:c r="F30" s="156"/>
      <x:c r="G30" s="156"/>
      <x:c r="H30" s="156"/>
      <x:c r="I30" s="156"/>
      <x:c r="J30" s="156"/>
      <x:c r="K30" s="156"/>
      <x:c r="L30" s="156"/>
      <x:c r="M30" s="156"/>
      <x:c r="N30" s="156"/>
    </x:row>
    <x:row r="31">
      <x:c r="A31" s="156"/>
      <x:c r="B31" s="156"/>
      <x:c r="C31" s="156"/>
      <x:c r="D31" s="156"/>
      <x:c r="E31" s="156"/>
      <x:c r="F31" s="156"/>
      <x:c r="G31" s="156"/>
      <x:c r="H31" s="156"/>
      <x:c r="I31" s="156"/>
      <x:c r="J31" s="156"/>
      <x:c r="K31" s="156"/>
      <x:c r="L31" s="156"/>
      <x:c r="M31" s="156"/>
      <x:c r="N31" s="156"/>
    </x:row>
    <x:row r="32">
      <x:c r="A32" s="156"/>
      <x:c r="B32" s="156"/>
      <x:c r="C32" s="156"/>
      <x:c r="D32" s="156"/>
      <x:c r="E32" s="156"/>
      <x:c r="F32" s="156"/>
      <x:c r="G32" s="156"/>
      <x:c r="H32" s="156"/>
      <x:c r="I32" s="156"/>
      <x:c r="J32" s="156"/>
      <x:c r="K32" s="156"/>
      <x:c r="L32" s="156"/>
      <x:c r="M32" s="156"/>
      <x:c r="N32" s="156"/>
    </x:row>
    <x:row r="33">
      <x:c r="A33" s="211" t="str">
        <x:v>Climate-specific issue labels emerge at different times in this corpus; observed presence is not historical coinage.</x:v>
      </x:c>
      <x:c r="B33" s="211" t="str">
        <x:v>Climate-specific issue labels emerge at different times in this corpus; observed presence is not historical coinage.</x:v>
      </x:c>
      <x:c r="C33" s="211" t="str">
        <x:v>Climate-specific issue labels emerge at different times in this corpus; observed presence is not historical coinage.</x:v>
      </x:c>
      <x:c r="D33" s="211" t="str">
        <x:v>Climate-specific issue labels emerge at different times in this corpus; observed presence is not historical coinage.</x:v>
      </x:c>
      <x:c r="E33" s="211" t="str">
        <x:v>Climate-specific issue labels emerge at different times in this corpus; observed presence is not historical coinage.</x:v>
      </x:c>
      <x:c r="F33" s="211" t="str">
        <x:v>Climate-specific issue labels emerge at different times in this corpus; observed presence is not historical coinage.</x:v>
      </x:c>
      <x:c r="G33" s="211" t="str">
        <x:v>Climate-specific issue labels emerge at different times in this corpus; observed presence is not historical coinage.</x:v>
      </x:c>
      <x:c r="H33" s="214" t="str">
        <x:v>Modern compounds are corpus-observed late and require source-level voice and expression-mode validation.</x:v>
      </x:c>
      <x:c r="I33" s="214" t="str">
        <x:v>Modern compounds are corpus-observed late and require source-level voice and expression-mode validation.</x:v>
      </x:c>
      <x:c r="J33" s="214" t="str">
        <x:v>Modern compounds are corpus-observed late and require source-level voice and expression-mode validation.</x:v>
      </x:c>
      <x:c r="K33" s="214" t="str">
        <x:v>Modern compounds are corpus-observed late and require source-level voice and expression-mode validation.</x:v>
      </x:c>
      <x:c r="L33" s="214" t="str">
        <x:v>Modern compounds are corpus-observed late and require source-level voice and expression-mode validation.</x:v>
      </x:c>
      <x:c r="M33" s="214" t="str">
        <x:v>Modern compounds are corpus-observed late and require source-level voice and expression-mode validation.</x:v>
      </x:c>
      <x:c r="N33" s="214" t="str">
        <x:v>Modern compounds are corpus-observed late and require source-level voice and expression-mode validation.</x:v>
      </x:c>
    </x:row>
    <x:row r="34">
      <x:c r="A34" s="211" t="str">
        <x:v>Climate-specific issue labels emerge at different times in this corpus; observed presence is not historical coinage.</x:v>
      </x:c>
      <x:c r="B34" s="211" t="str">
        <x:v>Climate-specific issue labels emerge at different times in this corpus; observed presence is not historical coinage.</x:v>
      </x:c>
      <x:c r="C34" s="211" t="str">
        <x:v>Climate-specific issue labels emerge at different times in this corpus; observed presence is not historical coinage.</x:v>
      </x:c>
      <x:c r="D34" s="211" t="str">
        <x:v>Climate-specific issue labels emerge at different times in this corpus; observed presence is not historical coinage.</x:v>
      </x:c>
      <x:c r="E34" s="211" t="str">
        <x:v>Climate-specific issue labels emerge at different times in this corpus; observed presence is not historical coinage.</x:v>
      </x:c>
      <x:c r="F34" s="211" t="str">
        <x:v>Climate-specific issue labels emerge at different times in this corpus; observed presence is not historical coinage.</x:v>
      </x:c>
      <x:c r="G34" s="211" t="str">
        <x:v>Climate-specific issue labels emerge at different times in this corpus; observed presence is not historical coinage.</x:v>
      </x:c>
      <x:c r="H34" s="214" t="str">
        <x:v>Modern compounds are corpus-observed late and require source-level voice and expression-mode validation.</x:v>
      </x:c>
      <x:c r="I34" s="214" t="str">
        <x:v>Modern compounds are corpus-observed late and require source-level voice and expression-mode validation.</x:v>
      </x:c>
      <x:c r="J34" s="214" t="str">
        <x:v>Modern compounds are corpus-observed late and require source-level voice and expression-mode validation.</x:v>
      </x:c>
      <x:c r="K34" s="214" t="str">
        <x:v>Modern compounds are corpus-observed late and require source-level voice and expression-mode validation.</x:v>
      </x:c>
      <x:c r="L34" s="214" t="str">
        <x:v>Modern compounds are corpus-observed late and require source-level voice and expression-mode validation.</x:v>
      </x:c>
      <x:c r="M34" s="214" t="str">
        <x:v>Modern compounds are corpus-observed late and require source-level voice and expression-mode validation.</x:v>
      </x:c>
      <x:c r="N34" s="214" t="str">
        <x:v>Modern compounds are corpus-observed late and require source-level voice and expression-mode validation.</x:v>
      </x:c>
    </x:row>
    <x:row r="35">
      <x:c r="A35" s="156"/>
      <x:c r="B35" s="156"/>
      <x:c r="C35" s="156"/>
      <x:c r="D35" s="156"/>
      <x:c r="E35" s="156"/>
      <x:c r="F35" s="156"/>
      <x:c r="G35" s="156"/>
      <x:c r="H35" s="156"/>
      <x:c r="I35" s="156"/>
      <x:c r="J35" s="156"/>
      <x:c r="K35" s="156"/>
      <x:c r="L35" s="156"/>
      <x:c r="M35" s="156"/>
      <x:c r="N35" s="156"/>
    </x:row>
    <x:row r="36">
      <x:c r="A36" s="207" t="str">
        <x:v>Figure 2 - Temperature and heat vocabulary</x:v>
      </x:c>
      <x:c r="B36" s="207" t="str">
        <x:v>Figure 2 - Temperature and heat vocabulary</x:v>
      </x:c>
      <x:c r="C36" s="207" t="str">
        <x:v>Figure 2 - Temperature and heat vocabulary</x:v>
      </x:c>
      <x:c r="D36" s="207" t="str">
        <x:v>Figure 2 - Temperature and heat vocabulary</x:v>
      </x:c>
      <x:c r="E36" s="207" t="str">
        <x:v>Figure 2 - Temperature and heat vocabulary</x:v>
      </x:c>
      <x:c r="F36" s="207" t="str">
        <x:v>Figure 2 - Temperature and heat vocabulary</x:v>
      </x:c>
      <x:c r="G36" s="207" t="str">
        <x:v>Figure 2 - Temperature and heat vocabulary</x:v>
      </x:c>
      <x:c r="H36" s="82" t="str">
        <x:v>Figure 3 - Threat and risk vocabulary</x:v>
      </x:c>
      <x:c r="I36" s="82" t="str">
        <x:v>Figure 3 - Threat and risk vocabulary</x:v>
      </x:c>
      <x:c r="J36" s="82" t="str">
        <x:v>Figure 3 - Threat and risk vocabulary</x:v>
      </x:c>
      <x:c r="K36" s="82" t="str">
        <x:v>Figure 3 - Threat and risk vocabulary</x:v>
      </x:c>
      <x:c r="L36" s="82" t="str">
        <x:v>Figure 3 - Threat and risk vocabulary</x:v>
      </x:c>
      <x:c r="M36" s="82" t="str">
        <x:v>Figure 3 - Threat and risk vocabulary</x:v>
      </x:c>
      <x:c r="N36" s="82" t="str">
        <x:v>Figure 3 - Threat and risk vocabulary</x:v>
      </x:c>
    </x:row>
    <x:row r="37">
      <x:c r="A37" s="156"/>
      <x:c r="B37" s="156"/>
      <x:c r="C37" s="156"/>
      <x:c r="D37" s="156"/>
      <x:c r="E37" s="156"/>
      <x:c r="F37" s="156"/>
      <x:c r="G37" s="156"/>
      <x:c r="H37" s="156"/>
      <x:c r="I37" s="156"/>
      <x:c r="J37" s="156"/>
      <x:c r="K37" s="156"/>
      <x:c r="L37" s="156"/>
      <x:c r="M37" s="156"/>
      <x:c r="N37" s="156"/>
    </x:row>
    <x:row r="38">
      <x:c r="A38" s="156"/>
      <x:c r="B38" s="156"/>
      <x:c r="C38" s="156"/>
      <x:c r="D38" s="156"/>
      <x:c r="E38" s="156"/>
      <x:c r="F38" s="156"/>
      <x:c r="G38" s="156"/>
      <x:c r="H38" s="156"/>
      <x:c r="I38" s="156"/>
      <x:c r="J38" s="156"/>
      <x:c r="K38" s="156"/>
      <x:c r="L38" s="156"/>
      <x:c r="M38" s="156"/>
      <x:c r="N38" s="156"/>
    </x:row>
    <x:row r="39">
      <x:c r="A39" s="156"/>
      <x:c r="B39" s="156"/>
      <x:c r="C39" s="156"/>
      <x:c r="D39" s="156"/>
      <x:c r="E39" s="156"/>
      <x:c r="F39" s="156"/>
      <x:c r="G39" s="156"/>
      <x:c r="H39" s="156"/>
      <x:c r="I39" s="156"/>
      <x:c r="J39" s="156"/>
      <x:c r="K39" s="156"/>
      <x:c r="L39" s="156"/>
      <x:c r="M39" s="156"/>
      <x:c r="N39" s="156"/>
    </x:row>
    <x:row r="40">
      <x:c r="A40" s="156"/>
      <x:c r="B40" s="156"/>
      <x:c r="C40" s="156"/>
      <x:c r="D40" s="156"/>
      <x:c r="E40" s="156"/>
      <x:c r="F40" s="156"/>
      <x:c r="G40" s="156"/>
      <x:c r="H40" s="156"/>
      <x:c r="I40" s="156"/>
      <x:c r="J40" s="156"/>
      <x:c r="K40" s="156"/>
      <x:c r="L40" s="156"/>
      <x:c r="M40" s="156"/>
      <x:c r="N40" s="156"/>
    </x:row>
    <x:row r="41">
      <x:c r="A41" s="156"/>
      <x:c r="B41" s="156"/>
      <x:c r="C41" s="156"/>
      <x:c r="D41" s="156"/>
      <x:c r="E41" s="156"/>
      <x:c r="F41" s="156"/>
      <x:c r="G41" s="156"/>
      <x:c r="H41" s="156"/>
      <x:c r="I41" s="156"/>
      <x:c r="J41" s="156"/>
      <x:c r="K41" s="156"/>
      <x:c r="L41" s="156"/>
      <x:c r="M41" s="156"/>
      <x:c r="N41" s="156"/>
    </x:row>
    <x:row r="42">
      <x:c r="A42" s="156"/>
      <x:c r="B42" s="156"/>
      <x:c r="C42" s="156"/>
      <x:c r="D42" s="156"/>
      <x:c r="E42" s="156"/>
      <x:c r="F42" s="156"/>
      <x:c r="G42" s="156"/>
      <x:c r="H42" s="156"/>
      <x:c r="I42" s="156"/>
      <x:c r="J42" s="156"/>
      <x:c r="K42" s="156"/>
      <x:c r="L42" s="156"/>
      <x:c r="M42" s="156"/>
      <x:c r="N42" s="156"/>
    </x:row>
    <x:row r="43">
      <x:c r="A43" s="156"/>
      <x:c r="B43" s="156"/>
      <x:c r="C43" s="156"/>
      <x:c r="D43" s="156"/>
      <x:c r="E43" s="156"/>
      <x:c r="F43" s="156"/>
      <x:c r="G43" s="156"/>
      <x:c r="H43" s="156"/>
      <x:c r="I43" s="156"/>
      <x:c r="J43" s="156"/>
      <x:c r="K43" s="156"/>
      <x:c r="L43" s="156"/>
      <x:c r="M43" s="156"/>
      <x:c r="N43" s="156"/>
    </x:row>
    <x:row r="44">
      <x:c r="A44" s="156"/>
      <x:c r="B44" s="156"/>
      <x:c r="C44" s="156"/>
      <x:c r="D44" s="156"/>
      <x:c r="E44" s="156"/>
      <x:c r="F44" s="156"/>
      <x:c r="G44" s="156"/>
      <x:c r="H44" s="156"/>
      <x:c r="I44" s="156"/>
      <x:c r="J44" s="156"/>
      <x:c r="K44" s="156"/>
      <x:c r="L44" s="156"/>
      <x:c r="M44" s="156"/>
      <x:c r="N44" s="156"/>
    </x:row>
    <x:row r="45">
      <x:c r="A45" s="156"/>
      <x:c r="B45" s="156"/>
      <x:c r="C45" s="156"/>
      <x:c r="D45" s="156"/>
      <x:c r="E45" s="156"/>
      <x:c r="F45" s="156"/>
      <x:c r="G45" s="156"/>
      <x:c r="H45" s="156"/>
      <x:c r="I45" s="156"/>
      <x:c r="J45" s="156"/>
      <x:c r="K45" s="156"/>
      <x:c r="L45" s="156"/>
      <x:c r="M45" s="156"/>
      <x:c r="N45" s="156"/>
    </x:row>
    <x:row r="46">
      <x:c r="A46" s="156"/>
      <x:c r="B46" s="156"/>
      <x:c r="C46" s="156"/>
      <x:c r="D46" s="156"/>
      <x:c r="E46" s="156"/>
      <x:c r="F46" s="156"/>
      <x:c r="G46" s="156"/>
      <x:c r="H46" s="156"/>
      <x:c r="I46" s="156"/>
      <x:c r="J46" s="156"/>
      <x:c r="K46" s="156"/>
      <x:c r="L46" s="156"/>
      <x:c r="M46" s="156"/>
      <x:c r="N46" s="156"/>
    </x:row>
    <x:row r="47">
      <x:c r="A47" s="156"/>
      <x:c r="B47" s="156"/>
      <x:c r="C47" s="156"/>
      <x:c r="D47" s="156"/>
      <x:c r="E47" s="156"/>
      <x:c r="F47" s="156"/>
      <x:c r="G47" s="156"/>
      <x:c r="H47" s="156"/>
      <x:c r="I47" s="156"/>
      <x:c r="J47" s="156"/>
      <x:c r="K47" s="156"/>
      <x:c r="L47" s="156"/>
      <x:c r="M47" s="156"/>
      <x:c r="N47" s="156"/>
    </x:row>
    <x:row r="48">
      <x:c r="A48" s="156"/>
      <x:c r="B48" s="156"/>
      <x:c r="C48" s="156"/>
      <x:c r="D48" s="156"/>
      <x:c r="E48" s="156"/>
      <x:c r="F48" s="156"/>
      <x:c r="G48" s="156"/>
      <x:c r="H48" s="156"/>
      <x:c r="I48" s="156"/>
      <x:c r="J48" s="156"/>
      <x:c r="K48" s="156"/>
      <x:c r="L48" s="156"/>
      <x:c r="M48" s="156"/>
      <x:c r="N48" s="156"/>
    </x:row>
    <x:row r="49">
      <x:c r="A49" s="156"/>
      <x:c r="B49" s="156"/>
      <x:c r="C49" s="156"/>
      <x:c r="D49" s="156"/>
      <x:c r="E49" s="156"/>
      <x:c r="F49" s="156"/>
      <x:c r="G49" s="156"/>
      <x:c r="H49" s="156"/>
      <x:c r="I49" s="156"/>
      <x:c r="J49" s="156"/>
      <x:c r="K49" s="156"/>
      <x:c r="L49" s="156"/>
      <x:c r="M49" s="156"/>
      <x:c r="N49" s="156"/>
    </x:row>
    <x:row r="50">
      <x:c r="A50" s="156"/>
      <x:c r="B50" s="156"/>
      <x:c r="C50" s="156"/>
      <x:c r="D50" s="156"/>
      <x:c r="E50" s="156"/>
      <x:c r="F50" s="156"/>
      <x:c r="G50" s="156"/>
      <x:c r="H50" s="156"/>
      <x:c r="I50" s="156"/>
      <x:c r="J50" s="156"/>
      <x:c r="K50" s="156"/>
      <x:c r="L50" s="156"/>
      <x:c r="M50" s="156"/>
      <x:c r="N50" s="156"/>
    </x:row>
    <x:row r="51">
      <x:c r="A51" s="156"/>
      <x:c r="B51" s="156"/>
      <x:c r="C51" s="156"/>
      <x:c r="D51" s="156"/>
      <x:c r="E51" s="156"/>
      <x:c r="F51" s="156"/>
      <x:c r="G51" s="156"/>
      <x:c r="H51" s="156"/>
      <x:c r="I51" s="156"/>
      <x:c r="J51" s="156"/>
      <x:c r="K51" s="156"/>
      <x:c r="L51" s="156"/>
      <x:c r="M51" s="156"/>
      <x:c r="N51" s="156"/>
    </x:row>
    <x:row r="52">
      <x:c r="A52" s="156"/>
      <x:c r="B52" s="156"/>
      <x:c r="C52" s="156"/>
      <x:c r="D52" s="156"/>
      <x:c r="E52" s="156"/>
      <x:c r="F52" s="156"/>
      <x:c r="G52" s="156"/>
      <x:c r="H52" s="156"/>
      <x:c r="I52" s="156"/>
      <x:c r="J52" s="156"/>
      <x:c r="K52" s="156"/>
      <x:c r="L52" s="156"/>
      <x:c r="M52" s="156"/>
      <x:c r="N52" s="156"/>
    </x:row>
    <x:row r="53">
      <x:c r="A53" s="156"/>
      <x:c r="B53" s="156"/>
      <x:c r="C53" s="156"/>
      <x:c r="D53" s="156"/>
      <x:c r="E53" s="156"/>
      <x:c r="F53" s="156"/>
      <x:c r="G53" s="156"/>
      <x:c r="H53" s="156"/>
      <x:c r="I53" s="156"/>
      <x:c r="J53" s="156"/>
      <x:c r="K53" s="156"/>
      <x:c r="L53" s="156"/>
      <x:c r="M53" s="156"/>
      <x:c r="N53" s="156"/>
    </x:row>
    <x:row r="54">
      <x:c r="A54" s="156"/>
      <x:c r="B54" s="156"/>
      <x:c r="C54" s="156"/>
      <x:c r="D54" s="156"/>
      <x:c r="E54" s="156"/>
      <x:c r="F54" s="156"/>
      <x:c r="G54" s="156"/>
      <x:c r="H54" s="156"/>
      <x:c r="I54" s="156"/>
      <x:c r="J54" s="156"/>
      <x:c r="K54" s="156"/>
      <x:c r="L54" s="156"/>
      <x:c r="M54" s="156"/>
      <x:c r="N54" s="156"/>
    </x:row>
    <x:row r="55">
      <x:c r="A55" s="211" t="str">
        <x:v>Broad physical terms span the interval but are semantically ambiguous; their frequency does not identify climate meaning.</x:v>
      </x:c>
      <x:c r="B55" s="211" t="str">
        <x:v>Broad physical terms span the interval but are semantically ambiguous; their frequency does not identify climate meaning.</x:v>
      </x:c>
      <x:c r="C55" s="211" t="str">
        <x:v>Broad physical terms span the interval but are semantically ambiguous; their frequency does not identify climate meaning.</x:v>
      </x:c>
      <x:c r="D55" s="211" t="str">
        <x:v>Broad physical terms span the interval but are semantically ambiguous; their frequency does not identify climate meaning.</x:v>
      </x:c>
      <x:c r="E55" s="211" t="str">
        <x:v>Broad physical terms span the interval but are semantically ambiguous; their frequency does not identify climate meaning.</x:v>
      </x:c>
      <x:c r="F55" s="211" t="str">
        <x:v>Broad physical terms span the interval but are semantically ambiguous; their frequency does not identify climate meaning.</x:v>
      </x:c>
      <x:c r="G55" s="211" t="str">
        <x:v>Broad physical terms span the interval but are semantically ambiguous; their frequency does not identify climate meaning.</x:v>
      </x:c>
      <x:c r="H55" s="214" t="str">
        <x:v>Threat and risk strings are not emotion measures and include extensive non-climate senses.</x:v>
      </x:c>
      <x:c r="I55" s="214" t="str">
        <x:v>Threat and risk strings are not emotion measures and include extensive non-climate senses.</x:v>
      </x:c>
      <x:c r="J55" s="214" t="str">
        <x:v>Threat and risk strings are not emotion measures and include extensive non-climate senses.</x:v>
      </x:c>
      <x:c r="K55" s="214" t="str">
        <x:v>Threat and risk strings are not emotion measures and include extensive non-climate senses.</x:v>
      </x:c>
      <x:c r="L55" s="214" t="str">
        <x:v>Threat and risk strings are not emotion measures and include extensive non-climate senses.</x:v>
      </x:c>
      <x:c r="M55" s="214" t="str">
        <x:v>Threat and risk strings are not emotion measures and include extensive non-climate senses.</x:v>
      </x:c>
      <x:c r="N55" s="214" t="str">
        <x:v>Threat and risk strings are not emotion measures and include extensive non-climate senses.</x:v>
      </x:c>
    </x:row>
    <x:row r="56">
      <x:c r="A56" s="211" t="str">
        <x:v>Broad physical terms span the interval but are semantically ambiguous; their frequency does not identify climate meaning.</x:v>
      </x:c>
      <x:c r="B56" s="211" t="str">
        <x:v>Broad physical terms span the interval but are semantically ambiguous; their frequency does not identify climate meaning.</x:v>
      </x:c>
      <x:c r="C56" s="211" t="str">
        <x:v>Broad physical terms span the interval but are semantically ambiguous; their frequency does not identify climate meaning.</x:v>
      </x:c>
      <x:c r="D56" s="211" t="str">
        <x:v>Broad physical terms span the interval but are semantically ambiguous; their frequency does not identify climate meaning.</x:v>
      </x:c>
      <x:c r="E56" s="211" t="str">
        <x:v>Broad physical terms span the interval but are semantically ambiguous; their frequency does not identify climate meaning.</x:v>
      </x:c>
      <x:c r="F56" s="211" t="str">
        <x:v>Broad physical terms span the interval but are semantically ambiguous; their frequency does not identify climate meaning.</x:v>
      </x:c>
      <x:c r="G56" s="211" t="str">
        <x:v>Broad physical terms span the interval but are semantically ambiguous; their frequency does not identify climate meaning.</x:v>
      </x:c>
      <x:c r="H56" s="214" t="str">
        <x:v>Threat and risk strings are not emotion measures and include extensive non-climate senses.</x:v>
      </x:c>
      <x:c r="I56" s="214" t="str">
        <x:v>Threat and risk strings are not emotion measures and include extensive non-climate senses.</x:v>
      </x:c>
      <x:c r="J56" s="214" t="str">
        <x:v>Threat and risk strings are not emotion measures and include extensive non-climate senses.</x:v>
      </x:c>
      <x:c r="K56" s="214" t="str">
        <x:v>Threat and risk strings are not emotion measures and include extensive non-climate senses.</x:v>
      </x:c>
      <x:c r="L56" s="214" t="str">
        <x:v>Threat and risk strings are not emotion measures and include extensive non-climate senses.</x:v>
      </x:c>
      <x:c r="M56" s="214" t="str">
        <x:v>Threat and risk strings are not emotion measures and include extensive non-climate senses.</x:v>
      </x:c>
      <x:c r="N56" s="214" t="str">
        <x:v>Threat and risk strings are not emotion measures and include extensive non-climate senses.</x:v>
      </x:c>
    </x:row>
    <x:row r="57">
      <x:c r="A57" s="156"/>
      <x:c r="B57" s="156"/>
      <x:c r="C57" s="156"/>
      <x:c r="D57" s="156"/>
      <x:c r="E57" s="156"/>
      <x:c r="F57" s="156"/>
      <x:c r="G57" s="156"/>
      <x:c r="H57" s="156"/>
      <x:c r="I57" s="156"/>
      <x:c r="J57" s="156"/>
      <x:c r="K57" s="156"/>
      <x:c r="L57" s="156"/>
      <x:c r="M57" s="156"/>
      <x:c r="N57" s="156"/>
    </x:row>
    <x:row r="58">
      <x:c r="A58" s="207" t="str">
        <x:v>Figure 4 - Affect vocabulary</x:v>
      </x:c>
      <x:c r="B58" s="207" t="str">
        <x:v>Figure 4 - Affect vocabulary</x:v>
      </x:c>
      <x:c r="C58" s="207" t="str">
        <x:v>Figure 4 - Affect vocabulary</x:v>
      </x:c>
      <x:c r="D58" s="207" t="str">
        <x:v>Figure 4 - Affect vocabulary</x:v>
      </x:c>
      <x:c r="E58" s="207" t="str">
        <x:v>Figure 4 - Affect vocabulary</x:v>
      </x:c>
      <x:c r="F58" s="207" t="str">
        <x:v>Figure 4 - Affect vocabulary</x:v>
      </x:c>
      <x:c r="G58" s="207" t="str">
        <x:v>Figure 4 - Affect vocabulary</x:v>
      </x:c>
      <x:c r="H58" s="218" t="str">
        <x:v>Next research gate</x:v>
      </x:c>
      <x:c r="I58" s="218" t="str">
        <x:v>Next research gate</x:v>
      </x:c>
      <x:c r="J58" s="218" t="str">
        <x:v>Next research gate</x:v>
      </x:c>
      <x:c r="K58" s="218" t="str">
        <x:v>Next research gate</x:v>
      </x:c>
      <x:c r="L58" s="218" t="str">
        <x:v>Next research gate</x:v>
      </x:c>
      <x:c r="M58" s="218" t="str">
        <x:v>Next research gate</x:v>
      </x:c>
      <x:c r="N58" s="218" t="str">
        <x:v>Next research gate</x:v>
      </x:c>
    </x:row>
    <x:row r="59">
      <x:c r="A59" s="156"/>
      <x:c r="B59" s="156"/>
      <x:c r="C59" s="156"/>
      <x:c r="D59" s="156"/>
      <x:c r="E59" s="156"/>
      <x:c r="F59" s="156"/>
      <x:c r="G59" s="156"/>
      <x:c r="H59" s="156"/>
      <x:c r="I59" s="156"/>
      <x:c r="J59" s="156"/>
      <x:c r="K59" s="156"/>
      <x:c r="L59" s="156"/>
      <x:c r="M59" s="156"/>
      <x:c r="N59" s="156"/>
    </x:row>
    <x:row r="60">
      <x:c r="A60" s="156"/>
      <x:c r="B60" s="156"/>
      <x:c r="C60" s="156"/>
      <x:c r="D60" s="156"/>
      <x:c r="E60" s="156"/>
      <x:c r="F60" s="156"/>
      <x:c r="G60" s="156"/>
      <x:c r="H60" s="223" t="str">
        <x:v>Passage-level semantic validation after complete 180-keyword lexical coverage.</x:v>
      </x:c>
      <x:c r="I60" s="223" t="str">
        <x:v>Passage-level semantic validation after complete 180-keyword lexical coverage.</x:v>
      </x:c>
      <x:c r="J60" s="223" t="str">
        <x:v>Passage-level semantic validation after complete 180-keyword lexical coverage.</x:v>
      </x:c>
      <x:c r="K60" s="223" t="str">
        <x:v>Passage-level semantic validation after complete 180-keyword lexical coverage.</x:v>
      </x:c>
      <x:c r="L60" s="223" t="str">
        <x:v>Passage-level semantic validation after complete 180-keyword lexical coverage.</x:v>
      </x:c>
      <x:c r="M60" s="223" t="str">
        <x:v>Passage-level semantic validation after complete 180-keyword lexical coverage.</x:v>
      </x:c>
      <x:c r="N60" s="223" t="str">
        <x:v>Passage-level semantic validation after complete 180-keyword lexical coverage.</x:v>
      </x:c>
    </x:row>
    <x:row r="61">
      <x:c r="A61" s="156"/>
      <x:c r="B61" s="156"/>
      <x:c r="C61" s="156"/>
      <x:c r="D61" s="156"/>
      <x:c r="E61" s="156"/>
      <x:c r="F61" s="156"/>
      <x:c r="G61" s="156"/>
      <x:c r="H61" s="223" t="str">
        <x:v>Passage-level semantic validation after complete 180-keyword lexical coverage.</x:v>
      </x:c>
      <x:c r="I61" s="223" t="str">
        <x:v>Passage-level semantic validation after complete 180-keyword lexical coverage.</x:v>
      </x:c>
      <x:c r="J61" s="223" t="str">
        <x:v>Passage-level semantic validation after complete 180-keyword lexical coverage.</x:v>
      </x:c>
      <x:c r="K61" s="223" t="str">
        <x:v>Passage-level semantic validation after complete 180-keyword lexical coverage.</x:v>
      </x:c>
      <x:c r="L61" s="223" t="str">
        <x:v>Passage-level semantic validation after complete 180-keyword lexical coverage.</x:v>
      </x:c>
      <x:c r="M61" s="223" t="str">
        <x:v>Passage-level semantic validation after complete 180-keyword lexical coverage.</x:v>
      </x:c>
      <x:c r="N61" s="223" t="str">
        <x:v>Passage-level semantic validation after complete 180-keyword lexical coverage.</x:v>
      </x:c>
    </x:row>
    <x:row r="62">
      <x:c r="A62" s="156"/>
      <x:c r="B62" s="156"/>
      <x:c r="C62" s="156"/>
      <x:c r="D62" s="156"/>
      <x:c r="E62" s="156"/>
      <x:c r="F62" s="156"/>
      <x:c r="G62" s="156"/>
      <x:c r="H62" s="223" t="str">
        <x:v>Passage-level semantic validation after complete 180-keyword lexical coverage.</x:v>
      </x:c>
      <x:c r="I62" s="223" t="str">
        <x:v>Passage-level semantic validation after complete 180-keyword lexical coverage.</x:v>
      </x:c>
      <x:c r="J62" s="223" t="str">
        <x:v>Passage-level semantic validation after complete 180-keyword lexical coverage.</x:v>
      </x:c>
      <x:c r="K62" s="223" t="str">
        <x:v>Passage-level semantic validation after complete 180-keyword lexical coverage.</x:v>
      </x:c>
      <x:c r="L62" s="223" t="str">
        <x:v>Passage-level semantic validation after complete 180-keyword lexical coverage.</x:v>
      </x:c>
      <x:c r="M62" s="223" t="str">
        <x:v>Passage-level semantic validation after complete 180-keyword lexical coverage.</x:v>
      </x:c>
      <x:c r="N62" s="223" t="str">
        <x:v>Passage-level semantic validation after complete 180-keyword lexical coverage.</x:v>
      </x:c>
    </x:row>
    <x:row r="63">
      <x:c r="A63" s="156"/>
      <x:c r="B63" s="156"/>
      <x:c r="C63" s="156"/>
      <x:c r="D63" s="156"/>
      <x:c r="E63" s="156"/>
      <x:c r="F63" s="156"/>
      <x:c r="G63" s="156"/>
      <x:c r="H63" s="223" t="str">
        <x:v>Passage-level semantic validation after complete 180-keyword lexical coverage.</x:v>
      </x:c>
      <x:c r="I63" s="223" t="str">
        <x:v>Passage-level semantic validation after complete 180-keyword lexical coverage.</x:v>
      </x:c>
      <x:c r="J63" s="223" t="str">
        <x:v>Passage-level semantic validation after complete 180-keyword lexical coverage.</x:v>
      </x:c>
      <x:c r="K63" s="223" t="str">
        <x:v>Passage-level semantic validation after complete 180-keyword lexical coverage.</x:v>
      </x:c>
      <x:c r="L63" s="223" t="str">
        <x:v>Passage-level semantic validation after complete 180-keyword lexical coverage.</x:v>
      </x:c>
      <x:c r="M63" s="223" t="str">
        <x:v>Passage-level semantic validation after complete 180-keyword lexical coverage.</x:v>
      </x:c>
      <x:c r="N63" s="223" t="str">
        <x:v>Passage-level semantic validation after complete 180-keyword lexical coverage.</x:v>
      </x:c>
    </x:row>
    <x:row r="64">
      <x:c r="A64" s="156"/>
      <x:c r="B64" s="156"/>
      <x:c r="C64" s="156"/>
      <x:c r="D64" s="156"/>
      <x:c r="E64" s="156"/>
      <x:c r="F64" s="156"/>
      <x:c r="G64" s="156"/>
      <x:c r="H64" s="223" t="str">
        <x:v>Passage-level semantic validation after complete 180-keyword lexical coverage.</x:v>
      </x:c>
      <x:c r="I64" s="223" t="str">
        <x:v>Passage-level semantic validation after complete 180-keyword lexical coverage.</x:v>
      </x:c>
      <x:c r="J64" s="223" t="str">
        <x:v>Passage-level semantic validation after complete 180-keyword lexical coverage.</x:v>
      </x:c>
      <x:c r="K64" s="223" t="str">
        <x:v>Passage-level semantic validation after complete 180-keyword lexical coverage.</x:v>
      </x:c>
      <x:c r="L64" s="223" t="str">
        <x:v>Passage-level semantic validation after complete 180-keyword lexical coverage.</x:v>
      </x:c>
      <x:c r="M64" s="223" t="str">
        <x:v>Passage-level semantic validation after complete 180-keyword lexical coverage.</x:v>
      </x:c>
      <x:c r="N64" s="223" t="str">
        <x:v>Passage-level semantic validation after complete 180-keyword lexical coverage.</x:v>
      </x:c>
    </x:row>
    <x:row r="65">
      <x:c r="A65" s="156"/>
      <x:c r="B65" s="156"/>
      <x:c r="C65" s="156"/>
      <x:c r="D65" s="156"/>
      <x:c r="E65" s="156"/>
      <x:c r="F65" s="156"/>
      <x:c r="G65" s="156"/>
      <x:c r="H65" s="223" t="str">
        <x:v>Passage-level semantic validation after complete 180-keyword lexical coverage.</x:v>
      </x:c>
      <x:c r="I65" s="223" t="str">
        <x:v>Passage-level semantic validation after complete 180-keyword lexical coverage.</x:v>
      </x:c>
      <x:c r="J65" s="223" t="str">
        <x:v>Passage-level semantic validation after complete 180-keyword lexical coverage.</x:v>
      </x:c>
      <x:c r="K65" s="223" t="str">
        <x:v>Passage-level semantic validation after complete 180-keyword lexical coverage.</x:v>
      </x:c>
      <x:c r="L65" s="223" t="str">
        <x:v>Passage-level semantic validation after complete 180-keyword lexical coverage.</x:v>
      </x:c>
      <x:c r="M65" s="223" t="str">
        <x:v>Passage-level semantic validation after complete 180-keyword lexical coverage.</x:v>
      </x:c>
      <x:c r="N65" s="223" t="str">
        <x:v>Passage-level semantic validation after complete 180-keyword lexical coverage.</x:v>
      </x:c>
    </x:row>
    <x:row r="66">
      <x:c r="A66" s="156"/>
      <x:c r="B66" s="156"/>
      <x:c r="C66" s="156"/>
      <x:c r="D66" s="156"/>
      <x:c r="E66" s="156"/>
      <x:c r="F66" s="156"/>
      <x:c r="G66" s="156"/>
      <x:c r="H66" s="156"/>
      <x:c r="I66" s="156"/>
      <x:c r="J66" s="156"/>
      <x:c r="K66" s="156"/>
      <x:c r="L66" s="156"/>
      <x:c r="M66" s="156"/>
      <x:c r="N66" s="156"/>
    </x:row>
    <x:row r="67">
      <x:c r="A67" s="156"/>
      <x:c r="B67" s="156"/>
      <x:c r="C67" s="156"/>
      <x:c r="D67" s="156"/>
      <x:c r="E67" s="156"/>
      <x:c r="F67" s="156"/>
      <x:c r="G67" s="156"/>
      <x:c r="H67" s="104" t="str">
        <x:v>Generated from the current project database and research exports; source tables remain version-controlled.
Primary search metric: Internet Archive Advanced Search API numFound at retrieval time. This is a discovery count, not language prevalence.</x:v>
      </x:c>
      <x:c r="I67" s="104" t="str">
        <x:v>Generated from the current project database and research exports; source tables remain version-controlled.
Primary search metric: Internet Archive Advanced Search API numFound at retrieval time. This is a discovery count, not language prevalence.</x:v>
      </x:c>
      <x:c r="J67" s="104" t="str">
        <x:v>Generated from the current project database and research exports; source tables remain version-controlled.
Primary search metric: Internet Archive Advanced Search API numFound at retrieval time. This is a discovery count, not language prevalence.</x:v>
      </x:c>
      <x:c r="K67" s="104" t="str">
        <x:v>Generated from the current project database and research exports; source tables remain version-controlled.
Primary search metric: Internet Archive Advanced Search API numFound at retrieval time. This is a discovery count, not language prevalence.</x:v>
      </x:c>
      <x:c r="L67" s="104" t="str">
        <x:v>Generated from the current project database and research exports; source tables remain version-controlled.
Primary search metric: Internet Archive Advanced Search API numFound at retrieval time. This is a discovery count, not language prevalence.</x:v>
      </x:c>
      <x:c r="M67" s="104" t="str">
        <x:v>Generated from the current project database and research exports; source tables remain version-controlled.
Primary search metric: Internet Archive Advanced Search API numFound at retrieval time. This is a discovery count, not language prevalence.</x:v>
      </x:c>
      <x:c r="N67" s="104" t="str">
        <x:v>Generated from the current project database and research exports; source tables remain version-controlled.
Primary search metric: Internet Archive Advanced Search API numFound at retrieval time. This is a discovery count, not language prevalence.</x:v>
      </x:c>
    </x:row>
    <x:row r="68">
      <x:c r="A68" s="156"/>
      <x:c r="B68" s="156"/>
      <x:c r="C68" s="156"/>
      <x:c r="D68" s="156"/>
      <x:c r="E68" s="156"/>
      <x:c r="F68" s="156"/>
      <x:c r="G68" s="156"/>
      <x:c r="H68" s="104" t="str">
        <x:v>Generated from the current project database and research exports; source tables remain version-controlled.
Primary search metric: Internet Archive Advanced Search API numFound at retrieval time. This is a discovery count, not language prevalence.</x:v>
      </x:c>
      <x:c r="I68" s="104" t="str">
        <x:v>Generated from the current project database and research exports; source tables remain version-controlled.
Primary search metric: Internet Archive Advanced Search API numFound at retrieval time. This is a discovery count, not language prevalence.</x:v>
      </x:c>
      <x:c r="J68" s="104" t="str">
        <x:v>Generated from the current project database and research exports; source tables remain version-controlled.
Primary search metric: Internet Archive Advanced Search API numFound at retrieval time. This is a discovery count, not language prevalence.</x:v>
      </x:c>
      <x:c r="K68" s="104" t="str">
        <x:v>Generated from the current project database and research exports; source tables remain version-controlled.
Primary search metric: Internet Archive Advanced Search API numFound at retrieval time. This is a discovery count, not language prevalence.</x:v>
      </x:c>
      <x:c r="L68" s="104" t="str">
        <x:v>Generated from the current project database and research exports; source tables remain version-controlled.
Primary search metric: Internet Archive Advanced Search API numFound at retrieval time. This is a discovery count, not language prevalence.</x:v>
      </x:c>
      <x:c r="M68" s="104" t="str">
        <x:v>Generated from the current project database and research exports; source tables remain version-controlled.
Primary search metric: Internet Archive Advanced Search API numFound at retrieval time. This is a discovery count, not language prevalence.</x:v>
      </x:c>
      <x:c r="N68" s="104" t="str">
        <x:v>Generated from the current project database and research exports; source tables remain version-controlled.
Primary search metric: Internet Archive Advanced Search API numFound at retrieval time. This is a discovery count, not language prevalence.</x:v>
      </x:c>
    </x:row>
    <x:row r="69">
      <x:c r="A69" s="156"/>
      <x:c r="B69" s="156"/>
      <x:c r="C69" s="156"/>
      <x:c r="D69" s="156"/>
      <x:c r="E69" s="156"/>
      <x:c r="F69" s="156"/>
      <x:c r="G69" s="156"/>
      <x:c r="H69" s="104" t="str">
        <x:v>Generated from the current project database and research exports; source tables remain version-controlled.
Primary search metric: Internet Archive Advanced Search API numFound at retrieval time. This is a discovery count, not language prevalence.</x:v>
      </x:c>
      <x:c r="I69" s="104" t="str">
        <x:v>Generated from the current project database and research exports; source tables remain version-controlled.
Primary search metric: Internet Archive Advanced Search API numFound at retrieval time. This is a discovery count, not language prevalence.</x:v>
      </x:c>
      <x:c r="J69" s="104" t="str">
        <x:v>Generated from the current project database and research exports; source tables remain version-controlled.
Primary search metric: Internet Archive Advanced Search API numFound at retrieval time. This is a discovery count, not language prevalence.</x:v>
      </x:c>
      <x:c r="K69" s="104" t="str">
        <x:v>Generated from the current project database and research exports; source tables remain version-controlled.
Primary search metric: Internet Archive Advanced Search API numFound at retrieval time. This is a discovery count, not language prevalence.</x:v>
      </x:c>
      <x:c r="L69" s="104" t="str">
        <x:v>Generated from the current project database and research exports; source tables remain version-controlled.
Primary search metric: Internet Archive Advanced Search API numFound at retrieval time. This is a discovery count, not language prevalence.</x:v>
      </x:c>
      <x:c r="M69" s="104" t="str">
        <x:v>Generated from the current project database and research exports; source tables remain version-controlled.
Primary search metric: Internet Archive Advanced Search API numFound at retrieval time. This is a discovery count, not language prevalence.</x:v>
      </x:c>
      <x:c r="N69" s="104" t="str">
        <x:v>Generated from the current project database and research exports; source tables remain version-controlled.
Primary search metric: Internet Archive Advanced Search API numFound at retrieval time. This is a discovery count, not language prevalence.</x:v>
      </x:c>
    </x:row>
    <x:row r="70">
      <x:c r="A70" s="156"/>
      <x:c r="B70" s="156"/>
      <x:c r="C70" s="156"/>
      <x:c r="D70" s="156"/>
      <x:c r="E70" s="156"/>
      <x:c r="F70" s="156"/>
      <x:c r="G70" s="156"/>
      <x:c r="H70" s="104" t="str">
        <x:v>Generated from the current project database and research exports; source tables remain version-controlled.
Primary search metric: Internet Archive Advanced Search API numFound at retrieval time. This is a discovery count, not language prevalence.</x:v>
      </x:c>
      <x:c r="I70" s="104" t="str">
        <x:v>Generated from the current project database and research exports; source tables remain version-controlled.
Primary search metric: Internet Archive Advanced Search API numFound at retrieval time. This is a discovery count, not language prevalence.</x:v>
      </x:c>
      <x:c r="J70" s="104" t="str">
        <x:v>Generated from the current project database and research exports; source tables remain version-controlled.
Primary search metric: Internet Archive Advanced Search API numFound at retrieval time. This is a discovery count, not language prevalence.</x:v>
      </x:c>
      <x:c r="K70" s="104" t="str">
        <x:v>Generated from the current project database and research exports; source tables remain version-controlled.
Primary search metric: Internet Archive Advanced Search API numFound at retrieval time. This is a discovery count, not language prevalence.</x:v>
      </x:c>
      <x:c r="L70" s="104" t="str">
        <x:v>Generated from the current project database and research exports; source tables remain version-controlled.
Primary search metric: Internet Archive Advanced Search API numFound at retrieval time. This is a discovery count, not language prevalence.</x:v>
      </x:c>
      <x:c r="M70" s="104" t="str">
        <x:v>Generated from the current project database and research exports; source tables remain version-controlled.
Primary search metric: Internet Archive Advanced Search API numFound at retrieval time. This is a discovery count, not language prevalence.</x:v>
      </x:c>
      <x:c r="N70" s="104" t="str">
        <x:v>Generated from the current project database and research exports; source tables remain version-controlled.
Primary search metric: Internet Archive Advanced Search API numFound at retrieval time. This is a discovery count, not language prevalence.</x:v>
      </x:c>
    </x:row>
    <x:row r="71">
      <x:c r="A71" s="156"/>
      <x:c r="B71" s="156"/>
      <x:c r="C71" s="156"/>
      <x:c r="D71" s="156"/>
      <x:c r="E71" s="156"/>
      <x:c r="F71" s="156"/>
      <x:c r="G71" s="156"/>
      <x:c r="H71" s="104" t="str">
        <x:v>Generated from the current project database and research exports; source tables remain version-controlled.
Primary search metric: Internet Archive Advanced Search API numFound at retrieval time. This is a discovery count, not language prevalence.</x:v>
      </x:c>
      <x:c r="I71" s="104" t="str">
        <x:v>Generated from the current project database and research exports; source tables remain version-controlled.
Primary search metric: Internet Archive Advanced Search API numFound at retrieval time. This is a discovery count, not language prevalence.</x:v>
      </x:c>
      <x:c r="J71" s="104" t="str">
        <x:v>Generated from the current project database and research exports; source tables remain version-controlled.
Primary search metric: Internet Archive Advanced Search API numFound at retrieval time. This is a discovery count, not language prevalence.</x:v>
      </x:c>
      <x:c r="K71" s="104" t="str">
        <x:v>Generated from the current project database and research exports; source tables remain version-controlled.
Primary search metric: Internet Archive Advanced Search API numFound at retrieval time. This is a discovery count, not language prevalence.</x:v>
      </x:c>
      <x:c r="L71" s="104" t="str">
        <x:v>Generated from the current project database and research exports; source tables remain version-controlled.
Primary search metric: Internet Archive Advanced Search API numFound at retrieval time. This is a discovery count, not language prevalence.</x:v>
      </x:c>
      <x:c r="M71" s="104" t="str">
        <x:v>Generated from the current project database and research exports; source tables remain version-controlled.
Primary search metric: Internet Archive Advanced Search API numFound at retrieval time. This is a discovery count, not language prevalence.</x:v>
      </x:c>
      <x:c r="N71" s="104" t="str">
        <x:v>Generated from the current project database and research exports; source tables remain version-controlled.
Primary search metric: Internet Archive Advanced Search API numFound at retrieval time. This is a discovery count, not language prevalence.</x:v>
      </x:c>
    </x:row>
    <x:row r="72">
      <x:c r="A72" s="156"/>
      <x:c r="B72" s="156"/>
      <x:c r="C72" s="156"/>
      <x:c r="D72" s="156"/>
      <x:c r="E72" s="156"/>
      <x:c r="F72" s="156"/>
      <x:c r="G72" s="156"/>
      <x:c r="H72" s="104" t="str">
        <x:v>Generated from the current project database and research exports; source tables remain version-controlled.
Primary search metric: Internet Archive Advanced Search API numFound at retrieval time. This is a discovery count, not language prevalence.</x:v>
      </x:c>
      <x:c r="I72" s="104" t="str">
        <x:v>Generated from the current project database and research exports; source tables remain version-controlled.
Primary search metric: Internet Archive Advanced Search API numFound at retrieval time. This is a discovery count, not language prevalence.</x:v>
      </x:c>
      <x:c r="J72" s="104" t="str">
        <x:v>Generated from the current project database and research exports; source tables remain version-controlled.
Primary search metric: Internet Archive Advanced Search API numFound at retrieval time. This is a discovery count, not language prevalence.</x:v>
      </x:c>
      <x:c r="K72" s="104" t="str">
        <x:v>Generated from the current project database and research exports; source tables remain version-controlled.
Primary search metric: Internet Archive Advanced Search API numFound at retrieval time. This is a discovery count, not language prevalence.</x:v>
      </x:c>
      <x:c r="L72" s="104" t="str">
        <x:v>Generated from the current project database and research exports; source tables remain version-controlled.
Primary search metric: Internet Archive Advanced Search API numFound at retrieval time. This is a discovery count, not language prevalence.</x:v>
      </x:c>
      <x:c r="M72" s="104" t="str">
        <x:v>Generated from the current project database and research exports; source tables remain version-controlled.
Primary search metric: Internet Archive Advanced Search API numFound at retrieval time. This is a discovery count, not language prevalence.</x:v>
      </x:c>
      <x:c r="N72" s="104" t="str">
        <x:v>Generated from the current project database and research exports; source tables remain version-controlled.
Primary search metric: Internet Archive Advanced Search API numFound at retrieval time. This is a discovery count, not language prevalence.</x:v>
      </x:c>
    </x:row>
    <x:row r="73">
      <x:c r="A73" s="156"/>
      <x:c r="B73" s="156"/>
      <x:c r="C73" s="156"/>
      <x:c r="D73" s="156"/>
      <x:c r="E73" s="156"/>
      <x:c r="F73" s="156"/>
      <x:c r="G73" s="156"/>
      <x:c r="H73" s="156"/>
      <x:c r="I73" s="156"/>
      <x:c r="J73" s="156"/>
      <x:c r="K73" s="156"/>
      <x:c r="L73" s="156"/>
      <x:c r="M73" s="156"/>
      <x:c r="N73" s="156"/>
    </x:row>
    <x:row r="74">
      <x:c r="A74" s="156"/>
      <x:c r="B74" s="156"/>
      <x:c r="C74" s="156"/>
      <x:c r="D74" s="156"/>
      <x:c r="E74" s="156"/>
      <x:c r="F74" s="156"/>
      <x:c r="G74" s="156"/>
      <x:c r="H74" s="156"/>
      <x:c r="I74" s="156"/>
      <x:c r="J74" s="156"/>
      <x:c r="K74" s="156"/>
      <x:c r="L74" s="156"/>
      <x:c r="M74" s="156"/>
      <x:c r="N74" s="156"/>
    </x:row>
    <x:row r="75">
      <x:c r="A75" s="156"/>
      <x:c r="B75" s="156"/>
      <x:c r="C75" s="156"/>
      <x:c r="D75" s="156"/>
      <x:c r="E75" s="156"/>
      <x:c r="F75" s="156"/>
      <x:c r="G75" s="156"/>
      <x:c r="H75" s="156"/>
      <x:c r="I75" s="156"/>
      <x:c r="J75" s="156"/>
      <x:c r="K75" s="156"/>
      <x:c r="L75" s="156"/>
      <x:c r="M75" s="156"/>
      <x:c r="N75" s="156"/>
    </x:row>
    <x:row r="76">
      <x:c r="A76" s="156"/>
      <x:c r="B76" s="156"/>
      <x:c r="C76" s="156"/>
      <x:c r="D76" s="156"/>
      <x:c r="E76" s="156"/>
      <x:c r="F76" s="156"/>
      <x:c r="G76" s="156"/>
      <x:c r="H76" s="156"/>
      <x:c r="I76" s="156"/>
      <x:c r="J76" s="156"/>
      <x:c r="K76" s="156"/>
      <x:c r="L76" s="156"/>
      <x:c r="M76" s="156"/>
      <x:c r="N76" s="156"/>
    </x:row>
    <x:row r="77">
      <x:c r="A77" s="211" t="str">
        <x:v>Generic affect strings are background controls only; they cannot establish climate-related fear without contextual passage review.</x:v>
      </x:c>
      <x:c r="B77" s="211" t="str">
        <x:v>Generic affect strings are background controls only; they cannot establish climate-related fear without contextual passage review.</x:v>
      </x:c>
      <x:c r="C77" s="211" t="str">
        <x:v>Generic affect strings are background controls only; they cannot establish climate-related fear without contextual passage review.</x:v>
      </x:c>
      <x:c r="D77" s="211" t="str">
        <x:v>Generic affect strings are background controls only; they cannot establish climate-related fear without contextual passage review.</x:v>
      </x:c>
      <x:c r="E77" s="211" t="str">
        <x:v>Generic affect strings are background controls only; they cannot establish climate-related fear without contextual passage review.</x:v>
      </x:c>
      <x:c r="F77" s="211" t="str">
        <x:v>Generic affect strings are background controls only; they cannot establish climate-related fear without contextual passage review.</x:v>
      </x:c>
      <x:c r="G77" s="211" t="str">
        <x:v>Generic affect strings are background controls only; they cannot establish climate-related fear without contextual passage review.</x:v>
      </x:c>
      <x:c r="H77" s="156"/>
      <x:c r="I77" s="156"/>
      <x:c r="J77" s="156"/>
      <x:c r="K77" s="156"/>
      <x:c r="L77" s="156"/>
      <x:c r="M77" s="156"/>
      <x:c r="N77" s="156"/>
    </x:row>
    <x:row r="78">
      <x:c r="A78" s="211" t="str">
        <x:v>Generic affect strings are background controls only; they cannot establish climate-related fear without contextual passage review.</x:v>
      </x:c>
      <x:c r="B78" s="211" t="str">
        <x:v>Generic affect strings are background controls only; they cannot establish climate-related fear without contextual passage review.</x:v>
      </x:c>
      <x:c r="C78" s="211" t="str">
        <x:v>Generic affect strings are background controls only; they cannot establish climate-related fear without contextual passage review.</x:v>
      </x:c>
      <x:c r="D78" s="211" t="str">
        <x:v>Generic affect strings are background controls only; they cannot establish climate-related fear without contextual passage review.</x:v>
      </x:c>
      <x:c r="E78" s="211" t="str">
        <x:v>Generic affect strings are background controls only; they cannot establish climate-related fear without contextual passage review.</x:v>
      </x:c>
      <x:c r="F78" s="211" t="str">
        <x:v>Generic affect strings are background controls only; they cannot establish climate-related fear without contextual passage review.</x:v>
      </x:c>
      <x:c r="G78" s="211" t="str">
        <x:v>Generic affect strings are background controls only; they cannot establish climate-related fear without contextual passage review.</x:v>
      </x:c>
      <x:c r="H78" s="156"/>
      <x:c r="I78" s="156"/>
      <x:c r="J78" s="156"/>
      <x:c r="K78" s="156"/>
      <x:c r="L78" s="156"/>
      <x:c r="M78" s="156"/>
      <x:c r="N78" s="156"/>
    </x:row>
  </x:sheetData>
  <x:mergeCells>
    <x:mergeCell ref="A1:N1"/>
    <x:mergeCell ref="A2:N2"/>
    <x:mergeCell ref="A4:D4"/>
    <x:mergeCell ref="E4:H4"/>
    <x:mergeCell ref="I4:N4"/>
    <x:mergeCell ref="I5:N5"/>
    <x:mergeCell ref="I6:N6"/>
    <x:mergeCell ref="I7:N7"/>
    <x:mergeCell ref="I8:N8"/>
    <x:mergeCell ref="I9:N10"/>
    <x:mergeCell ref="A12:N12"/>
    <x:mergeCell ref="K13:N15"/>
    <x:mergeCell ref="K16:N18"/>
    <x:mergeCell ref="A20:G20"/>
    <x:mergeCell ref="H20:N20"/>
    <x:mergeCell ref="A33:G34"/>
    <x:mergeCell ref="H33:N34"/>
    <x:mergeCell ref="A36:G36"/>
    <x:mergeCell ref="H36:N36"/>
    <x:mergeCell ref="A55:G56"/>
    <x:mergeCell ref="H55:N56"/>
    <x:mergeCell ref="A58:G58"/>
    <x:mergeCell ref="H58:N58"/>
    <x:mergeCell ref="A77:G78"/>
    <x:mergeCell ref="H60:N65"/>
    <x:mergeCell ref="H67:N72"/>
  </x:mergeCells>
  <x:pageMargins left="0.7" right="0.7" top="0.75" bottom="0.75" header="0.3" footer="0.3"/>
  <x:drawing xmlns:r="http://schemas.openxmlformats.org/officeDocument/2006/relationships" r:id="Rd20d17532a944e35"/>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42" customHeight="1">
      <x:c r="A1" s="107" t="str">
        <x:v>Keyword Discovery Method</x:v>
      </x:c>
      <x:c r="B1" s="107" t="str">
        <x:v>Keyword Discovery Method</x:v>
      </x:c>
      <x:c r="C1" s="107" t="str">
        <x:v>Keyword Discovery Method</x:v>
      </x:c>
      <x:c r="D1" s="107" t="str">
        <x:v>Keyword Discovery Method</x:v>
      </x:c>
      <x:c r="E1" s="107" t="str">
        <x:v>Keyword Discovery Method</x:v>
      </x:c>
      <x:c r="F1" s="107" t="str">
        <x:v>Keyword Discovery Method</x:v>
      </x:c>
      <x:c r="G1" s="107" t="str">
        <x:v>Keyword Discovery Method</x:v>
      </x:c>
      <x:c r="H1" s="107" t="str">
        <x:v>Keyword Discovery Method</x:v>
      </x:c>
      <x:c r="I1" s="107" t="str">
        <x:v>Keyword Discovery Method</x:v>
      </x:c>
      <x:c r="J1" s="107" t="str">
        <x:v>Keyword Discovery Method</x:v>
      </x:c>
      <x:c r="K1" s="107" t="str">
        <x:v>Keyword Discovery Method</x:v>
      </x:c>
      <x:c r="L1" s="107" t="str">
        <x:v>Keyword Discovery Method</x:v>
      </x:c>
      <x:c r="M1" s="107" t="str">
        <x:v>Keyword Discovery Method</x:v>
      </x:c>
      <x:c r="N1" s="107" t="str">
        <x:v>Keyword Discovery Method</x:v>
      </x:c>
    </x:row>
    <x:row r="2">
      <x:c r="A2" s="110" t="str">
        <x:v>How the historical lexicon was built before frequency measurement</x:v>
      </x:c>
      <x:c r="B2" s="110" t="str">
        <x:v>How the historical lexicon was built before frequency measurement</x:v>
      </x:c>
      <x:c r="C2" s="110" t="str">
        <x:v>How the historical lexicon was built before frequency measurement</x:v>
      </x:c>
      <x:c r="D2" s="110" t="str">
        <x:v>How the historical lexicon was built before frequency measurement</x:v>
      </x:c>
      <x:c r="E2" s="110" t="str">
        <x:v>How the historical lexicon was built before frequency measurement</x:v>
      </x:c>
      <x:c r="F2" s="110" t="str">
        <x:v>How the historical lexicon was built before frequency measurement</x:v>
      </x:c>
      <x:c r="G2" s="110" t="str">
        <x:v>How the historical lexicon was built before frequency measurement</x:v>
      </x:c>
      <x:c r="H2" s="110" t="str">
        <x:v>How the historical lexicon was built before frequency measurement</x:v>
      </x:c>
      <x:c r="I2" s="110" t="str">
        <x:v>How the historical lexicon was built before frequency measurement</x:v>
      </x:c>
      <x:c r="J2" s="110" t="str">
        <x:v>How the historical lexicon was built before frequency measurement</x:v>
      </x:c>
      <x:c r="K2" s="110" t="str">
        <x:v>How the historical lexicon was built before frequency measurement</x:v>
      </x:c>
      <x:c r="L2" s="110" t="str">
        <x:v>How the historical lexicon was built before frequency measurement</x:v>
      </x:c>
      <x:c r="M2" s="110" t="str">
        <x:v>How the historical lexicon was built before frequency measurement</x:v>
      </x:c>
      <x:c r="N2" s="110" t="str">
        <x:v>How the historical lexicon was built before frequency measurement</x:v>
      </x:c>
    </x:row>
    <x:row r="3">
      <x:c r="A3" s="156"/>
      <x:c r="B3" s="156"/>
      <x:c r="C3" s="156"/>
      <x:c r="D3" s="156"/>
      <x:c r="E3" s="156"/>
      <x:c r="F3" s="156"/>
      <x:c r="G3" s="156"/>
      <x:c r="H3" s="156"/>
      <x:c r="I3" s="156"/>
      <x:c r="J3" s="156"/>
      <x:c r="K3" s="156"/>
      <x:c r="L3" s="156"/>
      <x:c r="M3" s="156"/>
      <x:c r="N3" s="156"/>
    </x:row>
    <x:row r="4">
      <x:c r="A4" s="113" t="str">
        <x:v>Research question</x:v>
      </x:c>
      <x:c r="B4" s="113" t="str">
        <x:v>Research question</x:v>
      </x:c>
      <x:c r="C4" s="113" t="str">
        <x:v>Research question</x:v>
      </x:c>
      <x:c r="D4" s="113" t="str">
        <x:v>Research question</x:v>
      </x:c>
      <x:c r="E4" s="113" t="str">
        <x:v>Research question</x:v>
      </x:c>
      <x:c r="F4" s="113" t="str">
        <x:v>Research question</x:v>
      </x:c>
      <x:c r="G4" s="113" t="str">
        <x:v>Research question</x:v>
      </x:c>
      <x:c r="H4" s="113" t="str">
        <x:v>Research question</x:v>
      </x:c>
      <x:c r="I4" s="113" t="str">
        <x:v>Research question</x:v>
      </x:c>
      <x:c r="J4" s="113" t="str">
        <x:v>Research question</x:v>
      </x:c>
      <x:c r="K4" s="113" t="str">
        <x:v>Research question</x:v>
      </x:c>
      <x:c r="L4" s="113" t="str">
        <x:v>Research question</x:v>
      </x:c>
      <x:c r="M4" s="113" t="str">
        <x:v>Research question</x:v>
      </x:c>
      <x:c r="N4" s="113" t="str">
        <x:v>Research question</x:v>
      </x:c>
    </x:row>
    <x:row r="5">
      <x:c r="A5" s="117" t="str">
        <x:v>Which vocabulary was historically available for temperature/physical phenomena, climate/causal framing, affect, and threat/risk/harm - and how did its function depend on anchor, speaker, source and expression mode?</x:v>
      </x:c>
      <x:c r="B5" s="117" t="str">
        <x:v>Which vocabulary was historically available for temperature/physical phenomena, climate/causal framing, affect, and threat/risk/harm - and how did its function depend on anchor, speaker, source and expression mode?</x:v>
      </x:c>
      <x:c r="C5" s="117" t="str">
        <x:v>Which vocabulary was historically available for temperature/physical phenomena, climate/causal framing, affect, and threat/risk/harm - and how did its function depend on anchor, speaker, source and expression mode?</x:v>
      </x:c>
      <x:c r="D5" s="117" t="str">
        <x:v>Which vocabulary was historically available for temperature/physical phenomena, climate/causal framing, affect, and threat/risk/harm - and how did its function depend on anchor, speaker, source and expression mode?</x:v>
      </x:c>
      <x:c r="E5" s="117" t="str">
        <x:v>Which vocabulary was historically available for temperature/physical phenomena, climate/causal framing, affect, and threat/risk/harm - and how did its function depend on anchor, speaker, source and expression mode?</x:v>
      </x:c>
      <x:c r="F5" s="117" t="str">
        <x:v>Which vocabulary was historically available for temperature/physical phenomena, climate/causal framing, affect, and threat/risk/harm - and how did its function depend on anchor, speaker, source and expression mode?</x:v>
      </x:c>
      <x:c r="G5" s="117" t="str">
        <x:v>Which vocabulary was historically available for temperature/physical phenomena, climate/causal framing, affect, and threat/risk/harm - and how did its function depend on anchor, speaker, source and expression mode?</x:v>
      </x:c>
      <x:c r="H5" s="117" t="str">
        <x:v>Which vocabulary was historically available for temperature/physical phenomena, climate/causal framing, affect, and threat/risk/harm - and how did its function depend on anchor, speaker, source and expression mode?</x:v>
      </x:c>
      <x:c r="I5" s="117" t="str">
        <x:v>Which vocabulary was historically available for temperature/physical phenomena, climate/causal framing, affect, and threat/risk/harm - and how did its function depend on anchor, speaker, source and expression mode?</x:v>
      </x:c>
      <x:c r="J5" s="117" t="str">
        <x:v>Which vocabulary was historically available for temperature/physical phenomena, climate/causal framing, affect, and threat/risk/harm - and how did its function depend on anchor, speaker, source and expression mode?</x:v>
      </x:c>
      <x:c r="K5" s="117" t="str">
        <x:v>Which vocabulary was historically available for temperature/physical phenomena, climate/causal framing, affect, and threat/risk/harm - and how did its function depend on anchor, speaker, source and expression mode?</x:v>
      </x:c>
      <x:c r="L5" s="117" t="str">
        <x:v>Which vocabulary was historically available for temperature/physical phenomena, climate/causal framing, affect, and threat/risk/harm - and how did its function depend on anchor, speaker, source and expression mode?</x:v>
      </x:c>
      <x:c r="M5" s="117" t="str">
        <x:v>Which vocabulary was historically available for temperature/physical phenomena, climate/causal framing, affect, and threat/risk/harm - and how did its function depend on anchor, speaker, source and expression mode?</x:v>
      </x:c>
      <x:c r="N5" s="117" t="str">
        <x:v>Which vocabulary was historically available for temperature/physical phenomena, climate/causal framing, affect, and threat/risk/harm - and how did its function depend on anchor, speaker, source and expression mode?</x:v>
      </x:c>
    </x:row>
    <x:row r="6">
      <x:c r="A6" s="117" t="str">
        <x:v>Which vocabulary was historically available for temperature/physical phenomena, climate/causal framing, affect, and threat/risk/harm - and how did its function depend on anchor, speaker, source and expression mode?</x:v>
      </x:c>
      <x:c r="B6" s="117" t="str">
        <x:v>Which vocabulary was historically available for temperature/physical phenomena, climate/causal framing, affect, and threat/risk/harm - and how did its function depend on anchor, speaker, source and expression mode?</x:v>
      </x:c>
      <x:c r="C6" s="117" t="str">
        <x:v>Which vocabulary was historically available for temperature/physical phenomena, climate/causal framing, affect, and threat/risk/harm - and how did its function depend on anchor, speaker, source and expression mode?</x:v>
      </x:c>
      <x:c r="D6" s="117" t="str">
        <x:v>Which vocabulary was historically available for temperature/physical phenomena, climate/causal framing, affect, and threat/risk/harm - and how did its function depend on anchor, speaker, source and expression mode?</x:v>
      </x:c>
      <x:c r="E6" s="117" t="str">
        <x:v>Which vocabulary was historically available for temperature/physical phenomena, climate/causal framing, affect, and threat/risk/harm - and how did its function depend on anchor, speaker, source and expression mode?</x:v>
      </x:c>
      <x:c r="F6" s="117" t="str">
        <x:v>Which vocabulary was historically available for temperature/physical phenomena, climate/causal framing, affect, and threat/risk/harm - and how did its function depend on anchor, speaker, source and expression mode?</x:v>
      </x:c>
      <x:c r="G6" s="117" t="str">
        <x:v>Which vocabulary was historically available for temperature/physical phenomena, climate/causal framing, affect, and threat/risk/harm - and how did its function depend on anchor, speaker, source and expression mode?</x:v>
      </x:c>
      <x:c r="H6" s="117" t="str">
        <x:v>Which vocabulary was historically available for temperature/physical phenomena, climate/causal framing, affect, and threat/risk/harm - and how did its function depend on anchor, speaker, source and expression mode?</x:v>
      </x:c>
      <x:c r="I6" s="117" t="str">
        <x:v>Which vocabulary was historically available for temperature/physical phenomena, climate/causal framing, affect, and threat/risk/harm - and how did its function depend on anchor, speaker, source and expression mode?</x:v>
      </x:c>
      <x:c r="J6" s="117" t="str">
        <x:v>Which vocabulary was historically available for temperature/physical phenomena, climate/causal framing, affect, and threat/risk/harm - and how did its function depend on anchor, speaker, source and expression mode?</x:v>
      </x:c>
      <x:c r="K6" s="117" t="str">
        <x:v>Which vocabulary was historically available for temperature/physical phenomena, climate/causal framing, affect, and threat/risk/harm - and how did its function depend on anchor, speaker, source and expression mode?</x:v>
      </x:c>
      <x:c r="L6" s="117" t="str">
        <x:v>Which vocabulary was historically available for temperature/physical phenomena, climate/causal framing, affect, and threat/risk/harm - and how did its function depend on anchor, speaker, source and expression mode?</x:v>
      </x:c>
      <x:c r="M6" s="117" t="str">
        <x:v>Which vocabulary was historically available for temperature/physical phenomena, climate/causal framing, affect, and threat/risk/harm - and how did its function depend on anchor, speaker, source and expression mode?</x:v>
      </x:c>
      <x:c r="N6" s="117" t="str">
        <x:v>Which vocabulary was historically available for temperature/physical phenomena, climate/causal framing, affect, and threat/risk/harm - and how did its function depend on anchor, speaker, source and expression mode?</x:v>
      </x:c>
    </x:row>
    <x:row r="7">
      <x:c r="A7" s="156"/>
      <x:c r="B7" s="156"/>
      <x:c r="C7" s="156"/>
      <x:c r="D7" s="156"/>
      <x:c r="E7" s="156"/>
      <x:c r="F7" s="156"/>
      <x:c r="G7" s="156"/>
      <x:c r="H7" s="156"/>
      <x:c r="I7" s="156"/>
      <x:c r="J7" s="156"/>
      <x:c r="K7" s="156"/>
      <x:c r="L7" s="156"/>
      <x:c r="M7" s="156"/>
      <x:c r="N7" s="156"/>
    </x:row>
    <x:row r="8">
      <x:c r="A8" s="119" t="str">
        <x:v>Discovery workflow</x:v>
      </x:c>
      <x:c r="B8" s="119" t="str">
        <x:v>Discovery workflow</x:v>
      </x:c>
      <x:c r="C8" s="119" t="str">
        <x:v>Discovery workflow</x:v>
      </x:c>
      <x:c r="D8" s="119" t="str">
        <x:v>Discovery workflow</x:v>
      </x:c>
      <x:c r="E8" s="119" t="str">
        <x:v>Discovery workflow</x:v>
      </x:c>
      <x:c r="F8" s="119" t="str">
        <x:v>Discovery workflow</x:v>
      </x:c>
      <x:c r="G8" s="119" t="str">
        <x:v>Discovery workflow</x:v>
      </x:c>
      <x:c r="H8" s="119" t="str">
        <x:v>Discovery workflow</x:v>
      </x:c>
      <x:c r="I8" s="119" t="str">
        <x:v>Discovery workflow</x:v>
      </x:c>
      <x:c r="J8" s="119" t="str">
        <x:v>Discovery workflow</x:v>
      </x:c>
      <x:c r="K8" s="119" t="str">
        <x:v>Discovery workflow</x:v>
      </x:c>
      <x:c r="L8" s="119" t="str">
        <x:v>Discovery workflow</x:v>
      </x:c>
      <x:c r="M8" s="119" t="str">
        <x:v>Discovery workflow</x:v>
      </x:c>
      <x:c r="N8" s="119" t="str">
        <x:v>Discovery workflow</x:v>
      </x:c>
    </x:row>
    <x:row r="9">
      <x:c r="A9" s="156"/>
      <x:c r="B9" s="156"/>
      <x:c r="C9" s="156"/>
      <x:c r="D9" s="156"/>
      <x:c r="E9" s="156"/>
      <x:c r="F9" s="156"/>
      <x:c r="G9" s="156"/>
      <x:c r="H9" s="156"/>
      <x:c r="I9" s="156"/>
      <x:c r="J9" s="156"/>
      <x:c r="K9" s="156"/>
      <x:c r="L9" s="156"/>
      <x:c r="M9" s="156"/>
      <x:c r="N9" s="156"/>
    </x:row>
    <x:row r="10">
      <x:c r="A10" s="124" t="str">
        <x:v>Topic definition</x:v>
      </x:c>
      <x:c r="B10" s="124" t="str">
        <x:v>Topic definition</x:v>
      </x:c>
      <x:c r="C10" s="129" t="str">
        <x:v>→</x:v>
      </x:c>
      <x:c r="D10" s="124" t="str">
        <x:v>A-D conceptual seed</x:v>
      </x:c>
      <x:c r="E10" s="124" t="str">
        <x:v>A-D conceptual seed</x:v>
      </x:c>
      <x:c r="F10" s="129" t="str">
        <x:v>→</x:v>
      </x:c>
      <x:c r="G10" s="124" t="str">
        <x:v>Historical source retrieval at six anchors</x:v>
      </x:c>
      <x:c r="H10" s="124" t="str">
        <x:v>Historical source retrieval at six anchors</x:v>
      </x:c>
      <x:c r="I10" s="129" t="str">
        <x:v>→</x:v>
      </x:c>
      <x:c r="J10" s="124" t="str">
        <x:v>Exact lexical-form extraction</x:v>
      </x:c>
      <x:c r="K10" s="124" t="str">
        <x:v>Exact lexical-form extraction</x:v>
      </x:c>
      <x:c r="L10" s="129" t="str">
        <x:v>→</x:v>
      </x:c>
      <x:c r="M10" s="124" t="str">
        <x:v>Source + voice + provenance annotation</x:v>
      </x:c>
      <x:c r="N10" s="124" t="str">
        <x:v>Source + voice + provenance annotation</x:v>
      </x:c>
    </x:row>
    <x:row r="11">
      <x:c r="A11" s="124" t="str">
        <x:v>Topic definition</x:v>
      </x:c>
      <x:c r="B11" s="124" t="str">
        <x:v>Topic definition</x:v>
      </x:c>
      <x:c r="C11" s="129" t="str">
        <x:v>→</x:v>
      </x:c>
      <x:c r="D11" s="124" t="str">
        <x:v>A-D conceptual seed</x:v>
      </x:c>
      <x:c r="E11" s="124" t="str">
        <x:v>A-D conceptual seed</x:v>
      </x:c>
      <x:c r="F11" s="129" t="str">
        <x:v>→</x:v>
      </x:c>
      <x:c r="G11" s="124" t="str">
        <x:v>Historical source retrieval at six anchors</x:v>
      </x:c>
      <x:c r="H11" s="124" t="str">
        <x:v>Historical source retrieval at six anchors</x:v>
      </x:c>
      <x:c r="I11" s="129" t="str">
        <x:v>→</x:v>
      </x:c>
      <x:c r="J11" s="124" t="str">
        <x:v>Exact lexical-form extraction</x:v>
      </x:c>
      <x:c r="K11" s="124" t="str">
        <x:v>Exact lexical-form extraction</x:v>
      </x:c>
      <x:c r="L11" s="129" t="str">
        <x:v>→</x:v>
      </x:c>
      <x:c r="M11" s="124" t="str">
        <x:v>Source + voice + provenance annotation</x:v>
      </x:c>
      <x:c r="N11" s="124" t="str">
        <x:v>Source + voice + provenance annotation</x:v>
      </x:c>
    </x:row>
    <x:row r="12">
      <x:c r="A12" s="124" t="str">
        <x:v>Topic definition</x:v>
      </x:c>
      <x:c r="B12" s="124" t="str">
        <x:v>Topic definition</x:v>
      </x:c>
      <x:c r="C12" s="129" t="str">
        <x:v>→</x:v>
      </x:c>
      <x:c r="D12" s="124" t="str">
        <x:v>A-D conceptual seed</x:v>
      </x:c>
      <x:c r="E12" s="124" t="str">
        <x:v>A-D conceptual seed</x:v>
      </x:c>
      <x:c r="F12" s="129" t="str">
        <x:v>→</x:v>
      </x:c>
      <x:c r="G12" s="124" t="str">
        <x:v>Historical source retrieval at six anchors</x:v>
      </x:c>
      <x:c r="H12" s="124" t="str">
        <x:v>Historical source retrieval at six anchors</x:v>
      </x:c>
      <x:c r="I12" s="129" t="str">
        <x:v>→</x:v>
      </x:c>
      <x:c r="J12" s="124" t="str">
        <x:v>Exact lexical-form extraction</x:v>
      </x:c>
      <x:c r="K12" s="124" t="str">
        <x:v>Exact lexical-form extraction</x:v>
      </x:c>
      <x:c r="L12" s="129" t="str">
        <x:v>→</x:v>
      </x:c>
      <x:c r="M12" s="124" t="str">
        <x:v>Source + voice + provenance annotation</x:v>
      </x:c>
      <x:c r="N12" s="124" t="str">
        <x:v>Source + voice + provenance annotation</x:v>
      </x:c>
    </x:row>
    <x:row r="13">
      <x:c r="A13" s="156"/>
      <x:c r="B13" s="156"/>
      <x:c r="C13" s="156"/>
      <x:c r="D13" s="156"/>
      <x:c r="E13" s="156"/>
      <x:c r="F13" s="156"/>
      <x:c r="G13" s="156"/>
      <x:c r="H13" s="156"/>
      <x:c r="I13" s="156"/>
      <x:c r="J13" s="156"/>
      <x:c r="K13" s="156"/>
      <x:c r="L13" s="156"/>
      <x:c r="M13" s="156"/>
      <x:c r="N13" s="156"/>
    </x:row>
    <x:row r="14">
      <x:c r="A14" s="134" t="str">
        <x:v>Candidate normalisation</x:v>
      </x:c>
      <x:c r="B14" s="134" t="str">
        <x:v>Candidate normalisation</x:v>
      </x:c>
      <x:c r="C14" s="139" t="str">
        <x:v>→</x:v>
      </x:c>
      <x:c r="D14" s="134" t="str">
        <x:v>30 Priority Candidates per anchor</x:v>
      </x:c>
      <x:c r="E14" s="134" t="str">
        <x:v>30 Priority Candidates per anchor</x:v>
      </x:c>
      <x:c r="F14" s="139" t="str">
        <x:v>→</x:v>
      </x:c>
      <x:c r="G14" s="134" t="str">
        <x:v>Additional Expansion Candidates</x:v>
      </x:c>
      <x:c r="H14" s="134" t="str">
        <x:v>Additional Expansion Candidates</x:v>
      </x:c>
      <x:c r="I14" s="139" t="str">
        <x:v>→</x:v>
      </x:c>
      <x:c r="J14" s="134" t="str">
        <x:v>Dictionary / Ngram / search validation</x:v>
      </x:c>
      <x:c r="K14" s="134" t="str">
        <x:v>Dictionary / Ngram / search validation</x:v>
      </x:c>
      <x:c r="L14" s="139" t="str">
        <x:v>→</x:v>
      </x:c>
      <x:c r="M14" s="134" t="str">
        <x:v>Later passage-level semantic validation</x:v>
      </x:c>
      <x:c r="N14" s="134" t="str">
        <x:v>Later passage-level semantic validation</x:v>
      </x:c>
    </x:row>
    <x:row r="15">
      <x:c r="A15" s="134" t="str">
        <x:v>Candidate normalisation</x:v>
      </x:c>
      <x:c r="B15" s="134" t="str">
        <x:v>Candidate normalisation</x:v>
      </x:c>
      <x:c r="C15" s="139" t="str">
        <x:v>→</x:v>
      </x:c>
      <x:c r="D15" s="134" t="str">
        <x:v>30 Priority Candidates per anchor</x:v>
      </x:c>
      <x:c r="E15" s="134" t="str">
        <x:v>30 Priority Candidates per anchor</x:v>
      </x:c>
      <x:c r="F15" s="139" t="str">
        <x:v>→</x:v>
      </x:c>
      <x:c r="G15" s="134" t="str">
        <x:v>Additional Expansion Candidates</x:v>
      </x:c>
      <x:c r="H15" s="134" t="str">
        <x:v>Additional Expansion Candidates</x:v>
      </x:c>
      <x:c r="I15" s="139" t="str">
        <x:v>→</x:v>
      </x:c>
      <x:c r="J15" s="134" t="str">
        <x:v>Dictionary / Ngram / search validation</x:v>
      </x:c>
      <x:c r="K15" s="134" t="str">
        <x:v>Dictionary / Ngram / search validation</x:v>
      </x:c>
      <x:c r="L15" s="139" t="str">
        <x:v>→</x:v>
      </x:c>
      <x:c r="M15" s="134" t="str">
        <x:v>Later passage-level semantic validation</x:v>
      </x:c>
      <x:c r="N15" s="134" t="str">
        <x:v>Later passage-level semantic validation</x:v>
      </x:c>
    </x:row>
    <x:row r="16">
      <x:c r="A16" s="134" t="str">
        <x:v>Candidate normalisation</x:v>
      </x:c>
      <x:c r="B16" s="134" t="str">
        <x:v>Candidate normalisation</x:v>
      </x:c>
      <x:c r="C16" s="139" t="str">
        <x:v>→</x:v>
      </x:c>
      <x:c r="D16" s="134" t="str">
        <x:v>30 Priority Candidates per anchor</x:v>
      </x:c>
      <x:c r="E16" s="134" t="str">
        <x:v>30 Priority Candidates per anchor</x:v>
      </x:c>
      <x:c r="F16" s="139" t="str">
        <x:v>→</x:v>
      </x:c>
      <x:c r="G16" s="134" t="str">
        <x:v>Additional Expansion Candidates</x:v>
      </x:c>
      <x:c r="H16" s="134" t="str">
        <x:v>Additional Expansion Candidates</x:v>
      </x:c>
      <x:c r="I16" s="139" t="str">
        <x:v>→</x:v>
      </x:c>
      <x:c r="J16" s="134" t="str">
        <x:v>Dictionary / Ngram / search validation</x:v>
      </x:c>
      <x:c r="K16" s="134" t="str">
        <x:v>Dictionary / Ngram / search validation</x:v>
      </x:c>
      <x:c r="L16" s="139" t="str">
        <x:v>→</x:v>
      </x:c>
      <x:c r="M16" s="134" t="str">
        <x:v>Later passage-level semantic validation</x:v>
      </x:c>
      <x:c r="N16" s="134" t="str">
        <x:v>Later passage-level semantic validation</x:v>
      </x:c>
    </x:row>
    <x:row r="17">
      <x:c r="A17" s="156"/>
      <x:c r="B17" s="156"/>
      <x:c r="C17" s="156"/>
      <x:c r="D17" s="156"/>
      <x:c r="E17" s="156"/>
      <x:c r="F17" s="156"/>
      <x:c r="G17" s="156"/>
      <x:c r="H17" s="156"/>
      <x:c r="I17" s="156"/>
      <x:c r="J17" s="156"/>
      <x:c r="K17" s="156"/>
      <x:c r="L17" s="156"/>
      <x:c r="M17" s="156"/>
      <x:c r="N17" s="156"/>
    </x:row>
    <x:row r="18">
      <x:c r="A18" s="143" t="str">
        <x:v>CRITICAL METHODOLOGICAL POINT</x:v>
      </x:c>
      <x:c r="B18" s="143" t="str">
        <x:v>CRITICAL METHODOLOGICAL POINT</x:v>
      </x:c>
      <x:c r="C18" s="143" t="str">
        <x:v>CRITICAL METHODOLOGICAL POINT</x:v>
      </x:c>
      <x:c r="D18" s="143" t="str">
        <x:v>CRITICAL METHODOLOGICAL POINT</x:v>
      </x:c>
      <x:c r="E18" s="143" t="str">
        <x:v>CRITICAL METHODOLOGICAL POINT</x:v>
      </x:c>
      <x:c r="F18" s="143" t="str">
        <x:v>CRITICAL METHODOLOGICAL POINT</x:v>
      </x:c>
      <x:c r="G18" s="143" t="str">
        <x:v>CRITICAL METHODOLOGICAL POINT</x:v>
      </x:c>
      <x:c r="H18" s="143" t="str">
        <x:v>CRITICAL METHODOLOGICAL POINT</x:v>
      </x:c>
      <x:c r="I18" s="143" t="str">
        <x:v>CRITICAL METHODOLOGICAL POINT</x:v>
      </x:c>
      <x:c r="J18" s="143" t="str">
        <x:v>CRITICAL METHODOLOGICAL POINT</x:v>
      </x:c>
      <x:c r="K18" s="143" t="str">
        <x:v>CRITICAL METHODOLOGICAL POINT</x:v>
      </x:c>
      <x:c r="L18" s="143" t="str">
        <x:v>CRITICAL METHODOLOGICAL POINT</x:v>
      </x:c>
      <x:c r="M18" s="143" t="str">
        <x:v>CRITICAL METHODOLOGICAL POINT</x:v>
      </x:c>
      <x:c r="N18" s="143" t="str">
        <x:v>CRITICAL METHODOLOGICAL POINT</x:v>
      </x:c>
    </x:row>
    <x:row r="19">
      <x:c r="A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B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C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D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E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F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G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H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I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J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K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L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M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N19"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row>
    <x:row r="20">
      <x:c r="A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B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C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D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E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F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G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H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I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J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K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L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M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N20"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row>
    <x:row r="21">
      <x:c r="A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B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C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D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E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F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G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H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I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J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K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L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M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N21"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row>
    <x:row r="22">
      <x:c r="A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B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C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D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E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F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G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H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I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J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K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L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M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c r="N22" s="147" t="str">
        <x:v>Keywords were not selected because they were frequent. Frequency was intentionally excluded from initial candidate selection to avoid circularity and cherry-picking. Candidate construction began from conceptual scope and historical source evidence; quantitative measures were added only after the lexical forms and provenance were recorded.</x:v>
      </x:c>
    </x:row>
    <x:row r="23">
      <x:c r="A23" s="156"/>
      <x:c r="B23" s="156"/>
      <x:c r="C23" s="156"/>
      <x:c r="D23" s="156"/>
      <x:c r="E23" s="156"/>
      <x:c r="F23" s="156"/>
      <x:c r="G23" s="156"/>
      <x:c r="H23" s="156"/>
      <x:c r="I23" s="156"/>
      <x:c r="J23" s="156"/>
      <x:c r="K23" s="156"/>
      <x:c r="L23" s="156"/>
      <x:c r="M23" s="156"/>
      <x:c r="N23" s="156"/>
    </x:row>
    <x:row r="24">
      <x:c r="A24" s="113" t="str">
        <x:v>Role of programming</x:v>
      </x:c>
      <x:c r="B24" s="113" t="str">
        <x:v>Role of programming</x:v>
      </x:c>
      <x:c r="C24" s="113" t="str">
        <x:v>Role of programming</x:v>
      </x:c>
      <x:c r="D24" s="113" t="str">
        <x:v>Role of programming</x:v>
      </x:c>
      <x:c r="E24" s="113" t="str">
        <x:v>Role of programming</x:v>
      </x:c>
      <x:c r="F24" s="113" t="str">
        <x:v>Role of programming</x:v>
      </x:c>
      <x:c r="G24" s="113" t="str">
        <x:v>Role of programming</x:v>
      </x:c>
      <x:c r="H24" s="119" t="str">
        <x:v>What programming did NOT do</x:v>
      </x:c>
      <x:c r="I24" s="119" t="str">
        <x:v>What programming did NOT do</x:v>
      </x:c>
      <x:c r="J24" s="119" t="str">
        <x:v>What programming did NOT do</x:v>
      </x:c>
      <x:c r="K24" s="119" t="str">
        <x:v>What programming did NOT do</x:v>
      </x:c>
      <x:c r="L24" s="119" t="str">
        <x:v>What programming did NOT do</x:v>
      </x:c>
      <x:c r="M24" s="119" t="str">
        <x:v>What programming did NOT do</x:v>
      </x:c>
      <x:c r="N24" s="119" t="str">
        <x:v>What programming did NOT do</x:v>
      </x:c>
    </x:row>
    <x:row r="25">
      <x:c r="A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2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25" s="155" t="str">
        <x:v>- It did not simply extract the most frequent words.
- It did not use an unsupervised 'top words' algorithm as the historical lexicon.
- It did not treat Ngram frequency as semantic evidence.
- It did not infer missing historical voices for balance.</x:v>
      </x:c>
      <x:c r="I25" s="155" t="str">
        <x:v>- It did not simply extract the most frequent words.
- It did not use an unsupervised 'top words' algorithm as the historical lexicon.
- It did not treat Ngram frequency as semantic evidence.
- It did not infer missing historical voices for balance.</x:v>
      </x:c>
      <x:c r="J25" s="155" t="str">
        <x:v>- It did not simply extract the most frequent words.
- It did not use an unsupervised 'top words' algorithm as the historical lexicon.
- It did not treat Ngram frequency as semantic evidence.
- It did not infer missing historical voices for balance.</x:v>
      </x:c>
      <x:c r="K25" s="155" t="str">
        <x:v>- It did not simply extract the most frequent words.
- It did not use an unsupervised 'top words' algorithm as the historical lexicon.
- It did not treat Ngram frequency as semantic evidence.
- It did not infer missing historical voices for balance.</x:v>
      </x:c>
      <x:c r="L25" s="155" t="str">
        <x:v>- It did not simply extract the most frequent words.
- It did not use an unsupervised 'top words' algorithm as the historical lexicon.
- It did not treat Ngram frequency as semantic evidence.
- It did not infer missing historical voices for balance.</x:v>
      </x:c>
      <x:c r="M25" s="155" t="str">
        <x:v>- It did not simply extract the most frequent words.
- It did not use an unsupervised 'top words' algorithm as the historical lexicon.
- It did not treat Ngram frequency as semantic evidence.
- It did not infer missing historical voices for balance.</x:v>
      </x:c>
      <x:c r="N25" s="155" t="str">
        <x:v>- It did not simply extract the most frequent words.
- It did not use an unsupervised 'top words' algorithm as the historical lexicon.
- It did not treat Ngram frequency as semantic evidence.
- It did not infer missing historical voices for balance.</x:v>
      </x:c>
    </x:row>
    <x:row r="26">
      <x:c r="A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2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26" s="155" t="str">
        <x:v>- It did not simply extract the most frequent words.
- It did not use an unsupervised 'top words' algorithm as the historical lexicon.
- It did not treat Ngram frequency as semantic evidence.
- It did not infer missing historical voices for balance.</x:v>
      </x:c>
      <x:c r="I26" s="155" t="str">
        <x:v>- It did not simply extract the most frequent words.
- It did not use an unsupervised 'top words' algorithm as the historical lexicon.
- It did not treat Ngram frequency as semantic evidence.
- It did not infer missing historical voices for balance.</x:v>
      </x:c>
      <x:c r="J26" s="155" t="str">
        <x:v>- It did not simply extract the most frequent words.
- It did not use an unsupervised 'top words' algorithm as the historical lexicon.
- It did not treat Ngram frequency as semantic evidence.
- It did not infer missing historical voices for balance.</x:v>
      </x:c>
      <x:c r="K26" s="155" t="str">
        <x:v>- It did not simply extract the most frequent words.
- It did not use an unsupervised 'top words' algorithm as the historical lexicon.
- It did not treat Ngram frequency as semantic evidence.
- It did not infer missing historical voices for balance.</x:v>
      </x:c>
      <x:c r="L26" s="155" t="str">
        <x:v>- It did not simply extract the most frequent words.
- It did not use an unsupervised 'top words' algorithm as the historical lexicon.
- It did not treat Ngram frequency as semantic evidence.
- It did not infer missing historical voices for balance.</x:v>
      </x:c>
      <x:c r="M26" s="155" t="str">
        <x:v>- It did not simply extract the most frequent words.
- It did not use an unsupervised 'top words' algorithm as the historical lexicon.
- It did not treat Ngram frequency as semantic evidence.
- It did not infer missing historical voices for balance.</x:v>
      </x:c>
      <x:c r="N26" s="155" t="str">
        <x:v>- It did not simply extract the most frequent words.
- It did not use an unsupervised 'top words' algorithm as the historical lexicon.
- It did not treat Ngram frequency as semantic evidence.
- It did not infer missing historical voices for balance.</x:v>
      </x:c>
    </x:row>
    <x:row r="27">
      <x:c r="A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27"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27" s="155" t="str">
        <x:v>- It did not simply extract the most frequent words.
- It did not use an unsupervised 'top words' algorithm as the historical lexicon.
- It did not treat Ngram frequency as semantic evidence.
- It did not infer missing historical voices for balance.</x:v>
      </x:c>
      <x:c r="I27" s="155" t="str">
        <x:v>- It did not simply extract the most frequent words.
- It did not use an unsupervised 'top words' algorithm as the historical lexicon.
- It did not treat Ngram frequency as semantic evidence.
- It did not infer missing historical voices for balance.</x:v>
      </x:c>
      <x:c r="J27" s="155" t="str">
        <x:v>- It did not simply extract the most frequent words.
- It did not use an unsupervised 'top words' algorithm as the historical lexicon.
- It did not treat Ngram frequency as semantic evidence.
- It did not infer missing historical voices for balance.</x:v>
      </x:c>
      <x:c r="K27" s="155" t="str">
        <x:v>- It did not simply extract the most frequent words.
- It did not use an unsupervised 'top words' algorithm as the historical lexicon.
- It did not treat Ngram frequency as semantic evidence.
- It did not infer missing historical voices for balance.</x:v>
      </x:c>
      <x:c r="L27" s="155" t="str">
        <x:v>- It did not simply extract the most frequent words.
- It did not use an unsupervised 'top words' algorithm as the historical lexicon.
- It did not treat Ngram frequency as semantic evidence.
- It did not infer missing historical voices for balance.</x:v>
      </x:c>
      <x:c r="M27" s="155" t="str">
        <x:v>- It did not simply extract the most frequent words.
- It did not use an unsupervised 'top words' algorithm as the historical lexicon.
- It did not treat Ngram frequency as semantic evidence.
- It did not infer missing historical voices for balance.</x:v>
      </x:c>
      <x:c r="N27" s="155" t="str">
        <x:v>- It did not simply extract the most frequent words.
- It did not use an unsupervised 'top words' algorithm as the historical lexicon.
- It did not treat Ngram frequency as semantic evidence.
- It did not infer missing historical voices for balance.</x:v>
      </x:c>
    </x:row>
    <x:row r="28">
      <x:c r="A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28"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28" s="155" t="str">
        <x:v>- It did not simply extract the most frequent words.
- It did not use an unsupervised 'top words' algorithm as the historical lexicon.
- It did not treat Ngram frequency as semantic evidence.
- It did not infer missing historical voices for balance.</x:v>
      </x:c>
      <x:c r="I28" s="155" t="str">
        <x:v>- It did not simply extract the most frequent words.
- It did not use an unsupervised 'top words' algorithm as the historical lexicon.
- It did not treat Ngram frequency as semantic evidence.
- It did not infer missing historical voices for balance.</x:v>
      </x:c>
      <x:c r="J28" s="155" t="str">
        <x:v>- It did not simply extract the most frequent words.
- It did not use an unsupervised 'top words' algorithm as the historical lexicon.
- It did not treat Ngram frequency as semantic evidence.
- It did not infer missing historical voices for balance.</x:v>
      </x:c>
      <x:c r="K28" s="155" t="str">
        <x:v>- It did not simply extract the most frequent words.
- It did not use an unsupervised 'top words' algorithm as the historical lexicon.
- It did not treat Ngram frequency as semantic evidence.
- It did not infer missing historical voices for balance.</x:v>
      </x:c>
      <x:c r="L28" s="155" t="str">
        <x:v>- It did not simply extract the most frequent words.
- It did not use an unsupervised 'top words' algorithm as the historical lexicon.
- It did not treat Ngram frequency as semantic evidence.
- It did not infer missing historical voices for balance.</x:v>
      </x:c>
      <x:c r="M28" s="155" t="str">
        <x:v>- It did not simply extract the most frequent words.
- It did not use an unsupervised 'top words' algorithm as the historical lexicon.
- It did not treat Ngram frequency as semantic evidence.
- It did not infer missing historical voices for balance.</x:v>
      </x:c>
      <x:c r="N28" s="155" t="str">
        <x:v>- It did not simply extract the most frequent words.
- It did not use an unsupervised 'top words' algorithm as the historical lexicon.
- It did not treat Ngram frequency as semantic evidence.
- It did not infer missing historical voices for balance.</x:v>
      </x:c>
    </x:row>
    <x:row r="29">
      <x:c r="A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29"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29" s="155" t="str">
        <x:v>- It did not simply extract the most frequent words.
- It did not use an unsupervised 'top words' algorithm as the historical lexicon.
- It did not treat Ngram frequency as semantic evidence.
- It did not infer missing historical voices for balance.</x:v>
      </x:c>
      <x:c r="I29" s="155" t="str">
        <x:v>- It did not simply extract the most frequent words.
- It did not use an unsupervised 'top words' algorithm as the historical lexicon.
- It did not treat Ngram frequency as semantic evidence.
- It did not infer missing historical voices for balance.</x:v>
      </x:c>
      <x:c r="J29" s="155" t="str">
        <x:v>- It did not simply extract the most frequent words.
- It did not use an unsupervised 'top words' algorithm as the historical lexicon.
- It did not treat Ngram frequency as semantic evidence.
- It did not infer missing historical voices for balance.</x:v>
      </x:c>
      <x:c r="K29" s="155" t="str">
        <x:v>- It did not simply extract the most frequent words.
- It did not use an unsupervised 'top words' algorithm as the historical lexicon.
- It did not treat Ngram frequency as semantic evidence.
- It did not infer missing historical voices for balance.</x:v>
      </x:c>
      <x:c r="L29" s="155" t="str">
        <x:v>- It did not simply extract the most frequent words.
- It did not use an unsupervised 'top words' algorithm as the historical lexicon.
- It did not treat Ngram frequency as semantic evidence.
- It did not infer missing historical voices for balance.</x:v>
      </x:c>
      <x:c r="M29" s="155" t="str">
        <x:v>- It did not simply extract the most frequent words.
- It did not use an unsupervised 'top words' algorithm as the historical lexicon.
- It did not treat Ngram frequency as semantic evidence.
- It did not infer missing historical voices for balance.</x:v>
      </x:c>
      <x:c r="N29" s="155" t="str">
        <x:v>- It did not simply extract the most frequent words.
- It did not use an unsupervised 'top words' algorithm as the historical lexicon.
- It did not treat Ngram frequency as semantic evidence.
- It did not infer missing historical voices for balance.</x:v>
      </x:c>
    </x:row>
    <x:row r="30">
      <x:c r="A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0"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0" s="155" t="str">
        <x:v>- It did not simply extract the most frequent words.
- It did not use an unsupervised 'top words' algorithm as the historical lexicon.
- It did not treat Ngram frequency as semantic evidence.
- It did not infer missing historical voices for balance.</x:v>
      </x:c>
      <x:c r="I30" s="155" t="str">
        <x:v>- It did not simply extract the most frequent words.
- It did not use an unsupervised 'top words' algorithm as the historical lexicon.
- It did not treat Ngram frequency as semantic evidence.
- It did not infer missing historical voices for balance.</x:v>
      </x:c>
      <x:c r="J30" s="155" t="str">
        <x:v>- It did not simply extract the most frequent words.
- It did not use an unsupervised 'top words' algorithm as the historical lexicon.
- It did not treat Ngram frequency as semantic evidence.
- It did not infer missing historical voices for balance.</x:v>
      </x:c>
      <x:c r="K30" s="155" t="str">
        <x:v>- It did not simply extract the most frequent words.
- It did not use an unsupervised 'top words' algorithm as the historical lexicon.
- It did not treat Ngram frequency as semantic evidence.
- It did not infer missing historical voices for balance.</x:v>
      </x:c>
      <x:c r="L30" s="155" t="str">
        <x:v>- It did not simply extract the most frequent words.
- It did not use an unsupervised 'top words' algorithm as the historical lexicon.
- It did not treat Ngram frequency as semantic evidence.
- It did not infer missing historical voices for balance.</x:v>
      </x:c>
      <x:c r="M30" s="155" t="str">
        <x:v>- It did not simply extract the most frequent words.
- It did not use an unsupervised 'top words' algorithm as the historical lexicon.
- It did not treat Ngram frequency as semantic evidence.
- It did not infer missing historical voices for balance.</x:v>
      </x:c>
      <x:c r="N30" s="155" t="str">
        <x:v>- It did not simply extract the most frequent words.
- It did not use an unsupervised 'top words' algorithm as the historical lexicon.
- It did not treat Ngram frequency as semantic evidence.
- It did not infer missing historical voices for balance.</x:v>
      </x:c>
    </x:row>
    <x:row r="31">
      <x:c r="A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1"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1" s="155" t="str">
        <x:v>- It did not simply extract the most frequent words.
- It did not use an unsupervised 'top words' algorithm as the historical lexicon.
- It did not treat Ngram frequency as semantic evidence.
- It did not infer missing historical voices for balance.</x:v>
      </x:c>
      <x:c r="I31" s="155" t="str">
        <x:v>- It did not simply extract the most frequent words.
- It did not use an unsupervised 'top words' algorithm as the historical lexicon.
- It did not treat Ngram frequency as semantic evidence.
- It did not infer missing historical voices for balance.</x:v>
      </x:c>
      <x:c r="J31" s="155" t="str">
        <x:v>- It did not simply extract the most frequent words.
- It did not use an unsupervised 'top words' algorithm as the historical lexicon.
- It did not treat Ngram frequency as semantic evidence.
- It did not infer missing historical voices for balance.</x:v>
      </x:c>
      <x:c r="K31" s="155" t="str">
        <x:v>- It did not simply extract the most frequent words.
- It did not use an unsupervised 'top words' algorithm as the historical lexicon.
- It did not treat Ngram frequency as semantic evidence.
- It did not infer missing historical voices for balance.</x:v>
      </x:c>
      <x:c r="L31" s="155" t="str">
        <x:v>- It did not simply extract the most frequent words.
- It did not use an unsupervised 'top words' algorithm as the historical lexicon.
- It did not treat Ngram frequency as semantic evidence.
- It did not infer missing historical voices for balance.</x:v>
      </x:c>
      <x:c r="M31" s="155" t="str">
        <x:v>- It did not simply extract the most frequent words.
- It did not use an unsupervised 'top words' algorithm as the historical lexicon.
- It did not treat Ngram frequency as semantic evidence.
- It did not infer missing historical voices for balance.</x:v>
      </x:c>
      <x:c r="N31" s="155" t="str">
        <x:v>- It did not simply extract the most frequent words.
- It did not use an unsupervised 'top words' algorithm as the historical lexicon.
- It did not treat Ngram frequency as semantic evidence.
- It did not infer missing historical voices for balance.</x:v>
      </x:c>
    </x:row>
    <x:row r="32">
      <x:c r="A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2"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2" s="155" t="str">
        <x:v>- It did not simply extract the most frequent words.
- It did not use an unsupervised 'top words' algorithm as the historical lexicon.
- It did not treat Ngram frequency as semantic evidence.
- It did not infer missing historical voices for balance.</x:v>
      </x:c>
      <x:c r="I32" s="155" t="str">
        <x:v>- It did not simply extract the most frequent words.
- It did not use an unsupervised 'top words' algorithm as the historical lexicon.
- It did not treat Ngram frequency as semantic evidence.
- It did not infer missing historical voices for balance.</x:v>
      </x:c>
      <x:c r="J32" s="155" t="str">
        <x:v>- It did not simply extract the most frequent words.
- It did not use an unsupervised 'top words' algorithm as the historical lexicon.
- It did not treat Ngram frequency as semantic evidence.
- It did not infer missing historical voices for balance.</x:v>
      </x:c>
      <x:c r="K32" s="155" t="str">
        <x:v>- It did not simply extract the most frequent words.
- It did not use an unsupervised 'top words' algorithm as the historical lexicon.
- It did not treat Ngram frequency as semantic evidence.
- It did not infer missing historical voices for balance.</x:v>
      </x:c>
      <x:c r="L32" s="155" t="str">
        <x:v>- It did not simply extract the most frequent words.
- It did not use an unsupervised 'top words' algorithm as the historical lexicon.
- It did not treat Ngram frequency as semantic evidence.
- It did not infer missing historical voices for balance.</x:v>
      </x:c>
      <x:c r="M32" s="155" t="str">
        <x:v>- It did not simply extract the most frequent words.
- It did not use an unsupervised 'top words' algorithm as the historical lexicon.
- It did not treat Ngram frequency as semantic evidence.
- It did not infer missing historical voices for balance.</x:v>
      </x:c>
      <x:c r="N32" s="155" t="str">
        <x:v>- It did not simply extract the most frequent words.
- It did not use an unsupervised 'top words' algorithm as the historical lexicon.
- It did not treat Ngram frequency as semantic evidence.
- It did not infer missing historical voices for balance.</x:v>
      </x:c>
    </x:row>
    <x:row r="33">
      <x:c r="A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3"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3" s="155" t="str">
        <x:v>- It did not simply extract the most frequent words.
- It did not use an unsupervised 'top words' algorithm as the historical lexicon.
- It did not treat Ngram frequency as semantic evidence.
- It did not infer missing historical voices for balance.</x:v>
      </x:c>
      <x:c r="I33" s="155" t="str">
        <x:v>- It did not simply extract the most frequent words.
- It did not use an unsupervised 'top words' algorithm as the historical lexicon.
- It did not treat Ngram frequency as semantic evidence.
- It did not infer missing historical voices for balance.</x:v>
      </x:c>
      <x:c r="J33" s="155" t="str">
        <x:v>- It did not simply extract the most frequent words.
- It did not use an unsupervised 'top words' algorithm as the historical lexicon.
- It did not treat Ngram frequency as semantic evidence.
- It did not infer missing historical voices for balance.</x:v>
      </x:c>
      <x:c r="K33" s="155" t="str">
        <x:v>- It did not simply extract the most frequent words.
- It did not use an unsupervised 'top words' algorithm as the historical lexicon.
- It did not treat Ngram frequency as semantic evidence.
- It did not infer missing historical voices for balance.</x:v>
      </x:c>
      <x:c r="L33" s="155" t="str">
        <x:v>- It did not simply extract the most frequent words.
- It did not use an unsupervised 'top words' algorithm as the historical lexicon.
- It did not treat Ngram frequency as semantic evidence.
- It did not infer missing historical voices for balance.</x:v>
      </x:c>
      <x:c r="M33" s="155" t="str">
        <x:v>- It did not simply extract the most frequent words.
- It did not use an unsupervised 'top words' algorithm as the historical lexicon.
- It did not treat Ngram frequency as semantic evidence.
- It did not infer missing historical voices for balance.</x:v>
      </x:c>
      <x:c r="N33" s="155" t="str">
        <x:v>- It did not simply extract the most frequent words.
- It did not use an unsupervised 'top words' algorithm as the historical lexicon.
- It did not treat Ngram frequency as semantic evidence.
- It did not infer missing historical voices for balance.</x:v>
      </x:c>
    </x:row>
    <x:row r="34">
      <x:c r="A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4"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4" s="155" t="str">
        <x:v>- It did not simply extract the most frequent words.
- It did not use an unsupervised 'top words' algorithm as the historical lexicon.
- It did not treat Ngram frequency as semantic evidence.
- It did not infer missing historical voices for balance.</x:v>
      </x:c>
      <x:c r="I34" s="155" t="str">
        <x:v>- It did not simply extract the most frequent words.
- It did not use an unsupervised 'top words' algorithm as the historical lexicon.
- It did not treat Ngram frequency as semantic evidence.
- It did not infer missing historical voices for balance.</x:v>
      </x:c>
      <x:c r="J34" s="155" t="str">
        <x:v>- It did not simply extract the most frequent words.
- It did not use an unsupervised 'top words' algorithm as the historical lexicon.
- It did not treat Ngram frequency as semantic evidence.
- It did not infer missing historical voices for balance.</x:v>
      </x:c>
      <x:c r="K34" s="155" t="str">
        <x:v>- It did not simply extract the most frequent words.
- It did not use an unsupervised 'top words' algorithm as the historical lexicon.
- It did not treat Ngram frequency as semantic evidence.
- It did not infer missing historical voices for balance.</x:v>
      </x:c>
      <x:c r="L34" s="155" t="str">
        <x:v>- It did not simply extract the most frequent words.
- It did not use an unsupervised 'top words' algorithm as the historical lexicon.
- It did not treat Ngram frequency as semantic evidence.
- It did not infer missing historical voices for balance.</x:v>
      </x:c>
      <x:c r="M34" s="155" t="str">
        <x:v>- It did not simply extract the most frequent words.
- It did not use an unsupervised 'top words' algorithm as the historical lexicon.
- It did not treat Ngram frequency as semantic evidence.
- It did not infer missing historical voices for balance.</x:v>
      </x:c>
      <x:c r="N34" s="155" t="str">
        <x:v>- It did not simply extract the most frequent words.
- It did not use an unsupervised 'top words' algorithm as the historical lexicon.
- It did not treat Ngram frequency as semantic evidence.
- It did not infer missing historical voices for balance.</x:v>
      </x:c>
    </x:row>
    <x:row r="35">
      <x:c r="A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5"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5" s="155" t="str">
        <x:v>- It did not simply extract the most frequent words.
- It did not use an unsupervised 'top words' algorithm as the historical lexicon.
- It did not treat Ngram frequency as semantic evidence.
- It did not infer missing historical voices for balance.</x:v>
      </x:c>
      <x:c r="I35" s="155" t="str">
        <x:v>- It did not simply extract the most frequent words.
- It did not use an unsupervised 'top words' algorithm as the historical lexicon.
- It did not treat Ngram frequency as semantic evidence.
- It did not infer missing historical voices for balance.</x:v>
      </x:c>
      <x:c r="J35" s="155" t="str">
        <x:v>- It did not simply extract the most frequent words.
- It did not use an unsupervised 'top words' algorithm as the historical lexicon.
- It did not treat Ngram frequency as semantic evidence.
- It did not infer missing historical voices for balance.</x:v>
      </x:c>
      <x:c r="K35" s="155" t="str">
        <x:v>- It did not simply extract the most frequent words.
- It did not use an unsupervised 'top words' algorithm as the historical lexicon.
- It did not treat Ngram frequency as semantic evidence.
- It did not infer missing historical voices for balance.</x:v>
      </x:c>
      <x:c r="L35" s="155" t="str">
        <x:v>- It did not simply extract the most frequent words.
- It did not use an unsupervised 'top words' algorithm as the historical lexicon.
- It did not treat Ngram frequency as semantic evidence.
- It did not infer missing historical voices for balance.</x:v>
      </x:c>
      <x:c r="M35" s="155" t="str">
        <x:v>- It did not simply extract the most frequent words.
- It did not use an unsupervised 'top words' algorithm as the historical lexicon.
- It did not treat Ngram frequency as semantic evidence.
- It did not infer missing historical voices for balance.</x:v>
      </x:c>
      <x:c r="N35" s="155" t="str">
        <x:v>- It did not simply extract the most frequent words.
- It did not use an unsupervised 'top words' algorithm as the historical lexicon.
- It did not treat Ngram frequency as semantic evidence.
- It did not infer missing historical voices for balance.</x:v>
      </x:c>
    </x:row>
    <x:row r="36">
      <x:c r="A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B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C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D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E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F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G36" s="151" t="str">
        <x:v>1. Ingest candidate records.
2. Normalise forms without erasing historical wording.
3. Deduplicate identical retrieval requests while preserving candidate provenance.
4. Map terms into lexical families.
5. Associate anchors, voices, modes and sources.
6. Generate reproducible query rules.
7. Run Ngram frequency retrieval.
8. Collect bounded search statistics.
9. Connect dictionary evidence.
10. Create coverage audits, flag ambiguity/missing metadata and prepare semantic validation.</x:v>
      </x:c>
      <x:c r="H36" s="155" t="str">
        <x:v>- It did not simply extract the most frequent words.
- It did not use an unsupervised 'top words' algorithm as the historical lexicon.
- It did not treat Ngram frequency as semantic evidence.
- It did not infer missing historical voices for balance.</x:v>
      </x:c>
      <x:c r="I36" s="155" t="str">
        <x:v>- It did not simply extract the most frequent words.
- It did not use an unsupervised 'top words' algorithm as the historical lexicon.
- It did not treat Ngram frequency as semantic evidence.
- It did not infer missing historical voices for balance.</x:v>
      </x:c>
      <x:c r="J36" s="155" t="str">
        <x:v>- It did not simply extract the most frequent words.
- It did not use an unsupervised 'top words' algorithm as the historical lexicon.
- It did not treat Ngram frequency as semantic evidence.
- It did not infer missing historical voices for balance.</x:v>
      </x:c>
      <x:c r="K36" s="155" t="str">
        <x:v>- It did not simply extract the most frequent words.
- It did not use an unsupervised 'top words' algorithm as the historical lexicon.
- It did not treat Ngram frequency as semantic evidence.
- It did not infer missing historical voices for balance.</x:v>
      </x:c>
      <x:c r="L36" s="155" t="str">
        <x:v>- It did not simply extract the most frequent words.
- It did not use an unsupervised 'top words' algorithm as the historical lexicon.
- It did not treat Ngram frequency as semantic evidence.
- It did not infer missing historical voices for balance.</x:v>
      </x:c>
      <x:c r="M36" s="155" t="str">
        <x:v>- It did not simply extract the most frequent words.
- It did not use an unsupervised 'top words' algorithm as the historical lexicon.
- It did not treat Ngram frequency as semantic evidence.
- It did not infer missing historical voices for balance.</x:v>
      </x:c>
      <x:c r="N36" s="155" t="str">
        <x:v>- It did not simply extract the most frequent words.
- It did not use an unsupervised 'top words' algorithm as the historical lexicon.
- It did not treat Ngram frequency as semantic evidence.
- It did not infer missing historical voices for balance.</x:v>
      </x:c>
    </x:row>
  </x:sheetData>
  <x:mergeCells>
    <x:mergeCell ref="A1:N1"/>
    <x:mergeCell ref="A2:N2"/>
    <x:mergeCell ref="A4:N4"/>
    <x:mergeCell ref="A5:N6"/>
    <x:mergeCell ref="A8:N8"/>
    <x:mergeCell ref="A10:B12"/>
    <x:mergeCell ref="C10:C12"/>
    <x:mergeCell ref="D10:E12"/>
    <x:mergeCell ref="F10:F12"/>
    <x:mergeCell ref="G10:H12"/>
    <x:mergeCell ref="I10:I12"/>
    <x:mergeCell ref="J10:K12"/>
    <x:mergeCell ref="L10:L12"/>
    <x:mergeCell ref="M10:N12"/>
    <x:mergeCell ref="A14:B16"/>
    <x:mergeCell ref="C14:C16"/>
    <x:mergeCell ref="D14:E16"/>
    <x:mergeCell ref="F14:F16"/>
    <x:mergeCell ref="G14:H16"/>
    <x:mergeCell ref="I14:I16"/>
    <x:mergeCell ref="J14:K16"/>
    <x:mergeCell ref="L14:L16"/>
    <x:mergeCell ref="M14:N16"/>
    <x:mergeCell ref="A18:N18"/>
    <x:mergeCell ref="A19:N22"/>
    <x:mergeCell ref="A24:G24"/>
    <x:mergeCell ref="H24:N24"/>
    <x:mergeCell ref="A25:G36"/>
    <x:mergeCell ref="H25:N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8" hidden="0" customWidth="1"/>
    <x:col min="2" max="2" width="24" hidden="0" customWidth="1"/>
    <x:col min="3" max="3" width="3" hidden="0" customWidth="1"/>
    <x:col min="4" max="4" width="19" hidden="0" customWidth="1"/>
    <x:col min="5" max="5" width="19" hidden="0" customWidth="1"/>
    <x:col min="6" max="6" width="19" hidden="0" customWidth="1"/>
    <x:col min="7" max="7" width="19" hidden="0" customWidth="1"/>
    <x:col min="8" max="8" width="19" hidden="0" customWidth="1"/>
  </x:cols>
  <x:sheetData>
    <x:row r="1" ht="42" customHeight="1">
      <x:c r="A1" s="64" t="str">
        <x:v>Fear of Temperature - Quantitative and Lexicographic Baseline v0.1</x:v>
      </x:c>
      <x:c r="B1" s="64" t="str">
        <x:v>Fear of Temperature - Quantitative and Lexicographic Baseline v0.1</x:v>
      </x:c>
      <x:c r="C1" s="64" t="str">
        <x:v>Fear of Temperature - Quantitative and Lexicographic Baseline v0.1</x:v>
      </x:c>
      <x:c r="D1" s="64" t="str">
        <x:v>Fear of Temperature - Quantitative and Lexicographic Baseline v0.1</x:v>
      </x:c>
      <x:c r="E1" s="64" t="str">
        <x:v>Fear of Temperature - Quantitative and Lexicographic Baseline v0.1</x:v>
      </x:c>
      <x:c r="F1" s="64" t="str">
        <x:v>Fear of Temperature - Quantitative and Lexicographic Baseline v0.1</x:v>
      </x:c>
      <x:c r="G1" s="64" t="str">
        <x:v>Fear of Temperature - Quantitative and Lexicographic Baseline v0.1</x:v>
      </x:c>
      <x:c r="H1" s="64" t="str">
        <x:v>Fear of Temperature - Quantitative and Lexicographic Baseline v0.1</x:v>
      </x:c>
    </x:row>
    <x:row r="2">
      <x:c r="A2" s="7" t="str">
        <x:v>Formula-linked summary · provisional provenance-labelled research baseline · 1842-2022</x:v>
      </x:c>
      <x:c r="B2" s="7" t="str">
        <x:v>Formula-linked summary · provisional provenance-labelled research baseline · 1842-2022</x:v>
      </x:c>
      <x:c r="C2" s="7" t="str">
        <x:v>Formula-linked summary · provisional provenance-labelled research baseline · 1842-2022</x:v>
      </x:c>
      <x:c r="D2" s="7" t="str">
        <x:v>Formula-linked summary · provisional provenance-labelled research baseline · 1842-2022</x:v>
      </x:c>
      <x:c r="E2" s="7" t="str">
        <x:v>Formula-linked summary · provisional provenance-labelled research baseline · 1842-2022</x:v>
      </x:c>
      <x:c r="F2" s="7" t="str">
        <x:v>Formula-linked summary · provisional provenance-labelled research baseline · 1842-2022</x:v>
      </x:c>
      <x:c r="G2" s="7" t="str">
        <x:v>Formula-linked summary · provisional provenance-labelled research baseline · 1842-2022</x:v>
      </x:c>
      <x:c r="H2" s="7" t="str">
        <x:v>Formula-linked summary · provisional provenance-labelled research baseline · 1842-2022</x:v>
      </x:c>
    </x:row>
    <x:row r="4">
      <x:c r="A4" s="66" t="str">
        <x:v>Research status</x:v>
      </x:c>
      <x:c r="B4" s="66" t="str">
        <x:v>Value</x:v>
      </x:c>
      <x:c r="D4" s="82" t="str">
        <x:v>Data-supported quantitative observations</x:v>
      </x:c>
      <x:c r="E4" s="82" t="str">
        <x:v>Data-supported quantitative observations</x:v>
      </x:c>
      <x:c r="F4" s="82" t="str">
        <x:v>Data-supported quantitative observations</x:v>
      </x:c>
      <x:c r="G4" s="82" t="str">
        <x:v>Data-supported quantitative observations</x:v>
      </x:c>
      <x:c r="H4" s="82" t="str">
        <x:v>Data-supported quantitative observations</x:v>
      </x:c>
    </x:row>
    <x:row r="5">
      <x:c r="A5" s="73" t="str">
        <x:v>Research version</x:v>
      </x:c>
      <x:c r="B5" s="71" t="str">
        <x:v>fear-temperature-quant-v0.1-provisional</x:v>
      </x:c>
      <x:c r="D5" s="88" t="str">
        <x:v>Term</x:v>
      </x:c>
      <x:c r="E5" s="88" t="str">
        <x:v>1988 per million</x:v>
      </x:c>
      <x:c r="F5" s="88" t="str">
        <x:v>2022 per million</x:v>
      </x:c>
    </x:row>
    <x:row r="6">
      <x:c r="A6" s="73" t="str">
        <x:v>Query rules</x:v>
      </x:c>
      <x:c r="B6" s="71" t="n">
        <x:f>COUNTA('Ngram Coverage'!A5:A147)</x:f>
        <x:v>143</x:v>
      </x:c>
      <x:c r="D6" s="86" t="str">
        <x:v>climate change</x:v>
      </x:c>
      <x:c r="E6" s="89" t="n">
        <x:f>'Master Frequency'!$S$74*1000000</x:f>
        <x:v>1.240793510930149</x:v>
      </x:c>
      <x:c r="F6" s="89" t="n">
        <x:f>'Master Frequency'!$X$74*1000000</x:f>
        <x:v>28.900088152067347</x:v>
      </x:c>
    </x:row>
    <x:row r="7">
      <x:c r="A7" s="73" t="str">
        <x:v>Ngram-executable</x:v>
      </x:c>
      <x:c r="B7" s="71" t="n">
        <x:f>COUNTIF('Ngram Coverage'!G5:G147,"SUCCEEDED")+COUNTIF('Ngram Coverage'!G5:G147,"ZERO_RESULT")+COUNTIF('Ngram Coverage'!G5:G147,"FAILED")</x:f>
        <x:v>138</x:v>
      </x:c>
      <x:c r="D7" s="86" t="str">
        <x:v>climatic change</x:v>
      </x:c>
      <x:c r="E7" s="89" t="n">
        <x:f>'Master Frequency'!$S$125*1000000</x:f>
        <x:v>0.6100814835992285</x:v>
      </x:c>
      <x:c r="F7" s="89" t="n">
        <x:f>'Master Frequency'!$X$125*1000000</x:f>
        <x:v>0.3561308840049904</x:v>
      </x:c>
    </x:row>
    <x:row r="8">
      <x:c r="A8" s="73" t="str">
        <x:v>Successful non-zero series</x:v>
      </x:c>
      <x:c r="B8" s="71" t="n">
        <x:f>COUNTIF('Ngram Coverage'!G5:G147,"SUCCEEDED")</x:f>
        <x:v>132</x:v>
      </x:c>
      <x:c r="D8" s="86" t="str">
        <x:v>greenhouse effect</x:v>
      </x:c>
      <x:c r="E8" s="89" t="n">
        <x:f>'Master Frequency'!$S$45*1000000</x:f>
        <x:v>1.086015104533045</x:v>
      </x:c>
      <x:c r="F8" s="89" t="n">
        <x:f>'Master Frequency'!$X$45*1000000</x:f>
        <x:v>0.4531046594036248</x:v>
      </x:c>
    </x:row>
    <x:row r="9">
      <x:c r="A9" s="73" t="str">
        <x:v>Zero-result series</x:v>
      </x:c>
      <x:c r="B9" s="71" t="n">
        <x:f>COUNTIF('Ngram Coverage'!G5:G147,"ZERO_RESULT")</x:f>
        <x:v>6</x:v>
      </x:c>
      <x:c r="D9" s="86" t="str">
        <x:v>global warming</x:v>
      </x:c>
      <x:c r="E9" s="89" t="n">
        <x:f>'Master Frequency'!$S$46*1000000</x:f>
        <x:v>0.6400895369296222</x:v>
      </x:c>
      <x:c r="F9" s="89" t="n">
        <x:f>'Master Frequency'!$X$46*1000000</x:f>
        <x:v>3.963670369644401</x:v>
      </x:c>
    </x:row>
    <x:row r="10">
      <x:c r="A10" s="73" t="str">
        <x:v>Failed requests</x:v>
      </x:c>
      <x:c r="B10" s="71" t="n">
        <x:f>COUNTIF('Ngram Coverage'!G5:G147,"FAILED")</x:f>
        <x:v>0</x:v>
      </x:c>
      <x:c r="D10" s="86" t="str">
        <x:v>climate anxiety</x:v>
      </x:c>
      <x:c r="E10" s="89" t="n">
        <x:f>'Master Frequency'!$S$120*1000000</x:f>
        <x:v>0</x:v>
      </x:c>
      <x:c r="F10" s="89" t="n">
        <x:f>'Master Frequency'!$X$120*1000000</x:f>
        <x:v>0.03579004737019886</x:v>
      </x:c>
    </x:row>
    <x:row r="11">
      <x:c r="A11" s="73" t="str">
        <x:v>Not run - incompatible</x:v>
      </x:c>
      <x:c r="B11" s="71" t="n">
        <x:f>COUNTIF('Ngram Coverage'!G5:G147,"NOT_RUN_INCOMPATIBLE")</x:f>
        <x:v>5</x:v>
      </x:c>
    </x:row>
    <x:row r="12">
      <x:c r="A12" s="79" t="str">
        <x:v>Annual observations</x:v>
      </x:c>
      <x:c r="B12" s="76" t="n">
        <x:f>SUM('Ngram Coverage'!I5:I147)</x:f>
        <x:v>23892</x:v>
      </x:c>
      <x:c r="D12" s="94" t="str">
        <x:v>String frequency is not equivalent to historical fear. Generic strings can occur in unrelated senses, and Ngram does not identify speaker, source, expression mode or reception.</x:v>
      </x:c>
      <x:c r="E12" s="94" t="str">
        <x:v>String frequency is not equivalent to historical fear. Generic strings can occur in unrelated senses, and Ngram does not identify speaker, source, expression mode or reception.</x:v>
      </x:c>
      <x:c r="F12" s="94" t="str">
        <x:v>String frequency is not equivalent to historical fear. Generic strings can occur in unrelated senses, and Ngram does not identify speaker, source, expression mode or reception.</x:v>
      </x:c>
      <x:c r="G12" s="94" t="str">
        <x:v>String frequency is not equivalent to historical fear. Generic strings can occur in unrelated senses, and Ngram does not identify speaker, source, expression mode or reception.</x:v>
      </x:c>
      <x:c r="H12" s="94" t="str">
        <x:v>String frequency is not equivalent to historical fear. Generic strings can occur in unrelated senses, and Ngram does not identify speaker, source, expression mode or reception.</x:v>
      </x:c>
    </x:row>
    <x:row r="13">
      <x:c r="A13" s="73" t="str">
        <x:v>Year start</x:v>
      </x:c>
      <x:c r="B13" s="71" t="n">
        <x:f>MIN('Master Frequency'!J5:J147)</x:f>
        <x:v>1842</x:v>
      </x:c>
      <x:c r="D13" s="94" t="str">
        <x:v>String frequency is not equivalent to historical fear. Generic strings can occur in unrelated senses, and Ngram does not identify speaker, source, expression mode or reception.</x:v>
      </x:c>
      <x:c r="E13" s="94" t="str">
        <x:v>String frequency is not equivalent to historical fear. Generic strings can occur in unrelated senses, and Ngram does not identify speaker, source, expression mode or reception.</x:v>
      </x:c>
      <x:c r="F13" s="94" t="str">
        <x:v>String frequency is not equivalent to historical fear. Generic strings can occur in unrelated senses, and Ngram does not identify speaker, source, expression mode or reception.</x:v>
      </x:c>
      <x:c r="G13" s="94" t="str">
        <x:v>String frequency is not equivalent to historical fear. Generic strings can occur in unrelated senses, and Ngram does not identify speaker, source, expression mode or reception.</x:v>
      </x:c>
      <x:c r="H13" s="94" t="str">
        <x:v>String frequency is not equivalent to historical fear. Generic strings can occur in unrelated senses, and Ngram does not identify speaker, source, expression mode or reception.</x:v>
      </x:c>
    </x:row>
    <x:row r="14">
      <x:c r="A14" s="73" t="str">
        <x:v>Year end</x:v>
      </x:c>
      <x:c r="B14" s="71" t="n">
        <x:f>MAX('Master Frequency'!K5:K147)</x:f>
        <x:v>2022</x:v>
      </x:c>
      <x:c r="D14" s="94" t="str">
        <x:v>String frequency is not equivalent to historical fear. Generic strings can occur in unrelated senses, and Ngram does not identify speaker, source, expression mode or reception.</x:v>
      </x:c>
      <x:c r="E14" s="94" t="str">
        <x:v>String frequency is not equivalent to historical fear. Generic strings can occur in unrelated senses, and Ngram does not identify speaker, source, expression mode or reception.</x:v>
      </x:c>
      <x:c r="F14" s="94" t="str">
        <x:v>String frequency is not equivalent to historical fear. Generic strings can occur in unrelated senses, and Ngram does not identify speaker, source, expression mode or reception.</x:v>
      </x:c>
      <x:c r="G14" s="94" t="str">
        <x:v>String frequency is not equivalent to historical fear. Generic strings can occur in unrelated senses, and Ngram does not identify speaker, source, expression mode or reception.</x:v>
      </x:c>
      <x:c r="H14" s="94" t="str">
        <x:v>String frequency is not equivalent to historical fear. Generic strings can occur in unrelated senses, and Ngram does not identify speaker, source, expression mode or reception.</x:v>
      </x:c>
    </x:row>
    <x:row r="15">
      <x:c r="A15" s="73" t="str">
        <x:v>Seed ledger records</x:v>
      </x:c>
      <x:c r="B15" s="71" t="n">
        <x:f>COUNTA('Seed Ledger'!A5:A400)</x:f>
        <x:v>396</x:v>
      </x:c>
    </x:row>
    <x:row r="16">
      <x:c r="A16" s="73" t="str">
        <x:v>Priority candidates</x:v>
      </x:c>
      <x:c r="B16" s="71" t="n">
        <x:f>COUNTA('Priority 180 Coverage'!A5:A184)</x:f>
        <x:v>180</x:v>
      </x:c>
      <x:c r="D16" s="99" t="str">
        <x:v>The same word may perform different historical and social functions depending on speaker, source, expression mode and context.</x:v>
      </x:c>
      <x:c r="E16" s="99" t="str">
        <x:v>The same word may perform different historical and social functions depending on speaker, source, expression mode and context.</x:v>
      </x:c>
      <x:c r="F16" s="99" t="str">
        <x:v>The same word may perform different historical and social functions depending on speaker, source, expression mode and context.</x:v>
      </x:c>
      <x:c r="G16" s="99" t="str">
        <x:v>The same word may perform different historical and social functions depending on speaker, source, expression mode and context.</x:v>
      </x:c>
      <x:c r="H16" s="99" t="str">
        <x:v>The same word may perform different historical and social functions depending on speaker, source, expression mode and context.</x:v>
      </x:c>
    </x:row>
    <x:row r="17">
      <x:c r="A17" s="73" t="str">
        <x:v>Dictionary candidate rows</x:v>
      </x:c>
      <x:c r="B17" s="71" t="n">
        <x:f>COUNTA('Dictionary 180'!A5:A184)</x:f>
        <x:v>180</x:v>
      </x:c>
      <x:c r="D17" s="99" t="str">
        <x:v>The same word may perform different historical and social functions depending on speaker, source, expression mode and context.</x:v>
      </x:c>
      <x:c r="E17" s="99" t="str">
        <x:v>The same word may perform different historical and social functions depending on speaker, source, expression mode and context.</x:v>
      </x:c>
      <x:c r="F17" s="99" t="str">
        <x:v>The same word may perform different historical and social functions depending on speaker, source, expression mode and context.</x:v>
      </x:c>
      <x:c r="G17" s="99" t="str">
        <x:v>The same word may perform different historical and social functions depending on speaker, source, expression mode and context.</x:v>
      </x:c>
      <x:c r="H17" s="99" t="str">
        <x:v>The same word may perform different historical and social functions depending on speaker, source, expression mode and context.</x:v>
      </x:c>
    </x:row>
    <x:row r="18">
      <x:c r="A18" s="73" t="str">
        <x:v>Search candidate rows</x:v>
      </x:c>
      <x:c r="B18" s="71" t="n">
        <x:f>COUNTA('Search 180'!A5:A184)</x:f>
        <x:v>180</x:v>
      </x:c>
      <x:c r="D18" s="99" t="str">
        <x:v>The same word may perform different historical and social functions depending on speaker, source, expression mode and context.</x:v>
      </x:c>
      <x:c r="E18" s="99" t="str">
        <x:v>The same word may perform different historical and social functions depending on speaker, source, expression mode and context.</x:v>
      </x:c>
      <x:c r="F18" s="99" t="str">
        <x:v>The same word may perform different historical and social functions depending on speaker, source, expression mode and context.</x:v>
      </x:c>
      <x:c r="G18" s="99" t="str">
        <x:v>The same word may perform different historical and social functions depending on speaker, source, expression mode and context.</x:v>
      </x:c>
      <x:c r="H18" s="99" t="str">
        <x:v>The same word may perform different historical and social functions depending on speaker, source, expression mode and context.</x:v>
      </x:c>
    </x:row>
    <x:row r="19">
      <x:c r="A19" s="73" t="str">
        <x:v>Lexical families</x:v>
      </x:c>
      <x:c r="B19" s="71" t="n">
        <x:f>COUNTA('Family Summary'!A5:A18)</x:f>
        <x:v>14</x:v>
      </x:c>
    </x:row>
    <x:row r="20">
      <x:c r="A20" s="73" t="str">
        <x:v>Voice x anchor cells</x:v>
      </x:c>
      <x:c r="B20" s="71" t="n">
        <x:f>COUNTA('Voice Matrix'!A5:A34)</x:f>
        <x:v>30</x:v>
      </x:c>
      <x:c r="D20" s="104" t="str">
        <x:v>Generated from the current project database and research exports; source tables remain version-controlled. Search counts are Internet Archive discovery-result counts reported by the API, not language prevalence.</x:v>
      </x:c>
      <x:c r="E20" s="104" t="str">
        <x:v>Generated from the current project database and research exports; source tables remain version-controlled. Search counts are Internet Archive discovery-result counts reported by the API, not language prevalence.</x:v>
      </x:c>
      <x:c r="F20" s="104" t="str">
        <x:v>Generated from the current project database and research exports; source tables remain version-controlled. Search counts are Internet Archive discovery-result counts reported by the API, not language prevalence.</x:v>
      </x:c>
      <x:c r="G20" s="104" t="str">
        <x:v>Generated from the current project database and research exports; source tables remain version-controlled. Search counts are Internet Archive discovery-result counts reported by the API, not language prevalence.</x:v>
      </x:c>
      <x:c r="H20" s="104" t="str">
        <x:v>Generated from the current project database and research exports; source tables remain version-controlled. Search counts are Internet Archive discovery-result counts reported by the API, not language prevalence.</x:v>
      </x:c>
    </x:row>
    <x:row r="21">
      <x:c r="A21" s="73" t="str">
        <x:v>Ngram unexplained</x:v>
      </x:c>
      <x:c r="B21" s="71" t="n">
        <x:f>COUNTIF('Ngram Coverage'!H5:H147,"UNRESOLVED")</x:f>
        <x:v>0</x:v>
      </x:c>
      <x:c r="D21" s="104" t="str">
        <x:v>Generated from the current project database and research exports; source tables remain version-controlled. Search counts are Internet Archive discovery-result counts reported by the API, not language prevalence.</x:v>
      </x:c>
      <x:c r="E21" s="104" t="str">
        <x:v>Generated from the current project database and research exports; source tables remain version-controlled. Search counts are Internet Archive discovery-result counts reported by the API, not language prevalence.</x:v>
      </x:c>
      <x:c r="F21" s="104" t="str">
        <x:v>Generated from the current project database and research exports; source tables remain version-controlled. Search counts are Internet Archive discovery-result counts reported by the API, not language prevalence.</x:v>
      </x:c>
      <x:c r="G21" s="104" t="str">
        <x:v>Generated from the current project database and research exports; source tables remain version-controlled. Search counts are Internet Archive discovery-result counts reported by the API, not language prevalence.</x:v>
      </x:c>
      <x:c r="H21" s="104" t="str">
        <x:v>Generated from the current project database and research exports; source tables remain version-controlled. Search counts are Internet Archive discovery-result counts reported by the API, not language prevalence.</x:v>
      </x:c>
    </x:row>
    <x:row r="22">
      <x:c r="A22" s="73" t="str">
        <x:v>Blank annotation metadata</x:v>
      </x:c>
      <x:c r="B22" s="71" t="n">
        <x:f>COUNTBLANK('Seed Ledger'!H5:J400)</x:f>
        <x:v>0</x:v>
      </x:c>
      <x:c r="D22" s="104" t="str">
        <x:v>Generated from the current project database and research exports; source tables remain version-controlled. Search counts are Internet Archive discovery-result counts reported by the API, not language prevalence.</x:v>
      </x:c>
      <x:c r="E22" s="104" t="str">
        <x:v>Generated from the current project database and research exports; source tables remain version-controlled. Search counts are Internet Archive discovery-result counts reported by the API, not language prevalence.</x:v>
      </x:c>
      <x:c r="F22" s="104" t="str">
        <x:v>Generated from the current project database and research exports; source tables remain version-controlled. Search counts are Internet Archive discovery-result counts reported by the API, not language prevalence.</x:v>
      </x:c>
      <x:c r="G22" s="104" t="str">
        <x:v>Generated from the current project database and research exports; source tables remain version-controlled. Search counts are Internet Archive discovery-result counts reported by the API, not language prevalence.</x:v>
      </x:c>
      <x:c r="H22" s="104" t="str">
        <x:v>Generated from the current project database and research exports; source tables remain version-controlled. Search counts are Internet Archive discovery-result counts reported by the API, not language prevalence.</x:v>
      </x:c>
    </x:row>
    <x:row r="23">
      <x:c r="A23" s="73" t="str">
        <x:v>Controlled missingness cells</x:v>
      </x:c>
      <x:c r="B23" s="71" t="n">
        <x:f>1310</x:f>
        <x:v>1310</x:v>
      </x:c>
      <x:c r="D23" s="104" t="str">
        <x:v>Generated from the current project database and research exports; source tables remain version-controlled. Search counts are Internet Archive discovery-result counts reported by the API, not language prevalence.</x:v>
      </x:c>
      <x:c r="E23" s="104" t="str">
        <x:v>Generated from the current project database and research exports; source tables remain version-controlled. Search counts are Internet Archive discovery-result counts reported by the API, not language prevalence.</x:v>
      </x:c>
      <x:c r="F23" s="104" t="str">
        <x:v>Generated from the current project database and research exports; source tables remain version-controlled. Search counts are Internet Archive discovery-result counts reported by the API, not language prevalence.</x:v>
      </x:c>
      <x:c r="G23" s="104" t="str">
        <x:v>Generated from the current project database and research exports; source tables remain version-controlled. Search counts are Internet Archive discovery-result counts reported by the API, not language prevalence.</x:v>
      </x:c>
      <x:c r="H23" s="104" t="str">
        <x:v>Generated from the current project database and research exports; source tables remain version-controlled. Search counts are Internet Archive discovery-result counts reported by the API, not language prevalence.</x:v>
      </x:c>
    </x:row>
  </x:sheetData>
  <x:mergeCells>
    <x:mergeCell ref="A1:H1"/>
    <x:mergeCell ref="A2:H2"/>
    <x:mergeCell ref="D4:H4"/>
    <x:mergeCell ref="D12:H14"/>
    <x:mergeCell ref="D16:H18"/>
    <x:mergeCell ref="D20:H23"/>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7" hidden="0" customWidth="1"/>
    <x:col min="4" max="4" width="26" hidden="0" customWidth="1"/>
    <x:col min="5" max="5" width="26" hidden="0" customWidth="1"/>
    <x:col min="6" max="6" width="16" hidden="0" customWidth="1"/>
    <x:col min="7" max="7" width="16" hidden="0" customWidth="1"/>
    <x:col min="8" max="8" width="16" hidden="0" customWidth="1"/>
    <x:col min="9" max="9" width="16" hidden="0" customWidth="1"/>
    <x:col min="10" max="10" width="16" hidden="0" customWidth="1"/>
    <x:col min="11" max="11" width="42" hidden="0" customWidth="1"/>
    <x:col min="12" max="12" width="23" hidden="0" customWidth="1"/>
    <x:col min="13" max="13" width="26" hidden="0" customWidth="1"/>
    <x:col min="14" max="14" width="23" hidden="0" customWidth="1"/>
    <x:col min="15" max="15" width="16" hidden="0" customWidth="1"/>
    <x:col min="16" max="16" width="16" hidden="0" customWidth="1"/>
    <x:col min="17" max="17" width="17" hidden="0" customWidth="1"/>
    <x:col min="18" max="18" width="17" hidden="0" customWidth="1"/>
    <x:col min="19" max="19" width="17" hidden="0" customWidth="1"/>
    <x:col min="20" max="20" width="17" hidden="0" customWidth="1"/>
    <x:col min="21" max="21" width="42" hidden="0" customWidth="1"/>
    <x:col min="22" max="22" width="23" hidden="0" customWidth="1"/>
    <x:col min="23" max="23" width="16" hidden="0" customWidth="1"/>
    <x:col min="24" max="24" width="42" hidden="0" customWidth="1"/>
    <x:col min="25" max="25" width="42" hidden="0" customWidth="1"/>
    <x:col min="26" max="26" width="42" hidden="0" customWidth="1"/>
    <x:col min="27" max="27" width="16" hidden="0" customWidth="1"/>
    <x:col min="28" max="28" width="42" hidden="0" customWidth="1"/>
    <x:col min="29" max="29" width="16" hidden="0" customWidth="1"/>
    <x:col min="30" max="30" width="16" hidden="0" customWidth="1"/>
    <x:col min="31" max="31" width="23" hidden="0" customWidth="1"/>
    <x:col min="32" max="32" width="23" hidden="0" customWidth="1"/>
    <x:col min="33" max="33" width="17" hidden="0" customWidth="1"/>
    <x:col min="34" max="34" width="16" hidden="0" customWidth="1"/>
    <x:col min="35" max="35" width="16" hidden="0" customWidth="1"/>
    <x:col min="36" max="36" width="42" hidden="0" customWidth="1"/>
    <x:col min="37" max="37" width="23" hidden="0" customWidth="1"/>
    <x:col min="38" max="38" width="16" hidden="0" customWidth="1"/>
    <x:col min="39" max="39" width="16" hidden="0" customWidth="1"/>
  </x:cols>
  <x:sheetData>
    <x:row r="1" ht="38" customHeight="1">
      <x:c r="A1" s="3" t="str">
        <x:v>Priority 180 - Complete Candidate-Level Coverage</x:v>
      </x:c>
      <x:c r="B1" s="3" t="str">
        <x:v>Priority 180 - Complete Candidate-Level Coverage</x:v>
      </x:c>
      <x:c r="C1" s="3" t="str">
        <x:v>Priority 180 - Complete Candidate-Level Coverage</x:v>
      </x:c>
      <x:c r="D1" s="3" t="str">
        <x:v>Priority 180 - Complete Candidate-Level Coverage</x:v>
      </x:c>
      <x:c r="E1" s="3" t="str">
        <x:v>Priority 180 - Complete Candidate-Level Coverage</x:v>
      </x:c>
      <x:c r="F1" s="3" t="str">
        <x:v>Priority 180 - Complete Candidate-Level Coverage</x:v>
      </x:c>
      <x:c r="G1" s="3" t="str">
        <x:v>Priority 180 - Complete Candidate-Level Coverage</x:v>
      </x:c>
      <x:c r="H1" s="3" t="str">
        <x:v>Priority 180 - Complete Candidate-Level Coverage</x:v>
      </x:c>
      <x:c r="I1" s="3" t="str">
        <x:v>Priority 180 - Complete Candidate-Level Coverage</x:v>
      </x:c>
      <x:c r="J1" s="3" t="str">
        <x:v>Priority 180 - Complete Candidate-Level Coverage</x:v>
      </x:c>
      <x:c r="K1" s="3" t="str">
        <x:v>Priority 180 - Complete Candidate-Level Coverage</x:v>
      </x:c>
      <x:c r="L1" s="3" t="str">
        <x:v>Priority 180 - Complete Candidate-Level Coverage</x:v>
      </x:c>
      <x:c r="M1" s="3" t="str">
        <x:v>Priority 180 - Complete Candidate-Level Coverage</x:v>
      </x:c>
      <x:c r="N1" s="3" t="str">
        <x:v>Priority 180 - Complete Candidate-Level Coverage</x:v>
      </x:c>
      <x:c r="O1" s="3" t="str">
        <x:v>Priority 180 - Complete Candidate-Level Coverage</x:v>
      </x:c>
      <x:c r="P1" s="3" t="str">
        <x:v>Priority 180 - Complete Candidate-Level Coverage</x:v>
      </x:c>
      <x:c r="Q1" s="3" t="str">
        <x:v>Priority 180 - Complete Candidate-Level Coverage</x:v>
      </x:c>
      <x:c r="R1" s="3" t="str">
        <x:v>Priority 180 - Complete Candidate-Level Coverage</x:v>
      </x:c>
      <x:c r="S1" s="3" t="str">
        <x:v>Priority 180 - Complete Candidate-Level Coverage</x:v>
      </x:c>
      <x:c r="T1" s="3" t="str">
        <x:v>Priority 180 - Complete Candidate-Level Coverage</x:v>
      </x:c>
      <x:c r="U1" s="3" t="str">
        <x:v>Priority 180 - Complete Candidate-Level Coverage</x:v>
      </x:c>
      <x:c r="V1" s="3" t="str">
        <x:v>Priority 180 - Complete Candidate-Level Coverage</x:v>
      </x:c>
      <x:c r="W1" s="3" t="str">
        <x:v>Priority 180 - Complete Candidate-Level Coverage</x:v>
      </x:c>
      <x:c r="X1" s="3" t="str">
        <x:v>Priority 180 - Complete Candidate-Level Coverage</x:v>
      </x:c>
      <x:c r="Y1" s="3" t="str">
        <x:v>Priority 180 - Complete Candidate-Level Coverage</x:v>
      </x:c>
      <x:c r="Z1" s="3" t="str">
        <x:v>Priority 180 - Complete Candidate-Level Coverage</x:v>
      </x:c>
      <x:c r="AA1" s="3" t="str">
        <x:v>Priority 180 - Complete Candidate-Level Coverage</x:v>
      </x:c>
      <x:c r="AB1" s="3" t="str">
        <x:v>Priority 180 - Complete Candidate-Level Coverage</x:v>
      </x:c>
      <x:c r="AC1" s="3" t="str">
        <x:v>Priority 180 - Complete Candidate-Level Coverage</x:v>
      </x:c>
      <x:c r="AD1" s="3" t="str">
        <x:v>Priority 180 - Complete Candidate-Level Coverage</x:v>
      </x:c>
      <x:c r="AE1" s="3" t="str">
        <x:v>Priority 180 - Complete Candidate-Level Coverage</x:v>
      </x:c>
      <x:c r="AF1" s="3" t="str">
        <x:v>Priority 180 - Complete Candidate-Level Coverage</x:v>
      </x:c>
      <x:c r="AG1" s="3" t="str">
        <x:v>Priority 180 - Complete Candidate-Level Coverage</x:v>
      </x:c>
      <x:c r="AH1" s="3" t="str">
        <x:v>Priority 180 - Complete Candidate-Level Coverage</x:v>
      </x:c>
      <x:c r="AI1" s="3" t="str">
        <x:v>Priority 180 - Complete Candidate-Level Coverage</x:v>
      </x:c>
      <x:c r="AJ1" s="3" t="str">
        <x:v>Priority 180 - Complete Candidate-Level Coverage</x:v>
      </x:c>
      <x:c r="AK1" s="3" t="str">
        <x:v>Priority 180 - Complete Candidate-Level Coverage</x:v>
      </x:c>
      <x:c r="AL1" s="3" t="str">
        <x:v>Priority 180 - Complete Candidate-Level Coverage</x:v>
      </x:c>
      <x:c r="AM1" s="3" t="str">
        <x:v>Priority 180 - Complete Candidate-Level Coverage</x:v>
      </x:c>
    </x:row>
    <x:row r="2" ht="31" customHeight="1">
      <x:c r="A2" s="7" t="str">
        <x:v>Exactly 180 Priority Candidates. Ngram, dictionary, bounded search, provenance and remaining annotation limitations are shown together; duplicated surface strings remain separate candidate records.</x:v>
      </x:c>
      <x:c r="B2" s="7" t="str">
        <x:v>Exactly 180 Priority Candidates. Ngram, dictionary, bounded search, provenance and remaining annotation limitations are shown together; duplicated surface strings remain separate candidate records.</x:v>
      </x:c>
      <x:c r="C2" s="7" t="str">
        <x:v>Exactly 180 Priority Candidates. Ngram, dictionary, bounded search, provenance and remaining annotation limitations are shown together; duplicated surface strings remain separate candidate records.</x:v>
      </x:c>
      <x:c r="D2" s="7" t="str">
        <x:v>Exactly 180 Priority Candidates. Ngram, dictionary, bounded search, provenance and remaining annotation limitations are shown together; duplicated surface strings remain separate candidate records.</x:v>
      </x:c>
      <x:c r="E2" s="7" t="str">
        <x:v>Exactly 180 Priority Candidates. Ngram, dictionary, bounded search, provenance and remaining annotation limitations are shown together; duplicated surface strings remain separate candidate records.</x:v>
      </x:c>
      <x:c r="F2" s="7" t="str">
        <x:v>Exactly 180 Priority Candidates. Ngram, dictionary, bounded search, provenance and remaining annotation limitations are shown together; duplicated surface strings remain separate candidate records.</x:v>
      </x:c>
      <x:c r="G2" s="7" t="str">
        <x:v>Exactly 180 Priority Candidates. Ngram, dictionary, bounded search, provenance and remaining annotation limitations are shown together; duplicated surface strings remain separate candidate records.</x:v>
      </x:c>
      <x:c r="H2" s="7" t="str">
        <x:v>Exactly 180 Priority Candidates. Ngram, dictionary, bounded search, provenance and remaining annotation limitations are shown together; duplicated surface strings remain separate candidate records.</x:v>
      </x:c>
      <x:c r="I2" s="7" t="str">
        <x:v>Exactly 180 Priority Candidates. Ngram, dictionary, bounded search, provenance and remaining annotation limitations are shown together; duplicated surface strings remain separate candidate records.</x:v>
      </x:c>
      <x:c r="J2" s="7" t="str">
        <x:v>Exactly 180 Priority Candidates. Ngram, dictionary, bounded search, provenance and remaining annotation limitations are shown together; duplicated surface strings remain separate candidate records.</x:v>
      </x:c>
      <x:c r="K2" s="7" t="str">
        <x:v>Exactly 180 Priority Candidates. Ngram, dictionary, bounded search, provenance and remaining annotation limitations are shown together; duplicated surface strings remain separate candidate records.</x:v>
      </x:c>
      <x:c r="L2" s="7" t="str">
        <x:v>Exactly 180 Priority Candidates. Ngram, dictionary, bounded search, provenance and remaining annotation limitations are shown together; duplicated surface strings remain separate candidate records.</x:v>
      </x:c>
      <x:c r="M2" s="7" t="str">
        <x:v>Exactly 180 Priority Candidates. Ngram, dictionary, bounded search, provenance and remaining annotation limitations are shown together; duplicated surface strings remain separate candidate records.</x:v>
      </x:c>
      <x:c r="N2" s="7" t="str">
        <x:v>Exactly 180 Priority Candidates. Ngram, dictionary, bounded search, provenance and remaining annotation limitations are shown together; duplicated surface strings remain separate candidate records.</x:v>
      </x:c>
      <x:c r="O2" s="7" t="str">
        <x:v>Exactly 180 Priority Candidates. Ngram, dictionary, bounded search, provenance and remaining annotation limitations are shown together; duplicated surface strings remain separate candidate records.</x:v>
      </x:c>
      <x:c r="P2" s="7" t="str">
        <x:v>Exactly 180 Priority Candidates. Ngram, dictionary, bounded search, provenance and remaining annotation limitations are shown together; duplicated surface strings remain separate candidate records.</x:v>
      </x:c>
      <x:c r="Q2" s="7" t="str">
        <x:v>Exactly 180 Priority Candidates. Ngram, dictionary, bounded search, provenance and remaining annotation limitations are shown together; duplicated surface strings remain separate candidate records.</x:v>
      </x:c>
      <x:c r="R2" s="7" t="str">
        <x:v>Exactly 180 Priority Candidates. Ngram, dictionary, bounded search, provenance and remaining annotation limitations are shown together; duplicated surface strings remain separate candidate records.</x:v>
      </x:c>
      <x:c r="S2" s="7" t="str">
        <x:v>Exactly 180 Priority Candidates. Ngram, dictionary, bounded search, provenance and remaining annotation limitations are shown together; duplicated surface strings remain separate candidate records.</x:v>
      </x:c>
      <x:c r="T2" s="7" t="str">
        <x:v>Exactly 180 Priority Candidates. Ngram, dictionary, bounded search, provenance and remaining annotation limitations are shown together; duplicated surface strings remain separate candidate records.</x:v>
      </x:c>
      <x:c r="U2" s="7" t="str">
        <x:v>Exactly 180 Priority Candidates. Ngram, dictionary, bounded search, provenance and remaining annotation limitations are shown together; duplicated surface strings remain separate candidate records.</x:v>
      </x:c>
      <x:c r="V2" s="7" t="str">
        <x:v>Exactly 180 Priority Candidates. Ngram, dictionary, bounded search, provenance and remaining annotation limitations are shown together; duplicated surface strings remain separate candidate records.</x:v>
      </x:c>
      <x:c r="W2" s="7" t="str">
        <x:v>Exactly 180 Priority Candidates. Ngram, dictionary, bounded search, provenance and remaining annotation limitations are shown together; duplicated surface strings remain separate candidate records.</x:v>
      </x:c>
      <x:c r="X2" s="7" t="str">
        <x:v>Exactly 180 Priority Candidates. Ngram, dictionary, bounded search, provenance and remaining annotation limitations are shown together; duplicated surface strings remain separate candidate records.</x:v>
      </x:c>
      <x:c r="Y2" s="7" t="str">
        <x:v>Exactly 180 Priority Candidates. Ngram, dictionary, bounded search, provenance and remaining annotation limitations are shown together; duplicated surface strings remain separate candidate records.</x:v>
      </x:c>
      <x:c r="Z2" s="7" t="str">
        <x:v>Exactly 180 Priority Candidates. Ngram, dictionary, bounded search, provenance and remaining annotation limitations are shown together; duplicated surface strings remain separate candidate records.</x:v>
      </x:c>
      <x:c r="AA2" s="7" t="str">
        <x:v>Exactly 180 Priority Candidates. Ngram, dictionary, bounded search, provenance and remaining annotation limitations are shown together; duplicated surface strings remain separate candidate records.</x:v>
      </x:c>
      <x:c r="AB2" s="7" t="str">
        <x:v>Exactly 180 Priority Candidates. Ngram, dictionary, bounded search, provenance and remaining annotation limitations are shown together; duplicated surface strings remain separate candidate records.</x:v>
      </x:c>
      <x:c r="AC2" s="7" t="str">
        <x:v>Exactly 180 Priority Candidates. Ngram, dictionary, bounded search, provenance and remaining annotation limitations are shown together; duplicated surface strings remain separate candidate records.</x:v>
      </x:c>
      <x:c r="AD2" s="7" t="str">
        <x:v>Exactly 180 Priority Candidates. Ngram, dictionary, bounded search, provenance and remaining annotation limitations are shown together; duplicated surface strings remain separate candidate records.</x:v>
      </x:c>
      <x:c r="AE2" s="7" t="str">
        <x:v>Exactly 180 Priority Candidates. Ngram, dictionary, bounded search, provenance and remaining annotation limitations are shown together; duplicated surface strings remain separate candidate records.</x:v>
      </x:c>
      <x:c r="AF2" s="7" t="str">
        <x:v>Exactly 180 Priority Candidates. Ngram, dictionary, bounded search, provenance and remaining annotation limitations are shown together; duplicated surface strings remain separate candidate records.</x:v>
      </x:c>
      <x:c r="AG2" s="7" t="str">
        <x:v>Exactly 180 Priority Candidates. Ngram, dictionary, bounded search, provenance and remaining annotation limitations are shown together; duplicated surface strings remain separate candidate records.</x:v>
      </x:c>
      <x:c r="AH2" s="7" t="str">
        <x:v>Exactly 180 Priority Candidates. Ngram, dictionary, bounded search, provenance and remaining annotation limitations are shown together; duplicated surface strings remain separate candidate records.</x:v>
      </x:c>
      <x:c r="AI2" s="7" t="str">
        <x:v>Exactly 180 Priority Candidates. Ngram, dictionary, bounded search, provenance and remaining annotation limitations are shown together; duplicated surface strings remain separate candidate records.</x:v>
      </x:c>
      <x:c r="AJ2" s="7" t="str">
        <x:v>Exactly 180 Priority Candidates. Ngram, dictionary, bounded search, provenance and remaining annotation limitations are shown together; duplicated surface strings remain separate candidate records.</x:v>
      </x:c>
      <x:c r="AK2" s="7" t="str">
        <x:v>Exactly 180 Priority Candidates. Ngram, dictionary, bounded search, provenance and remaining annotation limitations are shown together; duplicated surface strings remain separate candidate records.</x:v>
      </x:c>
      <x:c r="AL2" s="7" t="str">
        <x:v>Exactly 180 Priority Candidates. Ngram, dictionary, bounded search, provenance and remaining annotation limitations are shown together; duplicated surface strings remain separate candidate records.</x:v>
      </x:c>
      <x:c r="AM2" s="7" t="str">
        <x:v>Exactly 180 Priority Candidates. Ngram, dictionary, bounded search, provenance and remaining annotation limitations are shown together; duplicated surface strings remain separate candidate records.</x:v>
      </x:c>
    </x:row>
    <x:row r="4" ht="42" customHeight="1">
      <x:c r="A4" s="14" t="str">
        <x:v>Candidate ID</x:v>
      </x:c>
      <x:c r="B4" s="14" t="str">
        <x:v>Anchor</x:v>
      </x:c>
      <x:c r="C4" s="14" t="str">
        <x:v>Rank</x:v>
      </x:c>
      <x:c r="D4" s="14" t="str">
        <x:v>Surface Form</x:v>
      </x:c>
      <x:c r="E4" s="14" t="str">
        <x:v>Normalised Concept</x:v>
      </x:c>
      <x:c r="F4" s="14" t="str">
        <x:v>Lexical Family</x:v>
      </x:c>
      <x:c r="G4" s="14" t="str">
        <x:v>Layer</x:v>
      </x:c>
      <x:c r="H4" s="14" t="str">
        <x:v>Voice</x:v>
      </x:c>
      <x:c r="I4" s="14" t="str">
        <x:v>Expression Mode</x:v>
      </x:c>
      <x:c r="J4" s="14" t="str">
        <x:v>Evidence Source</x:v>
      </x:c>
      <x:c r="K4" s="14" t="str">
        <x:v>Candidate Provenance</x:v>
      </x:c>
      <x:c r="L4" s="14" t="str">
        <x:v>Ngram Status</x:v>
      </x:c>
      <x:c r="M4" s="14" t="str">
        <x:v>Measurement Form</x:v>
      </x:c>
      <x:c r="N4" s="14" t="str">
        <x:v>Mapping Type</x:v>
      </x:c>
      <x:c r="O4" s="14" t="str">
        <x:v>First Non-Zero Year</x:v>
      </x:c>
      <x:c r="P4" s="14" t="str">
        <x:v>Peak Year</x:v>
      </x:c>
      <x:c r="Q4" s="14" t="str">
        <x:v>Peak Frequency</x:v>
      </x:c>
      <x:c r="R4" s="14" t="str">
        <x:v>Anchor Frequency</x:v>
      </x:c>
      <x:c r="S4" s="14" t="str">
        <x:v>Context Window Mean</x:v>
      </x:c>
      <x:c r="T4" s="14" t="str">
        <x:v>2022 Frequency</x:v>
      </x:c>
      <x:c r="U4" s="14" t="str">
        <x:v>Ngram Note</x:v>
      </x:c>
      <x:c r="V4" s="14" t="str">
        <x:v>Dictionary Status</x:v>
      </x:c>
      <x:c r="W4" s="14" t="str">
        <x:v>Dictionary Source</x:v>
      </x:c>
      <x:c r="X4" s="14" t="str">
        <x:v>Historical Sense</x:v>
      </x:c>
      <x:c r="Y4" s="14" t="str">
        <x:v>Modern Sense</x:v>
      </x:c>
      <x:c r="Z4" s="14" t="str">
        <x:v>Anchor Sense Match</x:v>
      </x:c>
      <x:c r="AA4" s="14" t="str">
        <x:v>Polysemy / Ambiguity</x:v>
      </x:c>
      <x:c r="AB4" s="14" t="str">
        <x:v>Dictionary Note</x:v>
      </x:c>
      <x:c r="AC4" s="14" t="str">
        <x:v>Search Source</x:v>
      </x:c>
      <x:c r="AD4" s="14" t="str">
        <x:v>Search Query</x:v>
      </x:c>
      <x:c r="AE4" s="14" t="str">
        <x:v>Search Exactness</x:v>
      </x:c>
      <x:c r="AF4" s="14" t="str">
        <x:v>Search Status</x:v>
      </x:c>
      <x:c r="AG4" s="14" t="str">
        <x:v>Result Count</x:v>
      </x:c>
      <x:c r="AH4" s="14" t="str">
        <x:v>Date-Window Count</x:v>
      </x:c>
      <x:c r="AI4" s="14" t="str">
        <x:v>Retrieval Date</x:v>
      </x:c>
      <x:c r="AJ4" s="14" t="str">
        <x:v>Search Note</x:v>
      </x:c>
      <x:c r="AK4" s="14" t="str">
        <x:v>Coverage Status</x:v>
      </x:c>
      <x:c r="AL4" s="14" t="str">
        <x:v>Remaining Annotation Gap</x:v>
      </x:c>
      <x:c r="AM4" s="14" t="str">
        <x:v>Review Priority</x:v>
      </x:c>
    </x:row>
    <x:row r="5" ht="34" customHeight="1">
      <x:c r="A5" s="24" t="str">
        <x:v>FT-SEED-R1B-P-1842-01</x:v>
      </x:c>
      <x:c r="B5" s="16" t="str">
        <x:v>1842</x:v>
      </x:c>
      <x:c r="C5" s="27" t="n">
        <x:v>1</x:v>
      </x:c>
      <x:c r="D5" s="30" t="str">
        <x:v>temperature</x:v>
      </x:c>
      <x:c r="E5" s="30" t="str">
        <x:v>local / instrumental temperature</x:v>
      </x:c>
      <x:c r="F5" s="16" t="str">
        <x:v>temperature_threshold</x:v>
      </x:c>
      <x:c r="G5" s="16" t="str">
        <x:v>A</x:v>
      </x:c>
      <x:c r="H5" s="16" t="str">
        <x:v>V1</x:v>
      </x:c>
      <x:c r="I5" s="16" t="str">
        <x:v>NOT_EXPOSED_IN_REPORT</x:v>
      </x:c>
      <x:c r="J5" s="16" t="str">
        <x:v>S1842-RS-COLABA</x:v>
      </x:c>
      <x:c r="K5" s="30" t="str">
        <x:v>RECONSTRUCTED_FROM_REPORT; Fear of Temperature_ Stratified Lexical Expansion, Voice Mapping, and Semantic-Relational Pre-Valida.pdf; p.6; project candidate FT-SEED-R1B-P-1842-01; original visible ID not available</x:v>
      </x:c>
      <x:c r="L5" s="30" t="str">
        <x:v>SUCCEEDED_REUSED_BASELINE</x:v>
      </x:c>
      <x:c r="M5" s="30" t="str">
        <x:v>temperature</x:v>
      </x:c>
      <x:c r="N5" s="30" t="str">
        <x:v>EXACT</x:v>
      </x:c>
      <x:c r="O5" s="16" t="str">
        <x:v>1842</x:v>
      </x:c>
      <x:c r="P5" s="16" t="str">
        <x:v>1962</x:v>
      </x:c>
      <x:c r="Q5" s="33" t="n">
        <x:v>0.00018277823122134218</x:v>
      </x:c>
      <x:c r="R5" s="33" t="n">
        <x:v>0.000038178546390099655</x:v>
      </x:c>
      <x:c r="S5" s="33" t="n">
        <x:v>0.000035562592416230054</x:v>
      </x:c>
      <x:c r="T5" s="33" t="n">
        <x:v>0.00009003187850510977</x:v>
      </x:c>
      <x:c r="U5" s="30" t="str">
        <x:v>Candidate surface form is directly representable in the public Ngram interface. Complete 1842–2022 unsmoothed series reused from the audited quantitative-v0.1 baseline.</x:v>
      </x:c>
      <x:c r="V5" s="30" t="str">
        <x:v>DIRECT_HEADWORD</x:v>
      </x:c>
      <x:c r="W5" s="16" t="str">
        <x:v>DictionaryAPI.dev English entry (Wiktionary-derived open lexical data)</x:v>
      </x:c>
      <x:c r="X5" s="30" t="str">
        <x:v>A physical temperature, warming, heat, or measurement sense in the documented anchor context.</x:v>
      </x:c>
      <x:c r="Y5" s="30" t="str">
        <x:v>A local or instrument-specific temperature reading; the candidate is interpreted in its documented anchor and voice context.</x:v>
      </x:c>
      <x:c r="Z5" s="30" t="str">
        <x:v>STRONG</x:v>
      </x:c>
      <x:c r="AA5" s="16" t="str">
        <x:v>The surface form may realize multiple senses; candidate meaning remains anchored to the report-visible source context.</x:v>
      </x:c>
      <x:c r="AB5" s="30" t="str">
        <x:v>Secondary: DictionaryAPI.dev exact entry consulted; definition stored as a project paraphrase rather than a copied dictionary definition.; historical: Anchor-period research source/context; Webster 1913 stable component URL recorded but automated page retrieval was unavailable; source: https://api.dictionaryapi.dev/api/v2/entries/en/temperature; https://websters1913.timcieplowski.com/word/temperature/</x:v>
      </x:c>
      <x:c r="AC5" s="16" t="str">
        <x:v>INTERNET_ARCHIVE_METADATA_TEXT_ITEM_COUNT</x:v>
      </x:c>
      <x:c r="AD5" s="16" t="str">
        <x:v>"temperature" AND mediatype:texts</x:v>
      </x:c>
      <x:c r="AE5" s="30" t="str">
        <x:v>EXACT_PHRASE</x:v>
      </x:c>
      <x:c r="AF5" s="30" t="str">
        <x:v>COMPLETED_NONZERO</x:v>
      </x:c>
      <x:c r="AG5" s="27" t="n">
        <x:v>193717</x:v>
      </x:c>
      <x:c r="AH5" s="16" t="str">
        <x:v>60</x:v>
      </x:c>
      <x:c r="AI5" s="16" t="str">
        <x:v>2026-08-26</x:v>
      </x:c>
      <x:c r="AJ5" s="30" t="str">
        <x:v>Metadata text-item count; not a full-text lexical frequency. Secondary metric: NOT_RUN_OPENALEX_DAILY_BUDGET_EXHAUSTED: shared provider response retained; no count fabricated.</x:v>
      </x:c>
      <x:c r="AK5" s="30" t="str">
        <x:v>FULLY_COVERED</x:v>
      </x:c>
      <x:c r="AL5" s="16" t="str">
        <x:v>PENDING_SOURCE_REVIEW</x:v>
      </x:c>
      <x:c r="AM5" s="17" t="str">
        <x:v>MEDIUM</x:v>
      </x:c>
    </x:row>
    <x:row r="6" ht="34" customHeight="1">
      <x:c r="A6" s="25" t="str">
        <x:v>FT-SEED-R1B-P-1842-02</x:v>
      </x:c>
      <x:c r="B6" s="19" t="str">
        <x:v>1842</x:v>
      </x:c>
      <x:c r="C6" s="28" t="n">
        <x:v>2</x:v>
      </x:c>
      <x:c r="D6" s="31" t="str">
        <x:v>mean temperature</x:v>
      </x:c>
      <x:c r="E6" s="31" t="str">
        <x:v>mean temperature</x:v>
      </x:c>
      <x:c r="F6" s="19" t="str">
        <x:v>temperature_threshold</x:v>
      </x:c>
      <x:c r="G6" s="19" t="str">
        <x:v>A</x:v>
      </x:c>
      <x:c r="H6" s="19" t="str">
        <x:v>V1</x:v>
      </x:c>
      <x:c r="I6" s="19" t="str">
        <x:v>NOT_EXPOSED_IN_REPORT</x:v>
      </x:c>
      <x:c r="J6" s="19" t="str">
        <x:v>S1842-ROSS</x:v>
      </x:c>
      <x:c r="K6" s="31" t="str">
        <x:v>RECONSTRUCTED_FROM_REPORT; Fear of Temperature_ Stratified Lexical Expansion, Voice Mapping, and Semantic-Relational Pre-Valida.pdf; p.6; project candidate FT-SEED-R1B-P-1842-02; original visible ID not available</x:v>
      </x:c>
      <x:c r="L6" s="31" t="str">
        <x:v>SUCCEEDED_REUSED_BASELINE</x:v>
      </x:c>
      <x:c r="M6" s="31" t="str">
        <x:v>mean temperature</x:v>
      </x:c>
      <x:c r="N6" s="31" t="str">
        <x:v>EXACT</x:v>
      </x:c>
      <x:c r="O6" s="19" t="str">
        <x:v>1842</x:v>
      </x:c>
      <x:c r="P6" s="19" t="str">
        <x:v>1858</x:v>
      </x:c>
      <x:c r="Q6" s="34" t="n">
        <x:v>0.000003219442511692705</x:v>
      </x:c>
      <x:c r="R6" s="34" t="n">
        <x:v>0.0000023651722909079353</x:v>
      </x:c>
      <x:c r="S6" s="34" t="n">
        <x:v>0.0000023625686028094783</x:v>
      </x:c>
      <x:c r="T6" s="34" t="n">
        <x:v>3.990877988080399e-7</x:v>
      </x:c>
      <x:c r="U6" s="31" t="str">
        <x:v>Candidate surface form is directly representable in the public Ngram interface. Complete 1842–2022 unsmoothed series reused from the audited quantitative-v0.1 baseline.</x:v>
      </x:c>
      <x:c r="V6" s="31" t="str">
        <x:v>NO_STANDALONE_HEADWORD</x:v>
      </x:c>
      <x:c r="W6" s="19" t="str">
        <x:v>Component lexical analysis plus anchor-source contextual meaning</x:v>
      </x:c>
      <x:c r="X6" s="31" t="str">
        <x:v>A physical temperature, warming, heat, or measurement sense in the documented anchor context.</x:v>
      </x:c>
      <x:c r="Y6" s="31" t="str">
        <x:v>A temporally or spatially averaged temperature value; the candidate is interpreted in its documented anchor and voice context.</x:v>
      </x:c>
      <x:c r="Z6" s="31" t="str">
        <x:v>STRONG</x:v>
      </x:c>
      <x:c r="AA6" s="19" t="str">
        <x:v>The surface form may realize multiple senses; candidate meaning remains anchored to the report-visible source context.</x:v>
      </x:c>
      <x:c r="AB6"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6" s="19" t="str">
        <x:v>INTERNET_ARCHIVE_METADATA_TEXT_ITEM_COUNT</x:v>
      </x:c>
      <x:c r="AD6" s="19" t="str">
        <x:v>"mean temperature" AND mediatype:texts</x:v>
      </x:c>
      <x:c r="AE6" s="31" t="str">
        <x:v>EXACT_PHRASE</x:v>
      </x:c>
      <x:c r="AF6" s="31" t="str">
        <x:v>COMPLETED_NONZERO</x:v>
      </x:c>
      <x:c r="AG6" s="28" t="n">
        <x:v>664</x:v>
      </x:c>
      <x:c r="AH6" s="19" t="str">
        <x:v>4</x:v>
      </x:c>
      <x:c r="AI6" s="19" t="str">
        <x:v>2026-08-26</x:v>
      </x:c>
      <x:c r="AJ6" s="31" t="str">
        <x:v>Metadata text-item count; not a full-text lexical frequency. Secondary metric: NOT_RUN_OPENALEX_DAILY_BUDGET_EXHAUSTED: shared provider response retained; no count fabricated.</x:v>
      </x:c>
      <x:c r="AK6" s="31" t="str">
        <x:v>FULLY_COVERED</x:v>
      </x:c>
      <x:c r="AL6" s="19" t="str">
        <x:v>PENDING_SOURCE_REVIEW</x:v>
      </x:c>
      <x:c r="AM6" s="20" t="str">
        <x:v>MEDIUM</x:v>
      </x:c>
    </x:row>
    <x:row r="7" ht="34" customHeight="1">
      <x:c r="A7" s="25" t="str">
        <x:v>FT-SEED-R1B-P-1842-03</x:v>
      </x:c>
      <x:c r="B7" s="19" t="str">
        <x:v>1842</x:v>
      </x:c>
      <x:c r="C7" s="28" t="n">
        <x:v>3</x:v>
      </x:c>
      <x:c r="D7" s="31" t="str">
        <x:v>temperature of the air in shade</x:v>
      </x:c>
      <x:c r="E7" s="31" t="str">
        <x:v>local / instrumental temperature</x:v>
      </x:c>
      <x:c r="F7" s="19" t="str">
        <x:v>temperature_threshold</x:v>
      </x:c>
      <x:c r="G7" s="19" t="str">
        <x:v>A</x:v>
      </x:c>
      <x:c r="H7" s="19" t="str">
        <x:v>V1</x:v>
      </x:c>
      <x:c r="I7" s="19" t="str">
        <x:v>NOT_EXPOSED_IN_REPORT</x:v>
      </x:c>
      <x:c r="J7" s="19" t="str">
        <x:v>S1842-ROSS</x:v>
      </x:c>
      <x:c r="K7" s="31" t="str">
        <x:v>RECONSTRUCTED_FROM_REPORT; Fear of Temperature_ Stratified Lexical Expansion, Voice Mapping, and Semantic-Relational Pre-Valida.pdf; p.6; project candidate FT-SEED-R1B-P-1842-03; original visible ID not available</x:v>
      </x:c>
      <x:c r="L7" s="31" t="str">
        <x:v>SUCCEEDED_REUSED_BASELINE</x:v>
      </x:c>
      <x:c r="M7" s="31" t="str">
        <x:v>temperature of the air in shade</x:v>
      </x:c>
      <x:c r="N7" s="31" t="str">
        <x:v>EXACT</x:v>
      </x:c>
      <x:c r="O7" s="19" t="str">
        <x:v>1846</x:v>
      </x:c>
      <x:c r="P7" s="19" t="str">
        <x:v>1858</x:v>
      </x:c>
      <x:c r="Q7" s="34" t="n">
        <x:v>1.4379699209143837e-8</x:v>
      </x:c>
      <x:c r="R7" s="34" t="n">
        <x:v>0</x:v>
      </x:c>
      <x:c r="S7" s="34" t="n">
        <x:v>0</x:v>
      </x:c>
      <x:c r="T7" s="34" t="n">
        <x:v>5.8122076596056615e-11</x:v>
      </x:c>
      <x:c r="U7" s="31" t="str">
        <x:v>Candidate surface form is directly representable in the public Ngram interface. Complete 1842–2022 unsmoothed series reused from the audited quantitative-v0.1 baseline.</x:v>
      </x:c>
      <x:c r="V7" s="31" t="str">
        <x:v>NO_STANDALONE_HEADWORD</x:v>
      </x:c>
      <x:c r="W7" s="19" t="str">
        <x:v>Component lexical analysis plus anchor-source contextual meaning</x:v>
      </x:c>
      <x:c r="X7" s="31" t="str">
        <x:v>A physical temperature, warming, heat, or measurement sense in the documented anchor context.</x:v>
      </x:c>
      <x:c r="Y7" s="31" t="str">
        <x:v>A local or instrument-specific temperature reading; the candidate is interpreted in its documented anchor and voice context.</x:v>
      </x:c>
      <x:c r="Z7" s="31" t="str">
        <x:v>STRONG</x:v>
      </x:c>
      <x:c r="AA7" s="19" t="str">
        <x:v>The surface form may realize multiple senses; candidate meaning remains anchored to the report-visible source context.</x:v>
      </x:c>
      <x:c r="AB7" s="31" t="str">
        <x:v>Secondary: Component headword checked: shade.;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https://api.dictionaryapi.dev/api/v2/entries/en/temperature%20of%20the%20air%20in%20shade; https://websters1913.timcieplowski.com/word/shade/</x:v>
      </x:c>
      <x:c r="AC7" s="19" t="str">
        <x:v>INTERNET_ARCHIVE_METADATA_TEXT_ITEM_COUNT</x:v>
      </x:c>
      <x:c r="AD7" s="19" t="str">
        <x:v>"temperature of the air in shade" AND mediatype:texts</x:v>
      </x:c>
      <x:c r="AE7" s="31" t="str">
        <x:v>EXACT_PHRASE</x:v>
      </x:c>
      <x:c r="AF7" s="31" t="str">
        <x:v>COMPLETED_ZERO</x:v>
      </x:c>
      <x:c r="AG7" s="28" t="n">
        <x:v>0</x:v>
      </x:c>
      <x:c r="AH7" s="19" t="str">
        <x:v>0</x:v>
      </x:c>
      <x:c r="AI7" s="19" t="str">
        <x:v>2026-08-26</x:v>
      </x:c>
      <x:c r="AJ7" s="31" t="str">
        <x:v>Metadata text-item count; not a full-text lexical frequency. Secondary metric: NOT_RUN_OPENALEX_DAILY_BUDGET_EXHAUSTED: shared provider response retained; no count fabricated.</x:v>
      </x:c>
      <x:c r="AK7" s="31" t="str">
        <x:v>FULLY_COVERED</x:v>
      </x:c>
      <x:c r="AL7" s="19" t="str">
        <x:v>PENDING_SOURCE_REVIEW</x:v>
      </x:c>
      <x:c r="AM7" s="20" t="str">
        <x:v>MEDIUM</x:v>
      </x:c>
    </x:row>
    <x:row r="8" ht="34" customHeight="1">
      <x:c r="A8" s="25" t="str">
        <x:v>FT-SEED-R1B-P-1842-04</x:v>
      </x:c>
      <x:c r="B8" s="19" t="str">
        <x:v>1842</x:v>
      </x:c>
      <x:c r="C8" s="28" t="n">
        <x:v>4</x:v>
      </x:c>
      <x:c r="D8" s="31" t="str">
        <x:v>maximum temperature</x:v>
      </x:c>
      <x:c r="E8" s="31" t="str">
        <x:v>local / instrumental temperature</x:v>
      </x:c>
      <x:c r="F8" s="19" t="str">
        <x:v>temperature_threshold</x:v>
      </x:c>
      <x:c r="G8" s="19" t="str">
        <x:v>A</x:v>
      </x:c>
      <x:c r="H8" s="19" t="str">
        <x:v>V1</x:v>
      </x:c>
      <x:c r="I8" s="19" t="str">
        <x:v>NOT_EXPOSED_IN_REPORT</x:v>
      </x:c>
      <x:c r="J8" s="19" t="str">
        <x:v>S1842-ROSS</x:v>
      </x:c>
      <x:c r="K8" s="31" t="str">
        <x:v>RECONSTRUCTED_FROM_REPORT; Fear of Temperature_ Stratified Lexical Expansion, Voice Mapping, and Semantic-Relational Pre-Valida.pdf; p.6; project candidate FT-SEED-R1B-P-1842-04; original visible ID not available</x:v>
      </x:c>
      <x:c r="L8" s="31" t="str">
        <x:v>SUCCEEDED_REUSED_BASELINE</x:v>
      </x:c>
      <x:c r="M8" s="31" t="str">
        <x:v>maximum temperature</x:v>
      </x:c>
      <x:c r="N8" s="31" t="str">
        <x:v>EXACT</x:v>
      </x:c>
      <x:c r="O8" s="19" t="str">
        <x:v>1842</x:v>
      </x:c>
      <x:c r="P8" s="19" t="str">
        <x:v>1958</x:v>
      </x:c>
      <x:c r="Q8" s="34" t="n">
        <x:v>0.0000010416047427352915</x:v>
      </x:c>
      <x:c r="R8" s="34" t="n">
        <x:v>3.8828298315474186e-7</x:v>
      </x:c>
      <x:c r="S8" s="34" t="n">
        <x:v>1.566754800064185e-7</x:v>
      </x:c>
      <x:c r="T8" s="34" t="n">
        <x:v>4.5735168766047885e-7</x:v>
      </x:c>
      <x:c r="U8" s="31" t="str">
        <x:v>Candidate surface form is directly representable in the public Ngram interface. Complete 1842–2022 unsmoothed series reused from the audited quantitative-v0.1 baseline.</x:v>
      </x:c>
      <x:c r="V8" s="31" t="str">
        <x:v>NO_STANDALONE_HEADWORD</x:v>
      </x:c>
      <x:c r="W8" s="19" t="str">
        <x:v>Component lexical analysis plus anchor-source contextual meaning</x:v>
      </x:c>
      <x:c r="X8" s="31" t="str">
        <x:v>A physical temperature, warming, heat, or measurement sense in the documented anchor context.</x:v>
      </x:c>
      <x:c r="Y8" s="31" t="str">
        <x:v>A local or instrument-specific temperature reading; the candidate is interpreted in its documented anchor and voice context.</x:v>
      </x:c>
      <x:c r="Z8" s="31" t="str">
        <x:v>STRONG</x:v>
      </x:c>
      <x:c r="AA8" s="19" t="str">
        <x:v>The surface form may realize multiple senses; candidate meaning remains anchored to the report-visible source context.</x:v>
      </x:c>
      <x:c r="AB8"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https://api.dictionaryapi.dev/api/v2/entries/en/maximum%20temperature; https://websters1913.timcieplowski.com/word/temperature/</x:v>
      </x:c>
      <x:c r="AC8" s="19" t="str">
        <x:v>INTERNET_ARCHIVE_METADATA_TEXT_ITEM_COUNT</x:v>
      </x:c>
      <x:c r="AD8" s="19" t="str">
        <x:v>"maximum temperature" AND mediatype:texts</x:v>
      </x:c>
      <x:c r="AE8" s="31" t="str">
        <x:v>EXACT_PHRASE</x:v>
      </x:c>
      <x:c r="AF8" s="31" t="str">
        <x:v>COMPLETED_NONZERO</x:v>
      </x:c>
      <x:c r="AG8" s="28" t="n">
        <x:v>1464</x:v>
      </x:c>
      <x:c r="AH8" s="19" t="str">
        <x:v>0</x:v>
      </x:c>
      <x:c r="AI8" s="19" t="str">
        <x:v>2026-08-26</x:v>
      </x:c>
      <x:c r="AJ8" s="31" t="str">
        <x:v>Metadata text-item count; not a full-text lexical frequency. Secondary metric: NOT_RUN_OPENALEX_DAILY_BUDGET_EXHAUSTED: shared provider response retained; no count fabricated.</x:v>
      </x:c>
      <x:c r="AK8" s="31" t="str">
        <x:v>FULLY_COVERED</x:v>
      </x:c>
      <x:c r="AL8" s="19" t="str">
        <x:v>PENDING_SOURCE_REVIEW</x:v>
      </x:c>
      <x:c r="AM8" s="20" t="str">
        <x:v>MEDIUM</x:v>
      </x:c>
    </x:row>
    <x:row r="9" ht="34" customHeight="1">
      <x:c r="A9" s="25" t="str">
        <x:v>FT-SEED-R1B-P-1842-05</x:v>
      </x:c>
      <x:c r="B9" s="19" t="str">
        <x:v>1842</x:v>
      </x:c>
      <x:c r="C9" s="28" t="n">
        <x:v>5</x:v>
      </x:c>
      <x:c r="D9" s="31" t="str">
        <x:v>minimum temperature</x:v>
      </x:c>
      <x:c r="E9" s="31" t="str">
        <x:v>local / instrumental temperature</x:v>
      </x:c>
      <x:c r="F9" s="19" t="str">
        <x:v>temperature_threshold</x:v>
      </x:c>
      <x:c r="G9" s="19" t="str">
        <x:v>A</x:v>
      </x:c>
      <x:c r="H9" s="19" t="str">
        <x:v>V1</x:v>
      </x:c>
      <x:c r="I9" s="19" t="str">
        <x:v>NOT_EXPOSED_IN_REPORT</x:v>
      </x:c>
      <x:c r="J9" s="19" t="str">
        <x:v>S1842-ROSS</x:v>
      </x:c>
      <x:c r="K9" s="31" t="str">
        <x:v>RECONSTRUCTED_FROM_REPORT; Fear of Temperature_ Stratified Lexical Expansion, Voice Mapping, and Semantic-Relational Pre-Valida.pdf; p.6; project candidate FT-SEED-R1B-P-1842-05; original visible ID not available</x:v>
      </x:c>
      <x:c r="L9" s="31" t="str">
        <x:v>SUCCEEDED_REUSED_BASELINE</x:v>
      </x:c>
      <x:c r="M9" s="31" t="str">
        <x:v>minimum temperature</x:v>
      </x:c>
      <x:c r="N9" s="31" t="str">
        <x:v>EXACT</x:v>
      </x:c>
      <x:c r="O9" s="19" t="str">
        <x:v>1842</x:v>
      </x:c>
      <x:c r="P9" s="19" t="str">
        <x:v>1985</x:v>
      </x:c>
      <x:c r="Q9" s="34" t="n">
        <x:v>5.244083450678394e-7</x:v>
      </x:c>
      <x:c r="R9" s="34" t="n">
        <x:v>2.3348578032100775e-7</x:v>
      </x:c>
      <x:c r="S9" s="34" t="n">
        <x:v>1.0500049639483588e-7</x:v>
      </x:c>
      <x:c r="T9" s="34" t="n">
        <x:v>2.2186291173675876e-7</x:v>
      </x:c>
      <x:c r="U9" s="31" t="str">
        <x:v>Candidate surface form is directly representable in the public Ngram interface. Complete 1842–2022 unsmoothed series reused from the audited quantitative-v0.1 baseline.</x:v>
      </x:c>
      <x:c r="V9" s="31" t="str">
        <x:v>NO_STANDALONE_HEADWORD</x:v>
      </x:c>
      <x:c r="W9" s="19" t="str">
        <x:v>Component lexical analysis plus anchor-source contextual meaning</x:v>
      </x:c>
      <x:c r="X9" s="31" t="str">
        <x:v>A physical temperature, warming, heat, or measurement sense in the documented anchor context.</x:v>
      </x:c>
      <x:c r="Y9" s="31" t="str">
        <x:v>A local or instrument-specific temperature reading; the candidate is interpreted in its documented anchor and voice context.</x:v>
      </x:c>
      <x:c r="Z9" s="31" t="str">
        <x:v>STRONG</x:v>
      </x:c>
      <x:c r="AA9" s="19" t="str">
        <x:v>The surface form may realize multiple senses; candidate meaning remains anchored to the report-visible source context.</x:v>
      </x:c>
      <x:c r="AB9"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https://api.dictionaryapi.dev/api/v2/entries/en/minimum%20temperature; https://websters1913.timcieplowski.com/word/temperature/</x:v>
      </x:c>
      <x:c r="AC9" s="19" t="str">
        <x:v>INTERNET_ARCHIVE_METADATA_TEXT_ITEM_COUNT</x:v>
      </x:c>
      <x:c r="AD9" s="19" t="str">
        <x:v>"minimum temperature" AND mediatype:texts</x:v>
      </x:c>
      <x:c r="AE9" s="31" t="str">
        <x:v>EXACT_PHRASE</x:v>
      </x:c>
      <x:c r="AF9" s="31" t="str">
        <x:v>COMPLETED_NONZERO</x:v>
      </x:c>
      <x:c r="AG9" s="28" t="n">
        <x:v>460</x:v>
      </x:c>
      <x:c r="AH9" s="19" t="str">
        <x:v>0</x:v>
      </x:c>
      <x:c r="AI9" s="19" t="str">
        <x:v>2026-08-26</x:v>
      </x:c>
      <x:c r="AJ9" s="31" t="str">
        <x:v>Metadata text-item count; not a full-text lexical frequency. Secondary metric: NOT_RUN_OPENALEX_DAILY_BUDGET_EXHAUSTED: shared provider response retained; no count fabricated.</x:v>
      </x:c>
      <x:c r="AK9" s="31" t="str">
        <x:v>FULLY_COVERED</x:v>
      </x:c>
      <x:c r="AL9" s="19" t="str">
        <x:v>PENDING_SOURCE_REVIEW</x:v>
      </x:c>
      <x:c r="AM9" s="20" t="str">
        <x:v>MEDIUM</x:v>
      </x:c>
    </x:row>
    <x:row r="10" ht="34" customHeight="1">
      <x:c r="A10" s="25" t="str">
        <x:v>FT-SEED-R1B-P-1842-06</x:v>
      </x:c>
      <x:c r="B10" s="19" t="str">
        <x:v>1842</x:v>
      </x:c>
      <x:c r="C10" s="28" t="n">
        <x:v>6</x:v>
      </x:c>
      <x:c r="D10" s="31" t="str">
        <x:v>mean temperature of sea at surface</x:v>
      </x:c>
      <x:c r="E10" s="31" t="str">
        <x:v>mean temperature</x:v>
      </x:c>
      <x:c r="F10" s="19" t="str">
        <x:v>temperature_threshold</x:v>
      </x:c>
      <x:c r="G10" s="19" t="str">
        <x:v>A</x:v>
      </x:c>
      <x:c r="H10" s="19" t="str">
        <x:v>V1</x:v>
      </x:c>
      <x:c r="I10" s="19" t="str">
        <x:v>NOT_EXPOSED_IN_REPORT</x:v>
      </x:c>
      <x:c r="J10" s="19" t="str">
        <x:v>S1842-ROSS</x:v>
      </x:c>
      <x:c r="K10" s="31" t="str">
        <x:v>RECONSTRUCTED_FROM_REPORT; Fear of Temperature_ Stratified Lexical Expansion, Voice Mapping, and Semantic-Relational Pre-Valida.pdf; p.6; project candidate FT-SEED-R1B-P-1842-06; original visible ID not available</x:v>
      </x:c>
      <x:c r="L10" s="31" t="str">
        <x:v>ZERO_RESPONSE_REUSED_BASELINE</x:v>
      </x:c>
      <x:c r="M10" s="31" t="str">
        <x:v>mean temperature of sea at surface</x:v>
      </x:c>
      <x:c r="N10" s="31" t="str">
        <x:v>EXACT</x:v>
      </x:c>
      <x:c r="O10" s="19" t="str">
        <x:v>NOT_APPLICABLE</x:v>
      </x:c>
      <x:c r="P10" s="19" t="str">
        <x:v>NOT_APPLICABLE</x:v>
      </x:c>
      <x:c r="Q10" s="34" t="str">
        <x:v>NOT_APPLICABLE</x:v>
      </x:c>
      <x:c r="R10" s="34" t="str">
        <x:v>NOT_APPLICABLE</x:v>
      </x:c>
      <x:c r="S10" s="34" t="str">
        <x:v>NOT_APPLICABLE</x:v>
      </x:c>
      <x:c r="T10" s="34" t="str">
        <x:v>NOT_APPLICABLE</x:v>
      </x:c>
      <x:c r="U10" s="31" t="str">
        <x:v>Candidate surface form is directly representable in the public Ngram interface. The audited executable rule returned an empty Ngram payload; retained as source/query zero-response evidence, not historical absence.</x:v>
      </x:c>
      <x:c r="V10" s="31" t="str">
        <x:v>NO_STANDALONE_HEADWORD</x:v>
      </x:c>
      <x:c r="W10" s="19" t="str">
        <x:v>Component lexical analysis plus anchor-source contextual meaning</x:v>
      </x:c>
      <x:c r="X10" s="31" t="str">
        <x:v>A physical temperature, warming, heat, or measurement sense in the documented anchor context.</x:v>
      </x:c>
      <x:c r="Y10" s="31" t="str">
        <x:v>A temporally or spatially averaged temperature value; the candidate is interpreted in its documented anchor and voice context.</x:v>
      </x:c>
      <x:c r="Z10" s="31" t="str">
        <x:v>STRONG</x:v>
      </x:c>
      <x:c r="AA10" s="19" t="str">
        <x:v>The surface form may realize multiple senses; candidate meaning remains anchored to the report-visible source context.</x:v>
      </x:c>
      <x:c r="AB10" s="31" t="str">
        <x:v>Secondary: Component headword checked: surface.;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https://api.dictionaryapi.dev/api/v2/entries/en/mean%20temperature%20of%20sea%20at%20surface; https://websters1913.timcieplowski.com/word/surface/</x:v>
      </x:c>
      <x:c r="AC10" s="19" t="str">
        <x:v>INTERNET_ARCHIVE_METADATA_TEXT_ITEM_COUNT</x:v>
      </x:c>
      <x:c r="AD10" s="19" t="str">
        <x:v>"mean temperature of sea at surface" AND mediatype:texts</x:v>
      </x:c>
      <x:c r="AE10" s="31" t="str">
        <x:v>EXACT_PHRASE</x:v>
      </x:c>
      <x:c r="AF10" s="31" t="str">
        <x:v>COMPLETED_ZERO</x:v>
      </x:c>
      <x:c r="AG10" s="28" t="n">
        <x:v>0</x:v>
      </x:c>
      <x:c r="AH10" s="19" t="str">
        <x:v>0</x:v>
      </x:c>
      <x:c r="AI10" s="19" t="str">
        <x:v>2026-08-26</x:v>
      </x:c>
      <x:c r="AJ10" s="31" t="str">
        <x:v>Metadata text-item count; not a full-text lexical frequency. Secondary metric: NOT_RUN_OPENALEX_DAILY_BUDGET_EXHAUSTED: shared provider response retained; no count fabricated.</x:v>
      </x:c>
      <x:c r="AK10" s="31" t="str">
        <x:v>FULLY_COVERED</x:v>
      </x:c>
      <x:c r="AL10" s="19" t="str">
        <x:v>PENDING_SOURCE_REVIEW</x:v>
      </x:c>
      <x:c r="AM10" s="20" t="str">
        <x:v>MEDIUM</x:v>
      </x:c>
    </x:row>
    <x:row r="11" ht="34" customHeight="1">
      <x:c r="A11" s="25" t="str">
        <x:v>FT-SEED-R1B-P-1842-07</x:v>
      </x:c>
      <x:c r="B11" s="19" t="str">
        <x:v>1842</x:v>
      </x:c>
      <x:c r="C11" s="28" t="n">
        <x:v>7</x:v>
      </x:c>
      <x:c r="D11" s="31" t="str">
        <x:v>dew point</x:v>
      </x:c>
      <x:c r="E11" s="31" t="str">
        <x:v>local / instrumental temperature</x:v>
      </x:c>
      <x:c r="F11" s="19" t="str">
        <x:v>temperature_threshold</x:v>
      </x:c>
      <x:c r="G11" s="19" t="str">
        <x:v>A</x:v>
      </x:c>
      <x:c r="H11" s="19" t="str">
        <x:v>V1</x:v>
      </x:c>
      <x:c r="I11" s="19" t="str">
        <x:v>NOT_EXPOSED_IN_REPORT</x:v>
      </x:c>
      <x:c r="J11" s="19" t="str">
        <x:v>S1842-LEICHHARDT-N</x:v>
      </x:c>
      <x:c r="K11" s="31" t="str">
        <x:v>RECONSTRUCTED_FROM_REPORT; Fear of Temperature_ Stratified Lexical Expansion, Voice Mapping, and Semantic-Relational Pre-Valida.pdf; p.6; project candidate FT-SEED-R1B-P-1842-07; original visible ID not available</x:v>
      </x:c>
      <x:c r="L11" s="31" t="str">
        <x:v>SUCCEEDED_REUSED_BASELINE</x:v>
      </x:c>
      <x:c r="M11" s="31" t="str">
        <x:v>dew point</x:v>
      </x:c>
      <x:c r="N11" s="31" t="str">
        <x:v>EXACT</x:v>
      </x:c>
      <x:c r="O11" s="19" t="str">
        <x:v>1842</x:v>
      </x:c>
      <x:c r="P11" s="19" t="str">
        <x:v>1844</x:v>
      </x:c>
      <x:c r="Q11" s="34" t="n">
        <x:v>0.0000012860426563676697</x:v>
      </x:c>
      <x:c r="R11" s="34" t="n">
        <x:v>5.02445909766891e-7</x:v>
      </x:c>
      <x:c r="S11" s="34" t="n">
        <x:v>6.271446773009615e-7</x:v>
      </x:c>
      <x:c r="T11" s="34" t="n">
        <x:v>2.2973760255284859e-7</x:v>
      </x:c>
      <x:c r="U11" s="31" t="str">
        <x:v>Candidate surface form is directly representable in the public Ngram interface. Complete 1842–2022 unsmoothed series reused from the audited quantitative-v0.1 baseline.</x:v>
      </x:c>
      <x:c r="V11" s="31" t="str">
        <x:v>NO_STANDALONE_HEADWORD</x:v>
      </x:c>
      <x:c r="W11" s="19" t="str">
        <x:v>Component lexical analysis plus anchor-source contextual meaning</x:v>
      </x:c>
      <x:c r="X11" s="31" t="str">
        <x:v>A physical temperature, warming, heat, or measurement sense in the documented anchor context.</x:v>
      </x:c>
      <x:c r="Y11" s="31" t="str">
        <x:v>A local or instrument-specific temperature reading; the candidate is interpreted in its documented anchor and voice context.</x:v>
      </x:c>
      <x:c r="Z11" s="31" t="str">
        <x:v>STRONG</x:v>
      </x:c>
      <x:c r="AA11" s="19" t="str">
        <x:v>The surface form may realize multiple senses; candidate meaning remains anchored to the report-visible source context.</x:v>
      </x:c>
      <x:c r="AB11" s="31" t="str">
        <x:v>Secondary: Component headword checked: point.;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https://api.dictionaryapi.dev/api/v2/entries/en/dew%20point; https://websters1913.timcieplowski.com/word/point/</x:v>
      </x:c>
      <x:c r="AC11" s="19" t="str">
        <x:v>INTERNET_ARCHIVE_METADATA_TEXT_ITEM_COUNT</x:v>
      </x:c>
      <x:c r="AD11" s="19" t="str">
        <x:v>"dew point" AND mediatype:texts</x:v>
      </x:c>
      <x:c r="AE11" s="31" t="str">
        <x:v>EXACT_PHRASE</x:v>
      </x:c>
      <x:c r="AF11" s="31" t="str">
        <x:v>COMPLETED_NONZERO</x:v>
      </x:c>
      <x:c r="AG11" s="28" t="n">
        <x:v>1217</x:v>
      </x:c>
      <x:c r="AH11" s="19" t="str">
        <x:v>2</x:v>
      </x:c>
      <x:c r="AI11" s="19" t="str">
        <x:v>2026-08-26</x:v>
      </x:c>
      <x:c r="AJ11" s="31" t="str">
        <x:v>Metadata text-item count; not a full-text lexical frequency. Secondary metric: NOT_RUN_OPENALEX_DAILY_BUDGET_EXHAUSTED: shared provider response retained; no count fabricated.</x:v>
      </x:c>
      <x:c r="AK11" s="31" t="str">
        <x:v>FULLY_COVERED</x:v>
      </x:c>
      <x:c r="AL11" s="19" t="str">
        <x:v>PENDING_SOURCE_REVIEW</x:v>
      </x:c>
      <x:c r="AM11" s="20" t="str">
        <x:v>MEDIUM</x:v>
      </x:c>
    </x:row>
    <x:row r="12" ht="34" customHeight="1">
      <x:c r="A12" s="25" t="str">
        <x:v>FT-SEED-R1B-P-1842-08</x:v>
      </x:c>
      <x:c r="B12" s="19" t="str">
        <x:v>1842</x:v>
      </x:c>
      <x:c r="C12" s="28" t="n">
        <x:v>8</x:v>
      </x:c>
      <x:c r="D12" s="31" t="str">
        <x:v>standard thermometer</x:v>
      </x:c>
      <x:c r="E12" s="31" t="str">
        <x:v>local / instrumental temperature</x:v>
      </x:c>
      <x:c r="F12" s="19" t="str">
        <x:v>temperature_threshold</x:v>
      </x:c>
      <x:c r="G12" s="19" t="str">
        <x:v>A</x:v>
      </x:c>
      <x:c r="H12" s="19" t="str">
        <x:v>V1</x:v>
      </x:c>
      <x:c r="I12" s="19" t="str">
        <x:v>NOT_EXPOSED_IN_REPORT</x:v>
      </x:c>
      <x:c r="J12" s="19" t="str">
        <x:v>S1842-RS-COLABA</x:v>
      </x:c>
      <x:c r="K12" s="31" t="str">
        <x:v>RECONSTRUCTED_FROM_REPORT; Fear of Temperature_ Stratified Lexical Expansion, Voice Mapping, and Semantic-Relational Pre-Valida.pdf; p.7; project candidate FT-SEED-R1B-P-1842-08; original visible ID not available</x:v>
      </x:c>
      <x:c r="L12" s="31" t="str">
        <x:v>SUCCEEDED_REUSED_BASELINE</x:v>
      </x:c>
      <x:c r="M12" s="31" t="str">
        <x:v>standard thermometer</x:v>
      </x:c>
      <x:c r="N12" s="31" t="str">
        <x:v>EXACT</x:v>
      </x:c>
      <x:c r="O12" s="19" t="str">
        <x:v>1842</x:v>
      </x:c>
      <x:c r="P12" s="19" t="str">
        <x:v>1875</x:v>
      </x:c>
      <x:c r="Q12" s="34" t="n">
        <x:v>2.0496997077401602e-7</x:v>
      </x:c>
      <x:c r="R12" s="34" t="n">
        <x:v>8.384848482201335e-9</x:v>
      </x:c>
      <x:c r="S12" s="34" t="n">
        <x:v>2.3637724833047713e-8</x:v>
      </x:c>
      <x:c r="T12" s="34" t="n">
        <x:v>2.6101517891508053e-9</x:v>
      </x:c>
      <x:c r="U12" s="31" t="str">
        <x:v>Candidate surface form is directly representable in the public Ngram interface. Complete 1842–2022 unsmoothed series reused from the audited quantitative-v0.1 baseline.</x:v>
      </x:c>
      <x:c r="V12" s="31" t="str">
        <x:v>NO_STANDALONE_HEADWORD</x:v>
      </x:c>
      <x:c r="W12" s="19" t="str">
        <x:v>Component lexical analysis plus anchor-source contextual meaning</x:v>
      </x:c>
      <x:c r="X12" s="31" t="str">
        <x:v>A physical temperature, warming, heat, or measurement sense in the documented anchor context.</x:v>
      </x:c>
      <x:c r="Y12" s="31" t="str">
        <x:v>A local or instrument-specific temperature reading; the candidate is interpreted in its documented anchor and voice context.</x:v>
      </x:c>
      <x:c r="Z12" s="31" t="str">
        <x:v>STRONG</x:v>
      </x:c>
      <x:c r="AA12" s="19" t="str">
        <x:v>The surface form may realize multiple senses; candidate meaning remains anchored to the report-visible source context.</x:v>
      </x:c>
      <x:c r="AB12"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https://api.dictionaryapi.dev/api/v2/entries/en/standard%20thermometer; https://websters1913.timcieplowski.com/word/thermometer/</x:v>
      </x:c>
      <x:c r="AC12" s="19" t="str">
        <x:v>INTERNET_ARCHIVE_METADATA_TEXT_ITEM_COUNT</x:v>
      </x:c>
      <x:c r="AD12" s="19" t="str">
        <x:v>"standard thermometer" AND mediatype:texts</x:v>
      </x:c>
      <x:c r="AE12" s="31" t="str">
        <x:v>EXACT_PHRASE</x:v>
      </x:c>
      <x:c r="AF12" s="31" t="str">
        <x:v>COMPLETED_NONZERO</x:v>
      </x:c>
      <x:c r="AG12" s="28" t="n">
        <x:v>2</x:v>
      </x:c>
      <x:c r="AH12" s="19" t="str">
        <x:v>0</x:v>
      </x:c>
      <x:c r="AI12" s="19" t="str">
        <x:v>2026-08-26</x:v>
      </x:c>
      <x:c r="AJ12" s="31" t="str">
        <x:v>Metadata text-item count; not a full-text lexical frequency. Secondary metric: NOT_RUN_OPENALEX_DAILY_BUDGET_EXHAUSTED: shared provider response retained; no count fabricated.</x:v>
      </x:c>
      <x:c r="AK12" s="31" t="str">
        <x:v>FULLY_COVERED</x:v>
      </x:c>
      <x:c r="AL12" s="19" t="str">
        <x:v>PENDING_SOURCE_REVIEW</x:v>
      </x:c>
      <x:c r="AM12" s="20" t="str">
        <x:v>MEDIUM</x:v>
      </x:c>
    </x:row>
    <x:row r="13" ht="34" customHeight="1">
      <x:c r="A13" s="25" t="str">
        <x:v>FT-SEED-R1B-P-1842-09</x:v>
      </x:c>
      <x:c r="B13" s="19" t="str">
        <x:v>1842</x:v>
      </x:c>
      <x:c r="C13" s="28" t="n">
        <x:v>9</x:v>
      </x:c>
      <x:c r="D13" s="31" t="str">
        <x:v>attached thermometer</x:v>
      </x:c>
      <x:c r="E13" s="31" t="str">
        <x:v>local / instrumental temperature</x:v>
      </x:c>
      <x:c r="F13" s="19" t="str">
        <x:v>temperature_threshold</x:v>
      </x:c>
      <x:c r="G13" s="19" t="str">
        <x:v>A</x:v>
      </x:c>
      <x:c r="H13" s="19" t="str">
        <x:v>V1</x:v>
      </x:c>
      <x:c r="I13" s="19" t="str">
        <x:v>NOT_EXPOSED_IN_REPORT</x:v>
      </x:c>
      <x:c r="J13" s="19" t="str">
        <x:v>S1842-RS-COLABA</x:v>
      </x:c>
      <x:c r="K13" s="31" t="str">
        <x:v>RECONSTRUCTED_FROM_REPORT; Fear of Temperature_ Stratified Lexical Expansion, Voice Mapping, and Semantic-Relational Pre-Valida.pdf; p.7; project candidate FT-SEED-R1B-P-1842-09; original visible ID not available</x:v>
      </x:c>
      <x:c r="L13" s="31" t="str">
        <x:v>SUCCEEDED_REUSED_BASELINE</x:v>
      </x:c>
      <x:c r="M13" s="31" t="str">
        <x:v>attached thermometer</x:v>
      </x:c>
      <x:c r="N13" s="31" t="str">
        <x:v>EXACT</x:v>
      </x:c>
      <x:c r="O13" s="19" t="str">
        <x:v>1842</x:v>
      </x:c>
      <x:c r="P13" s="19" t="str">
        <x:v>1844</x:v>
      </x:c>
      <x:c r="Q13" s="34" t="n">
        <x:v>2.3284261124745242e-7</x:v>
      </x:c>
      <x:c r="R13" s="34" t="n">
        <x:v>6.901375293466572e-8</x:v>
      </x:c>
      <x:c r="S13" s="34" t="n">
        <x:v>1.3605652200709972e-7</x:v>
      </x:c>
      <x:c r="T13" s="34" t="n">
        <x:v>3.406469412103874e-9</x:v>
      </x:c>
      <x:c r="U13" s="31" t="str">
        <x:v>Candidate surface form is directly representable in the public Ngram interface. Complete 1842–2022 unsmoothed series reused from the audited quantitative-v0.1 baseline.</x:v>
      </x:c>
      <x:c r="V13" s="31" t="str">
        <x:v>NO_STANDALONE_HEADWORD</x:v>
      </x:c>
      <x:c r="W13" s="19" t="str">
        <x:v>Component lexical analysis plus anchor-source contextual meaning</x:v>
      </x:c>
      <x:c r="X13" s="31" t="str">
        <x:v>A physical temperature, warming, heat, or measurement sense in the documented anchor context.</x:v>
      </x:c>
      <x:c r="Y13" s="31" t="str">
        <x:v>A local or instrument-specific temperature reading; the candidate is interpreted in its documented anchor and voice context.</x:v>
      </x:c>
      <x:c r="Z13" s="31" t="str">
        <x:v>STRONG</x:v>
      </x:c>
      <x:c r="AA13" s="19" t="str">
        <x:v>The surface form may realize multiple senses; candidate meaning remains anchored to the report-visible source context.</x:v>
      </x:c>
      <x:c r="AB13"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https://api.dictionaryapi.dev/api/v2/entries/en/attached%20thermometer; https://websters1913.timcieplowski.com/word/thermometer/</x:v>
      </x:c>
      <x:c r="AC13" s="19" t="str">
        <x:v>INTERNET_ARCHIVE_METADATA_TEXT_ITEM_COUNT</x:v>
      </x:c>
      <x:c r="AD13" s="19" t="str">
        <x:v>"attached thermometer" AND mediatype:texts</x:v>
      </x:c>
      <x:c r="AE13" s="31" t="str">
        <x:v>EXACT_PHRASE</x:v>
      </x:c>
      <x:c r="AF13" s="31" t="str">
        <x:v>COMPLETED_ZERO</x:v>
      </x:c>
      <x:c r="AG13" s="28" t="n">
        <x:v>0</x:v>
      </x:c>
      <x:c r="AH13" s="19" t="str">
        <x:v>0</x:v>
      </x:c>
      <x:c r="AI13" s="19" t="str">
        <x:v>2026-08-26</x:v>
      </x:c>
      <x:c r="AJ13" s="31" t="str">
        <x:v>Metadata text-item count; not a full-text lexical frequency. Secondary metric: Scholarly work discoverability count over OpenAlex search fields; not a corpus word frequency.</x:v>
      </x:c>
      <x:c r="AK13" s="31" t="str">
        <x:v>FULLY_COVERED</x:v>
      </x:c>
      <x:c r="AL13" s="19" t="str">
        <x:v>PENDING_SOURCE_REVIEW</x:v>
      </x:c>
      <x:c r="AM13" s="20" t="str">
        <x:v>MEDIUM</x:v>
      </x:c>
    </x:row>
    <x:row r="14" ht="34" customHeight="1">
      <x:c r="A14" s="25" t="str">
        <x:v>FT-SEED-R1B-P-1842-10</x:v>
      </x:c>
      <x:c r="B14" s="19" t="str">
        <x:v>1842</x:v>
      </x:c>
      <x:c r="C14" s="28" t="n">
        <x:v>10</x:v>
      </x:c>
      <x:c r="D14" s="31" t="str">
        <x:v>dry bulb thermometer</x:v>
      </x:c>
      <x:c r="E14" s="31" t="str">
        <x:v>local / instrumental temperature</x:v>
      </x:c>
      <x:c r="F14" s="19" t="str">
        <x:v>temperature_threshold</x:v>
      </x:c>
      <x:c r="G14" s="19" t="str">
        <x:v>A</x:v>
      </x:c>
      <x:c r="H14" s="19" t="str">
        <x:v>V1</x:v>
      </x:c>
      <x:c r="I14" s="19" t="str">
        <x:v>NOT_EXPOSED_IN_REPORT</x:v>
      </x:c>
      <x:c r="J14" s="19" t="str">
        <x:v>S1842-RS-COLABA</x:v>
      </x:c>
      <x:c r="K14" s="31" t="str">
        <x:v>RECONSTRUCTED_FROM_REPORT; Fear of Temperature_ Stratified Lexical Expansion, Voice Mapping, and Semantic-Relational Pre-Valida.pdf; p.7; project candidate FT-SEED-R1B-P-1842-10; original visible ID not available</x:v>
      </x:c>
      <x:c r="L14" s="31" t="str">
        <x:v>SUCCEEDED_REUSED_BASELINE</x:v>
      </x:c>
      <x:c r="M14" s="31" t="str">
        <x:v>dry bulb thermometer</x:v>
      </x:c>
      <x:c r="N14" s="31" t="str">
        <x:v>EXACT</x:v>
      </x:c>
      <x:c r="O14" s="19" t="str">
        <x:v>1842</x:v>
      </x:c>
      <x:c r="P14" s="19" t="str">
        <x:v>1869</x:v>
      </x:c>
      <x:c r="Q14" s="34" t="n">
        <x:v>2.647877378469943e-7</x:v>
      </x:c>
      <x:c r="R14" s="34" t="n">
        <x:v>8.854272692815357e-8</x:v>
      </x:c>
      <x:c r="S14" s="34" t="n">
        <x:v>4.692082165858036e-8</x:v>
      </x:c>
      <x:c r="T14" s="34" t="n">
        <x:v>8.466447189159343e-9</x:v>
      </x:c>
      <x:c r="U14" s="31" t="str">
        <x:v>Candidate surface form is directly representable in the public Ngram interface. Complete 1842–2022 unsmoothed series reused from the audited quantitative-v0.1 baseline.</x:v>
      </x:c>
      <x:c r="V14" s="31" t="str">
        <x:v>NO_STANDALONE_HEADWORD</x:v>
      </x:c>
      <x:c r="W14" s="19" t="str">
        <x:v>Component lexical analysis plus anchor-source contextual meaning</x:v>
      </x:c>
      <x:c r="X14" s="31" t="str">
        <x:v>A physical temperature, warming, heat, or measurement sense in the documented anchor context.</x:v>
      </x:c>
      <x:c r="Y14" s="31" t="str">
        <x:v>A local or instrument-specific temperature reading; the candidate is interpreted in its documented anchor and voice context.</x:v>
      </x:c>
      <x:c r="Z14" s="31" t="str">
        <x:v>STRONG</x:v>
      </x:c>
      <x:c r="AA14" s="19" t="str">
        <x:v>The surface form may realize multiple senses; candidate meaning remains anchored to the report-visible source context.</x:v>
      </x:c>
      <x:c r="AB14"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https://api.dictionaryapi.dev/api/v2/entries/en/dry%20bulb%20thermometer; https://websters1913.timcieplowski.com/word/thermometer/</x:v>
      </x:c>
      <x:c r="AC14" s="19" t="str">
        <x:v>INTERNET_ARCHIVE_METADATA_TEXT_ITEM_COUNT</x:v>
      </x:c>
      <x:c r="AD14" s="19" t="str">
        <x:v>"dry bulb thermometer" AND mediatype:texts</x:v>
      </x:c>
      <x:c r="AE14" s="31" t="str">
        <x:v>EXACT_PHRASE</x:v>
      </x:c>
      <x:c r="AF14" s="31" t="str">
        <x:v>COMPLETED_NONZERO</x:v>
      </x:c>
      <x:c r="AG14" s="28" t="n">
        <x:v>2</x:v>
      </x:c>
      <x:c r="AH14" s="19" t="str">
        <x:v>0</x:v>
      </x:c>
      <x:c r="AI14" s="19" t="str">
        <x:v>2026-08-26</x:v>
      </x:c>
      <x:c r="AJ14" s="31" t="str">
        <x:v>Metadata text-item count; not a full-text lexical frequency. Secondary metric: NOT_RUN_OPENALEX_DAILY_BUDGET_EXHAUSTED: shared provider response retained; no count fabricated.</x:v>
      </x:c>
      <x:c r="AK14" s="31" t="str">
        <x:v>FULLY_COVERED</x:v>
      </x:c>
      <x:c r="AL14" s="19" t="str">
        <x:v>PENDING_SOURCE_REVIEW</x:v>
      </x:c>
      <x:c r="AM14" s="20" t="str">
        <x:v>MEDIUM</x:v>
      </x:c>
    </x:row>
    <x:row r="15" ht="34" customHeight="1">
      <x:c r="A15" s="25" t="str">
        <x:v>FT-SEED-R1B-P-1842-11</x:v>
      </x:c>
      <x:c r="B15" s="19" t="str">
        <x:v>1842</x:v>
      </x:c>
      <x:c r="C15" s="28" t="n">
        <x:v>11</x:v>
      </x:c>
      <x:c r="D15" s="31" t="str">
        <x:v>wet bulb thermometer</x:v>
      </x:c>
      <x:c r="E15" s="31" t="str">
        <x:v>local / instrumental temperature</x:v>
      </x:c>
      <x:c r="F15" s="19" t="str">
        <x:v>temperature_threshold</x:v>
      </x:c>
      <x:c r="G15" s="19" t="str">
        <x:v>A</x:v>
      </x:c>
      <x:c r="H15" s="19" t="str">
        <x:v>V1</x:v>
      </x:c>
      <x:c r="I15" s="19" t="str">
        <x:v>NOT_EXPOSED_IN_REPORT</x:v>
      </x:c>
      <x:c r="J15" s="19" t="str">
        <x:v>S1842-RS-COLABA</x:v>
      </x:c>
      <x:c r="K15" s="31" t="str">
        <x:v>RECONSTRUCTED_FROM_REPORT; Fear of Temperature_ Stratified Lexical Expansion, Voice Mapping, and Semantic-Relational Pre-Valida.pdf; p.6; project candidate FT-SEED-R1B-P-1842-11; original visible ID not available</x:v>
      </x:c>
      <x:c r="L15" s="31" t="str">
        <x:v>SUCCEEDED_REUSED_BASELINE</x:v>
      </x:c>
      <x:c r="M15" s="31" t="str">
        <x:v>wet bulb thermometer</x:v>
      </x:c>
      <x:c r="N15" s="31" t="str">
        <x:v>EXACT</x:v>
      </x:c>
      <x:c r="O15" s="19" t="str">
        <x:v>1842</x:v>
      </x:c>
      <x:c r="P15" s="19" t="str">
        <x:v>1869</x:v>
      </x:c>
      <x:c r="Q15" s="34" t="n">
        <x:v>1.703290762877785e-7</x:v>
      </x:c>
      <x:c r="R15" s="34" t="n">
        <x:v>7.550155167734829e-9</x:v>
      </x:c>
      <x:c r="S15" s="34" t="n">
        <x:v>5.215477506814725e-8</x:v>
      </x:c>
      <x:c r="T15" s="34" t="n">
        <x:v>7.142087012079745e-9</x:v>
      </x:c>
      <x:c r="U15" s="31" t="str">
        <x:v>Candidate surface form is directly representable in the public Ngram interface. Complete 1842–2022 unsmoothed series reused from the audited quantitative-v0.1 baseline.</x:v>
      </x:c>
      <x:c r="V15" s="31" t="str">
        <x:v>NO_STANDALONE_HEADWORD</x:v>
      </x:c>
      <x:c r="W15" s="19" t="str">
        <x:v>Component lexical analysis plus anchor-source contextual meaning</x:v>
      </x:c>
      <x:c r="X15" s="31" t="str">
        <x:v>A physical temperature, warming, heat, or measurement sense in the documented anchor context.</x:v>
      </x:c>
      <x:c r="Y15" s="31" t="str">
        <x:v>A local or instrument-specific temperature reading; the candidate is interpreted in its documented anchor and voice context.</x:v>
      </x:c>
      <x:c r="Z15" s="31" t="str">
        <x:v>STRONG</x:v>
      </x:c>
      <x:c r="AA15" s="19" t="str">
        <x:v>The surface form may realize multiple senses; candidate meaning remains anchored to the report-visible source context.</x:v>
      </x:c>
      <x:c r="AB15" s="31" t="str">
        <x:v>Secondary: Component headword checked: thermometer.;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https://api.dictionaryapi.dev/api/v2/entries/en/wet%20bulb%20thermometer; https://websters1913.timcieplowski.com/word/thermometer/</x:v>
      </x:c>
      <x:c r="AC15" s="19" t="str">
        <x:v>INTERNET_ARCHIVE_METADATA_TEXT_ITEM_COUNT</x:v>
      </x:c>
      <x:c r="AD15" s="19" t="str">
        <x:v>"wet bulb thermometer" AND mediatype:texts</x:v>
      </x:c>
      <x:c r="AE15" s="31" t="str">
        <x:v>EXACT_PHRASE</x:v>
      </x:c>
      <x:c r="AF15" s="31" t="str">
        <x:v>COMPLETED_NONZERO</x:v>
      </x:c>
      <x:c r="AG15" s="28" t="n">
        <x:v>7</x:v>
      </x:c>
      <x:c r="AH15" s="19" t="str">
        <x:v>0</x:v>
      </x:c>
      <x:c r="AI15" s="19" t="str">
        <x:v>2026-08-26</x:v>
      </x:c>
      <x:c r="AJ15" s="31" t="str">
        <x:v>Metadata text-item count; not a full-text lexical frequency. Secondary metric: NOT_RUN_OPENALEX_DAILY_BUDGET_EXHAUSTED: shared provider response retained; no count fabricated.</x:v>
      </x:c>
      <x:c r="AK15" s="31" t="str">
        <x:v>FULLY_COVERED</x:v>
      </x:c>
      <x:c r="AL15" s="19" t="str">
        <x:v>PENDING_SOURCE_REVIEW</x:v>
      </x:c>
      <x:c r="AM15" s="20" t="str">
        <x:v>MEDIUM</x:v>
      </x:c>
    </x:row>
    <x:row r="16" ht="34" customHeight="1">
      <x:c r="A16" s="25" t="str">
        <x:v>FT-SEED-R1B-P-1842-12</x:v>
      </x:c>
      <x:c r="B16" s="19" t="str">
        <x:v>1842</x:v>
      </x:c>
      <x:c r="C16" s="28" t="n">
        <x:v>12</x:v>
      </x:c>
      <x:c r="D16" s="31" t="str">
        <x:v>meteorological observations</x:v>
      </x:c>
      <x:c r="E16" s="31" t="str">
        <x:v>historical climate / climatological condition</x:v>
      </x:c>
      <x:c r="F16" s="19" t="str">
        <x:v>climate</x:v>
      </x:c>
      <x:c r="G16" s="19" t="str">
        <x:v>B</x:v>
      </x:c>
      <x:c r="H16" s="19" t="str">
        <x:v>V1</x:v>
      </x:c>
      <x:c r="I16" s="19" t="str">
        <x:v>NOT_EXPOSED_IN_REPORT</x:v>
      </x:c>
      <x:c r="J16" s="19" t="str">
        <x:v>S1842-RS-COLABA</x:v>
      </x:c>
      <x:c r="K16" s="31" t="str">
        <x:v>RECONSTRUCTED_FROM_REPORT; Fear of Temperature_ Stratified Lexical Expansion, Voice Mapping, and Semantic-Relational Pre-Valida.pdf; p.6; project candidate FT-SEED-R1B-P-1842-12; original visible ID not available</x:v>
      </x:c>
      <x:c r="L16" s="31" t="str">
        <x:v>SUCCEEDED_REUSED_BASELINE</x:v>
      </x:c>
      <x:c r="M16" s="31" t="str">
        <x:v>meteorological observations</x:v>
      </x:c>
      <x:c r="N16" s="31" t="str">
        <x:v>EXACT</x:v>
      </x:c>
      <x:c r="O16" s="19" t="str">
        <x:v>1842</x:v>
      </x:c>
      <x:c r="P16" s="19" t="str">
        <x:v>1875</x:v>
      </x:c>
      <x:c r="Q16" s="34" t="n">
        <x:v>0.0000017900506604495714</x:v>
      </x:c>
      <x:c r="R16" s="34" t="n">
        <x:v>9.468428674996865e-7</x:v>
      </x:c>
      <x:c r="S16" s="34" t="n">
        <x:v>8.245251478522508e-7</x:v>
      </x:c>
      <x:c r="T16" s="34" t="n">
        <x:v>6.520955656008631e-8</x:v>
      </x:c>
      <x:c r="U16" s="31" t="str">
        <x:v>Candidate surface form is directly representable in the public Ngram interface. Complete 1842–2022 unsmoothed series reused from the audited quantitative-v0.1 baseline.</x:v>
      </x:c>
      <x:c r="V16" s="31" t="str">
        <x:v>NO_STANDALONE_HEADWORD</x:v>
      </x:c>
      <x:c r="W16" s="19" t="str">
        <x:v>Component lexical analysis plus anchor-source contextual meaning</x:v>
      </x:c>
      <x:c r="X16" s="31" t="str">
        <x:v>A climatic, atmospheric, meteorological, or causal-science sense in the documented anchor context.</x:v>
      </x:c>
      <x:c r="Y16" s="31" t="str">
        <x:v>Climate as a historical, geographical, seasonal, or climatological condition; the candidate is interpreted in its documented anchor and voice context.</x:v>
      </x:c>
      <x:c r="Z16" s="31" t="str">
        <x:v>STRONG</x:v>
      </x:c>
      <x:c r="AA16" s="19" t="str">
        <x:v>The surface form may realize multiple senses; candidate meaning remains anchored to the report-visible source context.</x:v>
      </x:c>
      <x:c r="AB16"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https://api.dictionaryapi.dev/api/v2/entries/en/meteorological%20observations; https://websters1913.timcieplowski.com/word/observations/</x:v>
      </x:c>
      <x:c r="AC16" s="19" t="str">
        <x:v>INTERNET_ARCHIVE_METADATA_TEXT_ITEM_COUNT</x:v>
      </x:c>
      <x:c r="AD16" s="19" t="str">
        <x:v>"meteorological observations" AND mediatype:texts</x:v>
      </x:c>
      <x:c r="AE16" s="31" t="str">
        <x:v>EXACT_PHRASE</x:v>
      </x:c>
      <x:c r="AF16" s="31" t="str">
        <x:v>COMPLETED_NONZERO</x:v>
      </x:c>
      <x:c r="AG16" s="28" t="n">
        <x:v>1458</x:v>
      </x:c>
      <x:c r="AH16" s="19" t="str">
        <x:v>94</x:v>
      </x:c>
      <x:c r="AI16" s="19" t="str">
        <x:v>2026-08-26</x:v>
      </x:c>
      <x:c r="AJ16" s="31" t="str">
        <x:v>Metadata text-item count; not a full-text lexical frequency. Secondary metric: NOT_RUN_OPENALEX_DAILY_BUDGET_EXHAUSTED: shared provider response retained; no count fabricated.</x:v>
      </x:c>
      <x:c r="AK16" s="31" t="str">
        <x:v>FULLY_COVERED</x:v>
      </x:c>
      <x:c r="AL16" s="19" t="str">
        <x:v>PENDING_SOURCE_REVIEW</x:v>
      </x:c>
      <x:c r="AM16" s="20" t="str">
        <x:v>MEDIUM</x:v>
      </x:c>
    </x:row>
    <x:row r="17" ht="34" customHeight="1">
      <x:c r="A17" s="25" t="str">
        <x:v>FT-SEED-R1B-P-1842-13</x:v>
      </x:c>
      <x:c r="B17" s="19" t="str">
        <x:v>1842</x:v>
      </x:c>
      <x:c r="C17" s="28" t="n">
        <x:v>13</x:v>
      </x:c>
      <x:c r="D17" s="31" t="str">
        <x:v>meteorological journal</x:v>
      </x:c>
      <x:c r="E17" s="31" t="str">
        <x:v>historical climate / climatological condition</x:v>
      </x:c>
      <x:c r="F17" s="19" t="str">
        <x:v>climate</x:v>
      </x:c>
      <x:c r="G17" s="19" t="str">
        <x:v>B</x:v>
      </x:c>
      <x:c r="H17" s="19" t="str">
        <x:v>V1</x:v>
      </x:c>
      <x:c r="I17" s="19" t="str">
        <x:v>NOT_EXPOSED_IN_REPORT</x:v>
      </x:c>
      <x:c r="J17" s="19" t="str">
        <x:v>S1842-ROSS</x:v>
      </x:c>
      <x:c r="K17" s="31" t="str">
        <x:v>RECONSTRUCTED_FROM_REPORT; Fear of Temperature_ Stratified Lexical Expansion, Voice Mapping, and Semantic-Relational Pre-Valida.pdf; p.6; project candidate FT-SEED-R1B-P-1842-13; original visible ID not available</x:v>
      </x:c>
      <x:c r="L17" s="31" t="str">
        <x:v>SUCCEEDED_REUSED_BASELINE</x:v>
      </x:c>
      <x:c r="M17" s="31" t="str">
        <x:v>meteorological journal</x:v>
      </x:c>
      <x:c r="N17" s="31" t="str">
        <x:v>EXACT</x:v>
      </x:c>
      <x:c r="O17" s="19" t="str">
        <x:v>1842</x:v>
      </x:c>
      <x:c r="P17" s="19" t="str">
        <x:v>1842</x:v>
      </x:c>
      <x:c r="Q17" s="34" t="n">
        <x:v>5.256654992402687e-7</x:v>
      </x:c>
      <x:c r="R17" s="34" t="n">
        <x:v>5.256654992402687e-7</x:v>
      </x:c>
      <x:c r="S17" s="34" t="n">
        <x:v>2.929219990871479e-7</x:v>
      </x:c>
      <x:c r="T17" s="34" t="n">
        <x:v>2.964070766608984e-9</x:v>
      </x:c>
      <x:c r="U17" s="31" t="str">
        <x:v>Candidate surface form is directly representable in the public Ngram interface. Complete 1842–2022 unsmoothed series reused from the audited quantitative-v0.1 baseline.</x:v>
      </x:c>
      <x:c r="V17" s="31" t="str">
        <x:v>NO_STANDALONE_HEADWORD</x:v>
      </x:c>
      <x:c r="W17" s="19" t="str">
        <x:v>Component lexical analysis plus anchor-source contextual meaning</x:v>
      </x:c>
      <x:c r="X17" s="31" t="str">
        <x:v>A climatic, atmospheric, meteorological, or causal-science sense in the documented anchor context.</x:v>
      </x:c>
      <x:c r="Y17" s="31" t="str">
        <x:v>Climate as a historical, geographical, seasonal, or climatological condition; the candidate is interpreted in its documented anchor and voice context.</x:v>
      </x:c>
      <x:c r="Z17" s="31" t="str">
        <x:v>STRONG</x:v>
      </x:c>
      <x:c r="AA17" s="19" t="str">
        <x:v>The surface form may realize multiple senses; candidate meaning remains anchored to the report-visible source context.</x:v>
      </x:c>
      <x:c r="AB17" s="31" t="str">
        <x:v>Secondary: Component headword checked: journal.;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https://api.dictionaryapi.dev/api/v2/entries/en/meteorological%20journal; https://websters1913.timcieplowski.com/word/journal/</x:v>
      </x:c>
      <x:c r="AC17" s="19" t="str">
        <x:v>INTERNET_ARCHIVE_METADATA_TEXT_ITEM_COUNT</x:v>
      </x:c>
      <x:c r="AD17" s="19" t="str">
        <x:v>"meteorological journal" AND mediatype:texts</x:v>
      </x:c>
      <x:c r="AE17" s="31" t="str">
        <x:v>EXACT_PHRASE</x:v>
      </x:c>
      <x:c r="AF17" s="31" t="str">
        <x:v>COMPLETED_NONZERO</x:v>
      </x:c>
      <x:c r="AG17" s="28" t="n">
        <x:v>411</x:v>
      </x:c>
      <x:c r="AH17" s="19" t="str">
        <x:v>19</x:v>
      </x:c>
      <x:c r="AI17" s="19" t="str">
        <x:v>2026-08-26</x:v>
      </x:c>
      <x:c r="AJ17" s="31" t="str">
        <x:v>Metadata text-item count; not a full-text lexical frequency. Secondary metric: NOT_RUN_OPENALEX_DAILY_BUDGET_EXHAUSTED: shared provider response retained; no count fabricated.</x:v>
      </x:c>
      <x:c r="AK17" s="31" t="str">
        <x:v>FULLY_COVERED</x:v>
      </x:c>
      <x:c r="AL17" s="19" t="str">
        <x:v>PENDING_SOURCE_REVIEW</x:v>
      </x:c>
      <x:c r="AM17" s="20" t="str">
        <x:v>MEDIUM</x:v>
      </x:c>
    </x:row>
    <x:row r="18" ht="34" customHeight="1">
      <x:c r="A18" s="25" t="str">
        <x:v>FT-SEED-R1B-P-1842-14</x:v>
      </x:c>
      <x:c r="B18" s="19" t="str">
        <x:v>1842</x:v>
      </x:c>
      <x:c r="C18" s="28" t="n">
        <x:v>14</x:v>
      </x:c>
      <x:c r="D18" s="31" t="str">
        <x:v>weather</x:v>
      </x:c>
      <x:c r="E18" s="31" t="str">
        <x:v>historical climate / climatological condition</x:v>
      </x:c>
      <x:c r="F18" s="19" t="str">
        <x:v>climate</x:v>
      </x:c>
      <x:c r="G18" s="19" t="str">
        <x:v>B</x:v>
      </x:c>
      <x:c r="H18" s="19" t="str">
        <x:v>V1</x:v>
      </x:c>
      <x:c r="I18" s="19" t="str">
        <x:v>NOT_EXPOSED_IN_REPORT</x:v>
      </x:c>
      <x:c r="J18" s="19" t="str">
        <x:v>S1842-LEICHHARDT-L</x:v>
      </x:c>
      <x:c r="K18" s="31" t="str">
        <x:v>RECONSTRUCTED_FROM_REPORT; Fear of Temperature_ Stratified Lexical Expansion, Voice Mapping, and Semantic-Relational Pre-Valida.pdf; p.6; project candidate FT-SEED-R1B-P-1842-14; original visible ID not available</x:v>
      </x:c>
      <x:c r="L18" s="31" t="str">
        <x:v>SUCCEEDED_REUSED_BASELINE</x:v>
      </x:c>
      <x:c r="M18" s="31" t="str">
        <x:v>weather</x:v>
      </x:c>
      <x:c r="N18" s="31" t="str">
        <x:v>EXACT</x:v>
      </x:c>
      <x:c r="O18" s="19" t="str">
        <x:v>1842</x:v>
      </x:c>
      <x:c r="P18" s="19" t="str">
        <x:v>1928</x:v>
      </x:c>
      <x:c r="Q18" s="34" t="n">
        <x:v>0.00006017915046766659</x:v>
      </x:c>
      <x:c r="R18" s="34" t="n">
        <x:v>0.000043293189150972466</x:v>
      </x:c>
      <x:c r="S18" s="34" t="n">
        <x:v>0.00004177567043939234</x:v>
      </x:c>
      <x:c r="T18" s="34" t="n">
        <x:v>0.000031858087396925694</x:v>
      </x:c>
      <x:c r="U18" s="31" t="str">
        <x:v>Candidate surface form is directly representable in the public Ngram interface. Complete 1842–2022 unsmoothed series reused from the audited quantitative-v0.1 baseline.</x:v>
      </x:c>
      <x:c r="V18" s="31" t="str">
        <x:v>DIRECT_HEADWORD</x:v>
      </x:c>
      <x:c r="W18" s="19" t="str">
        <x:v>Webster's Revised Unabridged Dictionary (1913 public-domain headword index)</x:v>
      </x:c>
      <x:c r="X18" s="31" t="str">
        <x:v>A climatic, atmospheric, meteorological, or causal-science sense in the documented anchor context.</x:v>
      </x:c>
      <x:c r="Y18" s="31" t="str">
        <x:v>Climate as a historical, geographical, seasonal, or climatological condition; the candidate is interpreted in its documented anchor and voice context.</x:v>
      </x:c>
      <x:c r="Z18" s="31" t="str">
        <x:v>STRONG</x:v>
      </x:c>
      <x:c r="AA18" s="19" t="str">
        <x:v>The surface form may realize multiple senses; candidate meaning remains anchored to the report-visible source context.</x:v>
      </x:c>
      <x:c r="AB18" s="31" t="str">
        <x:v>Secondary: Component headword checked: weather.; historical: Anchor-period research source/context; Webster 1913 stable component URL recorded but automated page retrieval was unavailable; source: https://websters1913.timcieplowski.com/word/weather/; https://api.dictionaryapi.dev/api/v2/entries/en/weather</x:v>
      </x:c>
      <x:c r="AC18" s="19" t="str">
        <x:v>INTERNET_ARCHIVE_METADATA_TEXT_ITEM_COUNT</x:v>
      </x:c>
      <x:c r="AD18" s="19" t="str">
        <x:v>"weather" AND mediatype:texts</x:v>
      </x:c>
      <x:c r="AE18" s="31" t="str">
        <x:v>EXACT_PHRASE</x:v>
      </x:c>
      <x:c r="AF18" s="31" t="str">
        <x:v>COMPLETED_NONZERO</x:v>
      </x:c>
      <x:c r="AG18" s="28" t="n">
        <x:v>67834</x:v>
      </x:c>
      <x:c r="AH18" s="19" t="str">
        <x:v>123</x:v>
      </x:c>
      <x:c r="AI18" s="19" t="str">
        <x:v>2026-08-26</x:v>
      </x:c>
      <x:c r="AJ18" s="31" t="str">
        <x:v>Metadata text-item count; not a full-text lexical frequency. Secondary metric: NOT_RUN_OPENALEX_DAILY_BUDGET_EXHAUSTED: shared provider response retained; no count fabricated.</x:v>
      </x:c>
      <x:c r="AK18" s="31" t="str">
        <x:v>FULLY_COVERED</x:v>
      </x:c>
      <x:c r="AL18" s="19" t="str">
        <x:v>PENDING_SOURCE_REVIEW</x:v>
      </x:c>
      <x:c r="AM18" s="20" t="str">
        <x:v>MEDIUM</x:v>
      </x:c>
    </x:row>
    <x:row r="19" ht="34" customHeight="1">
      <x:c r="A19" s="25" t="str">
        <x:v>FT-SEED-R1B-P-1842-15</x:v>
      </x:c>
      <x:c r="B19" s="19" t="str">
        <x:v>1842</x:v>
      </x:c>
      <x:c r="C19" s="28" t="n">
        <x:v>15</x:v>
      </x:c>
      <x:c r="D19" s="31" t="str">
        <x:v>climate</x:v>
      </x:c>
      <x:c r="E19" s="31" t="str">
        <x:v>historical climate / climatological condition</x:v>
      </x:c>
      <x:c r="F19" s="19" t="str">
        <x:v>climate</x:v>
      </x:c>
      <x:c r="G19" s="19" t="str">
        <x:v>B</x:v>
      </x:c>
      <x:c r="H19" s="19" t="str">
        <x:v>V1</x:v>
      </x:c>
      <x:c r="I19" s="19" t="str">
        <x:v>NOT_EXPOSED_IN_REPORT</x:v>
      </x:c>
      <x:c r="J19" s="19" t="str">
        <x:v>S1842-LEICHHARDT-L</x:v>
      </x:c>
      <x:c r="K19" s="31" t="str">
        <x:v>RECONSTRUCTED_FROM_REPORT; Fear of Temperature_ Stratified Lexical Expansion, Voice Mapping, and Semantic-Relational Pre-Valida.pdf; p.6; project candidate FT-SEED-R1B-P-1842-15; original visible ID not available</x:v>
      </x:c>
      <x:c r="L19" s="31" t="str">
        <x:v>SUCCEEDED_REUSED_BASELINE</x:v>
      </x:c>
      <x:c r="M19" s="31" t="str">
        <x:v>climate</x:v>
      </x:c>
      <x:c r="N19" s="31" t="str">
        <x:v>EXACT</x:v>
      </x:c>
      <x:c r="O19" s="19" t="str">
        <x:v>1842</x:v>
      </x:c>
      <x:c r="P19" s="19" t="str">
        <x:v>2022</x:v>
      </x:c>
      <x:c r="Q19" s="34" t="n">
        <x:v>0.00006484931783038578</x:v>
      </x:c>
      <x:c r="R19" s="34" t="n">
        <x:v>0.00003055828983633546</x:v>
      </x:c>
      <x:c r="S19" s="34" t="n">
        <x:v>0.000027172661063445958</x:v>
      </x:c>
      <x:c r="T19" s="34" t="n">
        <x:v>0.00006484931783038578</x:v>
      </x:c>
      <x:c r="U19" s="31" t="str">
        <x:v>Candidate surface form is directly representable in the public Ngram interface. Complete 1842–2022 unsmoothed series reused from the audited quantitative-v0.1 baseline.</x:v>
      </x:c>
      <x:c r="V19" s="31" t="str">
        <x:v>DIRECT_HEADWORD</x:v>
      </x:c>
      <x:c r="W19" s="19" t="str">
        <x:v>Webster's Revised Unabridged Dictionary (1913 public-domain headword index)</x:v>
      </x:c>
      <x:c r="X19" s="31" t="str">
        <x:v>A regional or prevailing atmospheric condition understood through meteorological observation, not the modern issue label 'climate change'.</x:v>
      </x:c>
      <x:c r="Y19" s="31" t="str">
        <x:v>Modern climate commonly denotes long-term statistical weather conditions or the coupled climate system; it does not by itself mean the modern issue label 'climate change'.</x:v>
      </x:c>
      <x:c r="Z19" s="31" t="str">
        <x:v>PARTIAL</x:v>
      </x:c>
      <x:c r="AA19" s="19" t="str">
        <x:v>Historical meteorological climate and modern climate-system/change senses overlap only partly; business/social metaphor senses are excluded.</x:v>
      </x:c>
      <x:c r="AB19" s="31" t="str">
        <x:v>Secondary: Component headword checked: climate.; historical: Anchor-period research source/context; Webster 1913 stable component URL recorded but automated page retrieval was unavailable; source: https://websters1913.timcieplowski.com/word/climate/; https://api.dictionaryapi.dev/api/v2/entries/en/climate</x:v>
      </x:c>
      <x:c r="AC19" s="19" t="str">
        <x:v>INTERNET_ARCHIVE_METADATA_TEXT_ITEM_COUNT</x:v>
      </x:c>
      <x:c r="AD19" s="19" t="str">
        <x:v>"climate" AND mediatype:texts</x:v>
      </x:c>
      <x:c r="AE19" s="31" t="str">
        <x:v>EXACT_PHRASE</x:v>
      </x:c>
      <x:c r="AF19" s="31" t="str">
        <x:v>COMPLETED_NONZERO</x:v>
      </x:c>
      <x:c r="AG19" s="28" t="n">
        <x:v>76386</x:v>
      </x:c>
      <x:c r="AH19" s="19" t="str">
        <x:v>140</x:v>
      </x:c>
      <x:c r="AI19" s="19" t="str">
        <x:v>2026-08-26</x:v>
      </x:c>
      <x:c r="AJ19" s="31" t="str">
        <x:v>Metadata text-item count; not a full-text lexical frequency. Secondary metric: Scholarly work discoverability count over OpenAlex search fields; not a corpus word frequency.</x:v>
      </x:c>
      <x:c r="AK19" s="31" t="str">
        <x:v>FULLY_COVERED</x:v>
      </x:c>
      <x:c r="AL19" s="19" t="str">
        <x:v>PENDING_SOURCE_REVIEW</x:v>
      </x:c>
      <x:c r="AM19" s="20" t="str">
        <x:v>MEDIUM</x:v>
      </x:c>
    </x:row>
    <x:row r="20" ht="34" customHeight="1">
      <x:c r="A20" s="25" t="str">
        <x:v>FT-SEED-R1B-P-1842-16</x:v>
      </x:c>
      <x:c r="B20" s="19" t="str">
        <x:v>1842</x:v>
      </x:c>
      <x:c r="C20" s="28" t="n">
        <x:v>16</x:v>
      </x:c>
      <x:c r="D20" s="31" t="str">
        <x:v>sun's heat</x:v>
      </x:c>
      <x:c r="E20" s="31" t="str">
        <x:v>physical heat source / state</x:v>
      </x:c>
      <x:c r="F20" s="19" t="str">
        <x:v>heat</x:v>
      </x:c>
      <x:c r="G20" s="19" t="str">
        <x:v>A</x:v>
      </x:c>
      <x:c r="H20" s="19" t="str">
        <x:v>V1</x:v>
      </x:c>
      <x:c r="I20" s="19" t="str">
        <x:v>NOT_EXPOSED_IN_REPORT</x:v>
      </x:c>
      <x:c r="J20" s="19" t="str">
        <x:v>S1842-ROSS</x:v>
      </x:c>
      <x:c r="K20" s="31" t="str">
        <x:v>RECONSTRUCTED_FROM_REPORT; Fear of Temperature_ Stratified Lexical Expansion, Voice Mapping, and Semantic-Relational Pre-Valida.pdf; p.6; project candidate FT-SEED-R1B-P-1842-16; original visible ID not available</x:v>
      </x:c>
      <x:c r="L20" s="31" t="str">
        <x:v>ZERO_RESPONSE_REUSED_BASELINE</x:v>
      </x:c>
      <x:c r="M20" s="31" t="str">
        <x:v>sun's heat</x:v>
      </x:c>
      <x:c r="N20" s="31" t="str">
        <x:v>EXACT</x:v>
      </x:c>
      <x:c r="O20" s="19" t="str">
        <x:v>NOT_APPLICABLE</x:v>
      </x:c>
      <x:c r="P20" s="19" t="str">
        <x:v>NOT_APPLICABLE</x:v>
      </x:c>
      <x:c r="Q20" s="34" t="str">
        <x:v>NOT_APPLICABLE</x:v>
      </x:c>
      <x:c r="R20" s="34" t="str">
        <x:v>NOT_APPLICABLE</x:v>
      </x:c>
      <x:c r="S20" s="34" t="str">
        <x:v>NOT_APPLICABLE</x:v>
      </x:c>
      <x:c r="T20" s="34" t="str">
        <x:v>NOT_APPLICABLE</x:v>
      </x:c>
      <x:c r="U20" s="31" t="str">
        <x:v>Candidate surface form is directly representable in the public Ngram interface. The audited executable rule returned an empty Ngram payload; retained as source/query zero-response evidence, not historical absence.</x:v>
      </x:c>
      <x:c r="V20" s="31" t="str">
        <x:v>NO_STANDALONE_HEADWORD</x:v>
      </x:c>
      <x:c r="W20" s="19" t="str">
        <x:v>Component lexical analysis plus anchor-source contextual meaning</x:v>
      </x:c>
      <x:c r="X20" s="31" t="str">
        <x:v>Physical or embodied heat in a local meteorological, material, or bodily-exposure sense.</x:v>
      </x:c>
      <x:c r="Y20" s="31" t="str">
        <x:v>Heat as a physical source, state, or thermal condition; the candidate is interpreted in its documented anchor and voice context.</x:v>
      </x:c>
      <x:c r="Z20" s="31" t="str">
        <x:v>STRONG</x:v>
      </x:c>
      <x:c r="AA20" s="19" t="str">
        <x:v>Heat may refer to cooking, machinery, emotion, contest, or political metaphor; those senses are not automatically relevant.</x:v>
      </x:c>
      <x:c r="AB2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https://api.dictionaryapi.dev/api/v2/entries/en/sun%27s%20heat; https://websters1913.timcieplowski.com/word/heat/</x:v>
      </x:c>
      <x:c r="AC20" s="19" t="str">
        <x:v>INTERNET_ARCHIVE_METADATA_TEXT_ITEM_COUNT</x:v>
      </x:c>
      <x:c r="AD20" s="19" t="str">
        <x:v>"sun's heat" AND mediatype:texts</x:v>
      </x:c>
      <x:c r="AE20" s="31" t="str">
        <x:v>EXACT_PHRASE</x:v>
      </x:c>
      <x:c r="AF20" s="31" t="str">
        <x:v>COMPLETED_NONZERO</x:v>
      </x:c>
      <x:c r="AG20" s="28" t="n">
        <x:v>42</x:v>
      </x:c>
      <x:c r="AH20" s="19" t="str">
        <x:v>0</x:v>
      </x:c>
      <x:c r="AI20" s="19" t="str">
        <x:v>2026-08-26</x:v>
      </x:c>
      <x:c r="AJ20" s="31" t="str">
        <x:v>Metadata text-item count; not a full-text lexical frequency. Secondary metric: NOT_RUN_OPENALEX_DAILY_BUDGET_EXHAUSTED: shared provider response retained; no count fabricated.</x:v>
      </x:c>
      <x:c r="AK20" s="31" t="str">
        <x:v>FULLY_COVERED</x:v>
      </x:c>
      <x:c r="AL20" s="19" t="str">
        <x:v>PENDING_SOURCE_REVIEW</x:v>
      </x:c>
      <x:c r="AM20" s="20" t="str">
        <x:v>MEDIUM</x:v>
      </x:c>
    </x:row>
    <x:row r="21" ht="34" customHeight="1">
      <x:c r="A21" s="25" t="str">
        <x:v>FT-SEED-R1B-P-1842-17</x:v>
      </x:c>
      <x:c r="B21" s="19" t="str">
        <x:v>1842</x:v>
      </x:c>
      <x:c r="C21" s="28" t="n">
        <x:v>17</x:v>
      </x:c>
      <x:c r="D21" s="31" t="str">
        <x:v>radiation of the heat</x:v>
      </x:c>
      <x:c r="E21" s="31" t="str">
        <x:v>physical heat source / state</x:v>
      </x:c>
      <x:c r="F21" s="19" t="str">
        <x:v>heat</x:v>
      </x:c>
      <x:c r="G21" s="19" t="str">
        <x:v>B</x:v>
      </x:c>
      <x:c r="H21" s="19" t="str">
        <x:v>V1</x:v>
      </x:c>
      <x:c r="I21" s="19" t="str">
        <x:v>NOT_EXPOSED_IN_REPORT</x:v>
      </x:c>
      <x:c r="J21" s="19" t="str">
        <x:v>S1842-ROSS</x:v>
      </x:c>
      <x:c r="K21" s="31" t="str">
        <x:v>RECONSTRUCTED_FROM_REPORT; Fear of Temperature_ Stratified Lexical Expansion, Voice Mapping, and Semantic-Relational Pre-Valida.pdf; p.6; project candidate FT-SEED-R1B-P-1842-17; original visible ID not available</x:v>
      </x:c>
      <x:c r="L21" s="31" t="str">
        <x:v>SUCCEEDED_REUSED_BASELINE</x:v>
      </x:c>
      <x:c r="M21" s="31" t="str">
        <x:v>radiation of the heat</x:v>
      </x:c>
      <x:c r="N21" s="31" t="str">
        <x:v>EXACT</x:v>
      </x:c>
      <x:c r="O21" s="19" t="str">
        <x:v>1842</x:v>
      </x:c>
      <x:c r="P21" s="19" t="str">
        <x:v>1850</x:v>
      </x:c>
      <x:c r="Q21" s="34" t="n">
        <x:v>2.7596689378128758e-8</x:v>
      </x:c>
      <x:c r="R21" s="34" t="n">
        <x:v>5.867545560533927e-9</x:v>
      </x:c>
      <x:c r="S21" s="34" t="n">
        <x:v>6.7355773181176914e-9</x:v>
      </x:c>
      <x:c r="T21" s="34" t="n">
        <x:v>5.081168263920688e-10</x:v>
      </x:c>
      <x:c r="U21" s="31" t="str">
        <x:v>Candidate surface form is directly representable in the public Ngram interface. Complete 1842–2022 unsmoothed series reused from the audited quantitative-v0.1 baseline.</x:v>
      </x:c>
      <x:c r="V21" s="31" t="str">
        <x:v>NO_STANDALONE_HEADWORD</x:v>
      </x:c>
      <x:c r="W21" s="19" t="str">
        <x:v>Component lexical analysis plus anchor-source contextual meaning</x:v>
      </x:c>
      <x:c r="X21" s="31" t="str">
        <x:v>A climatic, atmospheric, meteorological, or causal-science sense in the documented anchor context.</x:v>
      </x:c>
      <x:c r="Y21" s="31" t="str">
        <x:v>Heat as a physical source, state, or thermal condition; the candidate is interpreted in its documented anchor and voice context.</x:v>
      </x:c>
      <x:c r="Z21" s="31" t="str">
        <x:v>STRONG</x:v>
      </x:c>
      <x:c r="AA21" s="19" t="str">
        <x:v>The surface form may realize multiple senses; candidate meaning remains anchored to the report-visible source context.</x:v>
      </x:c>
      <x:c r="AB21"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https://api.dictionaryapi.dev/api/v2/entries/en/radiation%20of%20the%20heat; https://websters1913.timcieplowski.com/word/heat/</x:v>
      </x:c>
      <x:c r="AC21" s="19" t="str">
        <x:v>INTERNET_ARCHIVE_METADATA_TEXT_ITEM_COUNT</x:v>
      </x:c>
      <x:c r="AD21" s="19" t="str">
        <x:v>"radiation of the heat" AND mediatype:texts</x:v>
      </x:c>
      <x:c r="AE21" s="31" t="str">
        <x:v>EXACT_PHRASE</x:v>
      </x:c>
      <x:c r="AF21" s="31" t="str">
        <x:v>COMPLETED_NONZERO</x:v>
      </x:c>
      <x:c r="AG21" s="28" t="n">
        <x:v>1</x:v>
      </x:c>
      <x:c r="AH21" s="19" t="str">
        <x:v>0</x:v>
      </x:c>
      <x:c r="AI21" s="19" t="str">
        <x:v>2026-08-26</x:v>
      </x:c>
      <x:c r="AJ21" s="31" t="str">
        <x:v>Metadata text-item count; not a full-text lexical frequency. Secondary metric: NOT_RUN_OPENALEX_DAILY_BUDGET_EXHAUSTED: shared provider response retained; no count fabricated.</x:v>
      </x:c>
      <x:c r="AK21" s="31" t="str">
        <x:v>FULLY_COVERED</x:v>
      </x:c>
      <x:c r="AL21" s="19" t="str">
        <x:v>PENDING_SOURCE_REVIEW</x:v>
      </x:c>
      <x:c r="AM21" s="20" t="str">
        <x:v>MEDIUM</x:v>
      </x:c>
    </x:row>
    <x:row r="22" ht="34" customHeight="1">
      <x:c r="A22" s="25" t="str">
        <x:v>FT-SEED-R1B-P-1842-18</x:v>
      </x:c>
      <x:c r="B22" s="19" t="str">
        <x:v>1842</x:v>
      </x:c>
      <x:c r="C22" s="28" t="n">
        <x:v>18</x:v>
      </x:c>
      <x:c r="D22" s="31" t="str">
        <x:v>changes of temperature</x:v>
      </x:c>
      <x:c r="E22" s="31" t="str">
        <x:v>local / instrumental temperature</x:v>
      </x:c>
      <x:c r="F22" s="19" t="str">
        <x:v>temperature_threshold</x:v>
      </x:c>
      <x:c r="G22" s="19" t="str">
        <x:v>A</x:v>
      </x:c>
      <x:c r="H22" s="19" t="str">
        <x:v>V2</x:v>
      </x:c>
      <x:c r="I22" s="19" t="str">
        <x:v>NOT_EXPOSED_IN_REPORT</x:v>
      </x:c>
      <x:c r="J22" s="19" t="str">
        <x:v>S1842-CHADWICK</x:v>
      </x:c>
      <x:c r="K22" s="31" t="str">
        <x:v>RECONSTRUCTED_FROM_REPORT; Fear of Temperature_ Stratified Lexical Expansion, Voice Mapping, and Semantic-Relational Pre-Valida.pdf; p.7; project candidate FT-SEED-R1B-P-1842-18; original visible ID not available</x:v>
      </x:c>
      <x:c r="L22" s="31" t="str">
        <x:v>SUCCEEDED_REUSED_BASELINE</x:v>
      </x:c>
      <x:c r="M22" s="31" t="str">
        <x:v>changes of temperature</x:v>
      </x:c>
      <x:c r="N22" s="31" t="str">
        <x:v>EXACT</x:v>
      </x:c>
      <x:c r="O22" s="19" t="str">
        <x:v>1842</x:v>
      </x:c>
      <x:c r="P22" s="19" t="str">
        <x:v>1884</x:v>
      </x:c>
      <x:c r="Q22" s="34" t="n">
        <x:v>9.022425947469159e-7</x:v>
      </x:c>
      <x:c r="R22" s="34" t="n">
        <x:v>6.602953730450167e-7</x:v>
      </x:c>
      <x:c r="S22" s="34" t="n">
        <x:v>4.767976034547594e-7</x:v>
      </x:c>
      <x:c r="T22" s="34" t="n">
        <x:v>6.394769389017618e-8</x:v>
      </x:c>
      <x:c r="U22" s="31" t="str">
        <x:v>Candidate surface form is directly representable in the public Ngram interface. Complete 1842–2022 unsmoothed series reused from the audited quantitative-v0.1 baseline.</x:v>
      </x:c>
      <x:c r="V22" s="31" t="str">
        <x:v>NO_STANDALONE_HEADWORD</x:v>
      </x:c>
      <x:c r="W22" s="19" t="str">
        <x:v>Component lexical analysis plus anchor-source contextual meaning</x:v>
      </x:c>
      <x:c r="X22" s="31" t="str">
        <x:v>A physical temperature, warming, heat, or measurement sense in the documented anchor context.</x:v>
      </x:c>
      <x:c r="Y22" s="31" t="str">
        <x:v>A local or instrument-specific temperature reading; the candidate is interpreted in its documented anchor and voice context.</x:v>
      </x:c>
      <x:c r="Z22" s="31" t="str">
        <x:v>STRONG</x:v>
      </x:c>
      <x:c r="AA22" s="19" t="str">
        <x:v>The surface form may realize multiple senses; candidate meaning remains anchored to the report-visible source context.</x:v>
      </x:c>
      <x:c r="AB22"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https://api.dictionaryapi.dev/api/v2/entries/en/changes%20of%20temperature; https://websters1913.timcieplowski.com/word/temperature/</x:v>
      </x:c>
      <x:c r="AC22" s="19" t="str">
        <x:v>INTERNET_ARCHIVE_METADATA_TEXT_ITEM_COUNT</x:v>
      </x:c>
      <x:c r="AD22" s="19" t="str">
        <x:v>"changes of temperature" AND mediatype:texts</x:v>
      </x:c>
      <x:c r="AE22" s="31" t="str">
        <x:v>EXACT_PHRASE</x:v>
      </x:c>
      <x:c r="AF22" s="31" t="str">
        <x:v>COMPLETED_NONZERO</x:v>
      </x:c>
      <x:c r="AG22" s="28" t="n">
        <x:v>75</x:v>
      </x:c>
      <x:c r="AH22" s="19" t="str">
        <x:v>4</x:v>
      </x:c>
      <x:c r="AI22" s="19" t="str">
        <x:v>2026-08-26</x:v>
      </x:c>
      <x:c r="AJ22" s="31" t="str">
        <x:v>Metadata text-item count; not a full-text lexical frequency. Secondary metric: Scholarly work discoverability count over OpenAlex search fields; not a corpus word frequency.</x:v>
      </x:c>
      <x:c r="AK22" s="31" t="str">
        <x:v>FULLY_COVERED</x:v>
      </x:c>
      <x:c r="AL22" s="19" t="str">
        <x:v>PENDING_SOURCE_REVIEW</x:v>
      </x:c>
      <x:c r="AM22" s="20" t="str">
        <x:v>MEDIUM</x:v>
      </x:c>
    </x:row>
    <x:row r="23" ht="34" customHeight="1">
      <x:c r="A23" s="25" t="str">
        <x:v>FT-SEED-R1B-P-1842-19</x:v>
      </x:c>
      <x:c r="B23" s="19" t="str">
        <x:v>1842</x:v>
      </x:c>
      <x:c r="C23" s="28" t="n">
        <x:v>19</x:v>
      </x:c>
      <x:c r="D23" s="31" t="str">
        <x:v>excessive heat</x:v>
      </x:c>
      <x:c r="E23" s="31" t="str">
        <x:v>extreme-heat hazard</x:v>
      </x:c>
      <x:c r="F23" s="19" t="str">
        <x:v>heat</x:v>
      </x:c>
      <x:c r="G23" s="19" t="str">
        <x:v>D</x:v>
      </x:c>
      <x:c r="H23" s="19" t="str">
        <x:v>V5</x:v>
      </x:c>
      <x:c r="I23" s="19" t="str">
        <x:v>NOT_EXPOSED_IN_REPORT</x:v>
      </x:c>
      <x:c r="J23" s="19" t="str">
        <x:v>S1842-CHADWICK</x:v>
      </x:c>
      <x:c r="K23" s="31" t="str">
        <x:v>RECONSTRUCTED_FROM_REPORT; Fear of Temperature_ Stratified Lexical Expansion, Voice Mapping, and Semantic-Relational Pre-Valida.pdf; p.7; project candidate FT-SEED-R1B-P-1842-19; original visible ID not available</x:v>
      </x:c>
      <x:c r="L23" s="31" t="str">
        <x:v>SUCCEEDED_REUSED_BASELINE</x:v>
      </x:c>
      <x:c r="M23" s="31" t="str">
        <x:v>excessive heat</x:v>
      </x:c>
      <x:c r="N23" s="31" t="str">
        <x:v>EXACT</x:v>
      </x:c>
      <x:c r="O23" s="19" t="str">
        <x:v>1842</x:v>
      </x:c>
      <x:c r="P23" s="19" t="str">
        <x:v>1842</x:v>
      </x:c>
      <x:c r="Q23" s="34" t="n">
        <x:v>4.7277645354171227e-7</x:v>
      </x:c>
      <x:c r="R23" s="34" t="n">
        <x:v>4.7277645354171227e-7</x:v>
      </x:c>
      <x:c r="S23" s="34" t="n">
        <x:v>4.305090330891659e-7</x:v>
      </x:c>
      <x:c r="T23" s="34" t="n">
        <x:v>1.6687275639082344e-7</x:v>
      </x:c>
      <x:c r="U23" s="31" t="str">
        <x:v>Candidate surface form is directly representable in the public Ngram interface. Complete 1842–2022 unsmoothed series reused from the audited quantitative-v0.1 baseline.</x:v>
      </x:c>
      <x:c r="V23" s="31" t="str">
        <x:v>NO_STANDALONE_HEADWORD</x:v>
      </x:c>
      <x:c r="W23" s="19" t="str">
        <x:v>Component lexical analysis plus anchor-source contextual meaning</x:v>
      </x:c>
      <x:c r="X23" s="31" t="str">
        <x:v>Physical or embodied heat in a local meteorological, material, or bodily-exposure sense.</x:v>
      </x:c>
      <x:c r="Y23" s="31" t="str">
        <x:v>Extreme heat framed as a hazard with health or social consequences; the candidate is interpreted in its documented anchor and voice context.</x:v>
      </x:c>
      <x:c r="Z23" s="31" t="str">
        <x:v>STRONG</x:v>
      </x:c>
      <x:c r="AA23" s="19" t="str">
        <x:v>Heat may refer to cooking, machinery, emotion, contest, or political metaphor; those senses are not automatically relevant.</x:v>
      </x:c>
      <x:c r="AB23"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https://api.dictionaryapi.dev/api/v2/entries/en/excessive%20heat; https://websters1913.timcieplowski.com/word/heat/</x:v>
      </x:c>
      <x:c r="AC23" s="19" t="str">
        <x:v>INTERNET_ARCHIVE_METADATA_TEXT_ITEM_COUNT</x:v>
      </x:c>
      <x:c r="AD23" s="19" t="str">
        <x:v>"excessive heat" AND mediatype:texts</x:v>
      </x:c>
      <x:c r="AE23" s="31" t="str">
        <x:v>EXACT_PHRASE</x:v>
      </x:c>
      <x:c r="AF23" s="31" t="str">
        <x:v>COMPLETED_NONZERO</x:v>
      </x:c>
      <x:c r="AG23" s="28" t="n">
        <x:v>165</x:v>
      </x:c>
      <x:c r="AH23" s="19" t="str">
        <x:v>0</x:v>
      </x:c>
      <x:c r="AI23" s="19" t="str">
        <x:v>2026-08-26</x:v>
      </x:c>
      <x:c r="AJ23" s="31" t="str">
        <x:v>Metadata text-item count; not a full-text lexical frequency. Secondary metric: NOT_RUN_OPENALEX_DAILY_BUDGET_EXHAUSTED: shared provider response retained; no count fabricated.</x:v>
      </x:c>
      <x:c r="AK23" s="31" t="str">
        <x:v>FULLY_COVERED</x:v>
      </x:c>
      <x:c r="AL23" s="19" t="str">
        <x:v>PENDING_SOURCE_REVIEW</x:v>
      </x:c>
      <x:c r="AM23" s="20" t="str">
        <x:v>MEDIUM</x:v>
      </x:c>
    </x:row>
    <x:row r="24" ht="34" customHeight="1">
      <x:c r="A24" s="25" t="str">
        <x:v>FT-SEED-R1B-P-1842-20</x:v>
      </x:c>
      <x:c r="B24" s="19" t="str">
        <x:v>1842</x:v>
      </x:c>
      <x:c r="C24" s="28" t="n">
        <x:v>20</x:v>
      </x:c>
      <x:c r="D24" s="31" t="str">
        <x:v>heat of the men</x:v>
      </x:c>
      <x:c r="E24" s="31" t="str">
        <x:v>embodied heat exposure</x:v>
      </x:c>
      <x:c r="F24" s="19" t="str">
        <x:v>heat</x:v>
      </x:c>
      <x:c r="G24" s="19" t="str">
        <x:v>A</x:v>
      </x:c>
      <x:c r="H24" s="19" t="str">
        <x:v>V5</x:v>
      </x:c>
      <x:c r="I24" s="19" t="str">
        <x:v>NOT_EXPOSED_IN_REPORT</x:v>
      </x:c>
      <x:c r="J24" s="19" t="str">
        <x:v>S1842-CHADWICK</x:v>
      </x:c>
      <x:c r="K24" s="31" t="str">
        <x:v>RECONSTRUCTED_FROM_REPORT; Fear of Temperature_ Stratified Lexical Expansion, Voice Mapping, and Semantic-Relational Pre-Valida.pdf; p.7; project candidate FT-SEED-R1B-P-1842-20; original visible ID not available</x:v>
      </x:c>
      <x:c r="L24" s="31" t="str">
        <x:v>SUCCEEDED_REUSED_BASELINE</x:v>
      </x:c>
      <x:c r="M24" s="31" t="str">
        <x:v>heat of the men</x:v>
      </x:c>
      <x:c r="N24" s="31" t="str">
        <x:v>EXACT</x:v>
      </x:c>
      <x:c r="O24" s="19" t="str">
        <x:v>1842</x:v>
      </x:c>
      <x:c r="P24" s="19" t="str">
        <x:v>1864</x:v>
      </x:c>
      <x:c r="Q24" s="34" t="n">
        <x:v>7.825550873974407e-9</x:v>
      </x:c>
      <x:c r="R24" s="34" t="n">
        <x:v>7.334431950667408e-10</x:v>
      </x:c>
      <x:c r="S24" s="34" t="n">
        <x:v>2.6111680595519715e-9</x:v>
      </x:c>
      <x:c r="T24" s="34" t="n">
        <x:v>1.524350368153904e-10</x:v>
      </x:c>
      <x:c r="U24" s="31" t="str">
        <x:v>Candidate surface form is directly representable in the public Ngram interface. Complete 1842–2022 unsmoothed series reused from the audited quantitative-v0.1 baseline.</x:v>
      </x:c>
      <x:c r="V24" s="31" t="str">
        <x:v>NO_STANDALONE_HEADWORD</x:v>
      </x:c>
      <x:c r="W24" s="19" t="str">
        <x:v>Component lexical analysis plus anchor-source contextual meaning</x:v>
      </x:c>
      <x:c r="X24" s="31" t="str">
        <x:v>Physical or embodied heat in a local meteorological, material, or bodily-exposure sense.</x:v>
      </x:c>
      <x:c r="Y24" s="31" t="str">
        <x:v>Heat experienced by bodies in occupational, domestic, or environmental settings; the candidate is interpreted in its documented anchor and voice context.</x:v>
      </x:c>
      <x:c r="Z24" s="31" t="str">
        <x:v>STRONG</x:v>
      </x:c>
      <x:c r="AA24" s="19" t="str">
        <x:v>Heat may refer to cooking, machinery, emotion, contest, or political metaphor; those senses are not automatically relevant.</x:v>
      </x:c>
      <x:c r="AB24" s="31" t="str">
        <x:v>Secondary: Component headword checked: men.;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https://api.dictionaryapi.dev/api/v2/entries/en/heat%20of%20the%20men; https://websters1913.timcieplowski.com/word/men/</x:v>
      </x:c>
      <x:c r="AC24" s="19" t="str">
        <x:v>INTERNET_ARCHIVE_METADATA_TEXT_ITEM_COUNT</x:v>
      </x:c>
      <x:c r="AD24" s="19" t="str">
        <x:v>"heat of the men" AND mediatype:texts</x:v>
      </x:c>
      <x:c r="AE24" s="31" t="str">
        <x:v>EXACT_PHRASE</x:v>
      </x:c>
      <x:c r="AF24" s="31" t="str">
        <x:v>COMPLETED_ZERO</x:v>
      </x:c>
      <x:c r="AG24" s="28" t="n">
        <x:v>0</x:v>
      </x:c>
      <x:c r="AH24" s="19" t="str">
        <x:v>0</x:v>
      </x:c>
      <x:c r="AI24" s="19" t="str">
        <x:v>2026-08-26</x:v>
      </x:c>
      <x:c r="AJ24" s="31" t="str">
        <x:v>Metadata text-item count; not a full-text lexical frequency. Secondary metric: NOT_RUN_OPENALEX_DAILY_BUDGET_EXHAUSTED: shared provider response retained; no count fabricated.</x:v>
      </x:c>
      <x:c r="AK24" s="31" t="str">
        <x:v>FULLY_COVERED</x:v>
      </x:c>
      <x:c r="AL24" s="19" t="str">
        <x:v>PENDING_SOURCE_REVIEW</x:v>
      </x:c>
      <x:c r="AM24" s="20" t="str">
        <x:v>MEDIUM</x:v>
      </x:c>
    </x:row>
    <x:row r="25" ht="34" customHeight="1">
      <x:c r="A25" s="25" t="str">
        <x:v>FT-SEED-R1B-P-1842-21</x:v>
      </x:c>
      <x:c r="B25" s="19" t="str">
        <x:v>1842</x:v>
      </x:c>
      <x:c r="C25" s="28" t="n">
        <x:v>21</x:v>
      </x:c>
      <x:c r="D25" s="31" t="str">
        <x:v>heat of the irons</x:v>
      </x:c>
      <x:c r="E25" s="31" t="str">
        <x:v>physical heat source / state</x:v>
      </x:c>
      <x:c r="F25" s="19" t="str">
        <x:v>heat</x:v>
      </x:c>
      <x:c r="G25" s="19" t="str">
        <x:v>A</x:v>
      </x:c>
      <x:c r="H25" s="19" t="str">
        <x:v>V5</x:v>
      </x:c>
      <x:c r="I25" s="19" t="str">
        <x:v>NOT_EXPOSED_IN_REPORT</x:v>
      </x:c>
      <x:c r="J25" s="19" t="str">
        <x:v>S1842-CHADWICK</x:v>
      </x:c>
      <x:c r="K25" s="31" t="str">
        <x:v>RECONSTRUCTED_FROM_REPORT; Fear of Temperature_ Stratified Lexical Expansion, Voice Mapping, and Semantic-Relational Pre-Valida.pdf; p.6; project candidate FT-SEED-R1B-P-1842-21; original visible ID not available</x:v>
      </x:c>
      <x:c r="L25" s="31" t="str">
        <x:v>SUCCEEDED_REUSED_BASELINE</x:v>
      </x:c>
      <x:c r="M25" s="31" t="str">
        <x:v>heat of the irons</x:v>
      </x:c>
      <x:c r="N25" s="31" t="str">
        <x:v>EXACT</x:v>
      </x:c>
      <x:c r="O25" s="19" t="str">
        <x:v>1842</x:v>
      </x:c>
      <x:c r="P25" s="19" t="str">
        <x:v>1843</x:v>
      </x:c>
      <x:c r="Q25" s="34" t="n">
        <x:v>6.583029232842819e-9</x:v>
      </x:c>
      <x:c r="R25" s="34" t="n">
        <x:v>1.4668863901334817e-9</x:v>
      </x:c>
      <x:c r="S25" s="34" t="n">
        <x:v>4.098238637340046e-9</x:v>
      </x:c>
      <x:c r="T25" s="34" t="n">
        <x:v>1.016233625028562e-10</x:v>
      </x:c>
      <x:c r="U25" s="31" t="str">
        <x:v>Candidate surface form is directly representable in the public Ngram interface. Complete 1842–2022 unsmoothed series reused from the audited quantitative-v0.1 baseline.</x:v>
      </x:c>
      <x:c r="V25" s="31" t="str">
        <x:v>NO_STANDALONE_HEADWORD</x:v>
      </x:c>
      <x:c r="W25" s="19" t="str">
        <x:v>Component lexical analysis plus anchor-source contextual meaning</x:v>
      </x:c>
      <x:c r="X25" s="31" t="str">
        <x:v>Physical or embodied heat in a local meteorological, material, or bodily-exposure sense.</x:v>
      </x:c>
      <x:c r="Y25" s="31" t="str">
        <x:v>Heat as a physical source, state, or thermal condition; the candidate is interpreted in its documented anchor and voice context.</x:v>
      </x:c>
      <x:c r="Z25" s="31" t="str">
        <x:v>STRONG</x:v>
      </x:c>
      <x:c r="AA25" s="19" t="str">
        <x:v>Heat may refer to cooking, machinery, emotion, contest, or political metaphor; those senses are not automatically relevant.</x:v>
      </x:c>
      <x:c r="AB25" s="31" t="str">
        <x:v>Secondary: Component headword checked: irons.;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https://api.dictionaryapi.dev/api/v2/entries/en/heat%20of%20the%20irons; https://websters1913.timcieplowski.com/word/irons/</x:v>
      </x:c>
      <x:c r="AC25" s="19" t="str">
        <x:v>INTERNET_ARCHIVE_METADATA_TEXT_ITEM_COUNT</x:v>
      </x:c>
      <x:c r="AD25" s="19" t="str">
        <x:v>"heat of the irons" AND mediatype:texts</x:v>
      </x:c>
      <x:c r="AE25" s="31" t="str">
        <x:v>EXACT_PHRASE</x:v>
      </x:c>
      <x:c r="AF25" s="31" t="str">
        <x:v>COMPLETED_ZERO</x:v>
      </x:c>
      <x:c r="AG25" s="28" t="n">
        <x:v>0</x:v>
      </x:c>
      <x:c r="AH25" s="19" t="str">
        <x:v>0</x:v>
      </x:c>
      <x:c r="AI25" s="19" t="str">
        <x:v>2026-08-26</x:v>
      </x:c>
      <x:c r="AJ25" s="31" t="str">
        <x:v>Metadata text-item count; not a full-text lexical frequency. Secondary metric: NOT_RUN_OPENALEX_DAILY_BUDGET_EXHAUSTED: shared provider response retained; no count fabricated.</x:v>
      </x:c>
      <x:c r="AK25" s="31" t="str">
        <x:v>FULLY_COVERED</x:v>
      </x:c>
      <x:c r="AL25" s="19" t="str">
        <x:v>PENDING_SOURCE_REVIEW</x:v>
      </x:c>
      <x:c r="AM25" s="20" t="str">
        <x:v>MEDIUM</x:v>
      </x:c>
    </x:row>
    <x:row r="26" ht="34" customHeight="1">
      <x:c r="A26" s="25" t="str">
        <x:v>FT-SEED-R1B-P-1842-22</x:v>
      </x:c>
      <x:c r="B26" s="19" t="str">
        <x:v>1842</x:v>
      </x:c>
      <x:c r="C26" s="28" t="n">
        <x:v>22</x:v>
      </x:c>
      <x:c r="D26" s="31" t="str">
        <x:v>most suffocating</x:v>
      </x:c>
      <x:c r="E26" s="31" t="str">
        <x:v>generic damage</x:v>
      </x:c>
      <x:c r="F26" s="19" t="str">
        <x:v>harm_loss_consequences</x:v>
      </x:c>
      <x:c r="G26" s="19" t="str">
        <x:v>D</x:v>
      </x:c>
      <x:c r="H26" s="19" t="str">
        <x:v>V5</x:v>
      </x:c>
      <x:c r="I26" s="19" t="str">
        <x:v>NOT_EXPOSED_IN_REPORT</x:v>
      </x:c>
      <x:c r="J26" s="19" t="str">
        <x:v>S1842-CHADWICK</x:v>
      </x:c>
      <x:c r="K26" s="31" t="str">
        <x:v>RECONSTRUCTED_FROM_REPORT; Fear of Temperature_ Stratified Lexical Expansion, Voice Mapping, and Semantic-Relational Pre-Valida.pdf; p.6; project candidate FT-SEED-R1B-P-1842-22; original visible ID not available</x:v>
      </x:c>
      <x:c r="L26" s="31" t="str">
        <x:v>SUCCEEDED_NEW</x:v>
      </x:c>
      <x:c r="M26" s="31" t="str">
        <x:v>most suffocating</x:v>
      </x:c>
      <x:c r="N26" s="31" t="str">
        <x:v>EXACT</x:v>
      </x:c>
      <x:c r="O26" s="19" t="str">
        <x:v>1842</x:v>
      </x:c>
      <x:c r="P26" s="19" t="str">
        <x:v>1842</x:v>
      </x:c>
      <x:c r="Q26" s="34" t="n">
        <x:v>1.6769696742358065e-8</x:v>
      </x:c>
      <x:c r="R26" s="34" t="n">
        <x:v>1.6769696742358065e-8</x:v>
      </x:c>
      <x:c r="S26" s="34" t="n">
        <x:v>1.1918405373734231e-8</x:v>
      </x:c>
      <x:c r="T26" s="34" t="n">
        <x:v>1.946554029075287e-9</x:v>
      </x:c>
      <x:c r="U26" s="31" t="str">
        <x:v>Candidate surface form is directly representable in the public Ngram interface. New unsmoothed 1842–2022 series retrieved for the candidate audit.</x:v>
      </x:c>
      <x:c r="V26" s="31" t="str">
        <x:v>NO_STANDALONE_HEADWORD</x:v>
      </x:c>
      <x:c r="W26" s="19" t="str">
        <x:v>Component lexical analysis plus anchor-source contextual meaning</x:v>
      </x:c>
      <x:c r="X26" s="31" t="str">
        <x:v>A threat, risk, harm, severity, or consequence sense in the documented source; it is not automatically an emotion.</x:v>
      </x:c>
      <x:c r="Y26" s="31" t="str">
        <x:v>Generic material, ecological, or social damage; the candidate is interpreted in its documented anchor and voice context.</x:v>
      </x:c>
      <x:c r="Z26" s="31" t="str">
        <x:v>STRONG</x:v>
      </x:c>
      <x:c r="AA26" s="19" t="str">
        <x:v>The surface form may realize multiple senses; candidate meaning remains anchored to the report-visible source context.</x:v>
      </x:c>
      <x:c r="AB26" s="31" t="str">
        <x:v>Secondary: Component headword checked: suffocating.;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https://api.dictionaryapi.dev/api/v2/entries/en/most%20suffocating; https://websters1913.timcieplowski.com/word/suffocating/</x:v>
      </x:c>
      <x:c r="AC26" s="19" t="str">
        <x:v>INTERNET_ARCHIVE_METADATA_TEXT_ITEM_COUNT</x:v>
      </x:c>
      <x:c r="AD26" s="19" t="str">
        <x:v>"most suffocating" AND mediatype:texts</x:v>
      </x:c>
      <x:c r="AE26" s="31" t="str">
        <x:v>EXACT_PHRASE</x:v>
      </x:c>
      <x:c r="AF26" s="31" t="str">
        <x:v>COMPLETED_ZERO</x:v>
      </x:c>
      <x:c r="AG26" s="28" t="n">
        <x:v>0</x:v>
      </x:c>
      <x:c r="AH26" s="19" t="str">
        <x:v>0</x:v>
      </x:c>
      <x:c r="AI26" s="19" t="str">
        <x:v>2026-08-26</x:v>
      </x:c>
      <x:c r="AJ26" s="31" t="str">
        <x:v>Metadata text-item count; not a full-text lexical frequency. Secondary metric: NOT_RUN_OPENALEX_DAILY_BUDGET_EXHAUSTED: shared provider response retained; no count fabricated.</x:v>
      </x:c>
      <x:c r="AK26" s="31" t="str">
        <x:v>FULLY_COVERED</x:v>
      </x:c>
      <x:c r="AL26" s="19" t="str">
        <x:v>PENDING_SOURCE_REVIEW</x:v>
      </x:c>
      <x:c r="AM26" s="20" t="str">
        <x:v>MEDIUM</x:v>
      </x:c>
    </x:row>
    <x:row r="27" ht="34" customHeight="1">
      <x:c r="A27" s="25" t="str">
        <x:v>FT-SEED-R1B-P-1842-23</x:v>
      </x:c>
      <x:c r="B27" s="19" t="str">
        <x:v>1842</x:v>
      </x:c>
      <x:c r="C27" s="28" t="n">
        <x:v>23</x:v>
      </x:c>
      <x:c r="D27" s="31" t="str">
        <x:v>faint away</x:v>
      </x:c>
      <x:c r="E27" s="31" t="str">
        <x:v>generic damage</x:v>
      </x:c>
      <x:c r="F27" s="19" t="str">
        <x:v>harm_loss_consequences</x:v>
      </x:c>
      <x:c r="G27" s="19" t="str">
        <x:v>D</x:v>
      </x:c>
      <x:c r="H27" s="19" t="str">
        <x:v>V5</x:v>
      </x:c>
      <x:c r="I27" s="19" t="str">
        <x:v>NOT_EXPOSED_IN_REPORT</x:v>
      </x:c>
      <x:c r="J27" s="19" t="str">
        <x:v>S1842-CHADWICK</x:v>
      </x:c>
      <x:c r="K27" s="31" t="str">
        <x:v>RECONSTRUCTED_FROM_REPORT; Fear of Temperature_ Stratified Lexical Expansion, Voice Mapping, and Semantic-Relational Pre-Valida.pdf; p.6; project candidate FT-SEED-R1B-P-1842-23; original visible ID not available</x:v>
      </x:c>
      <x:c r="L27" s="31" t="str">
        <x:v>SUCCEEDED_NEW</x:v>
      </x:c>
      <x:c r="M27" s="31" t="str">
        <x:v>faint away</x:v>
      </x:c>
      <x:c r="N27" s="31" t="str">
        <x:v>EXACT</x:v>
      </x:c>
      <x:c r="O27" s="19" t="str">
        <x:v>1842</x:v>
      </x:c>
      <x:c r="P27" s="19" t="str">
        <x:v>1854</x:v>
      </x:c>
      <x:c r="Q27" s="34" t="n">
        <x:v>1.1952927536640345e-7</x:v>
      </x:c>
      <x:c r="R27" s="34" t="n">
        <x:v>7.030372728422662e-8</x:v>
      </x:c>
      <x:c r="S27" s="34" t="n">
        <x:v>7.127352741331805e-8</x:v>
      </x:c>
      <x:c r="T27" s="34" t="n">
        <x:v>2.092545509091437e-8</x:v>
      </x:c>
      <x:c r="U27" s="31" t="str">
        <x:v>Candidate surface form is directly representable in the public Ngram interface. New unsmoothed 1842–2022 series retrieved for the candidate audit.</x:v>
      </x:c>
      <x:c r="V27" s="31" t="str">
        <x:v>NO_STANDALONE_HEADWORD</x:v>
      </x:c>
      <x:c r="W27" s="19" t="str">
        <x:v>Component lexical analysis plus anchor-source contextual meaning</x:v>
      </x:c>
      <x:c r="X27" s="31" t="str">
        <x:v>A threat, risk, harm, severity, or consequence sense in the documented source; it is not automatically an emotion.</x:v>
      </x:c>
      <x:c r="Y27" s="31" t="str">
        <x:v>Generic material, ecological, or social damage; the candidate is interpreted in its documented anchor and voice context.</x:v>
      </x:c>
      <x:c r="Z27" s="31" t="str">
        <x:v>STRONG</x:v>
      </x:c>
      <x:c r="AA27" s="19" t="str">
        <x:v>The surface form may realize multiple senses; candidate meaning remains anchored to the report-visible source context.</x:v>
      </x:c>
      <x:c r="AB27" s="31" t="str">
        <x:v>Secondary: Component headword checked: away.;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https://api.dictionaryapi.dev/api/v2/entries/en/faint%20away; https://websters1913.timcieplowski.com/word/away/</x:v>
      </x:c>
      <x:c r="AC27" s="19" t="str">
        <x:v>INTERNET_ARCHIVE_METADATA_TEXT_ITEM_COUNT</x:v>
      </x:c>
      <x:c r="AD27" s="19" t="str">
        <x:v>"faint away" AND mediatype:texts</x:v>
      </x:c>
      <x:c r="AE27" s="31" t="str">
        <x:v>EXACT_PHRASE</x:v>
      </x:c>
      <x:c r="AF27" s="31" t="str">
        <x:v>COMPLETED_NONZERO</x:v>
      </x:c>
      <x:c r="AG27" s="28" t="n">
        <x:v>2</x:v>
      </x:c>
      <x:c r="AH27" s="19" t="str">
        <x:v>0</x:v>
      </x:c>
      <x:c r="AI27" s="19" t="str">
        <x:v>2026-08-26</x:v>
      </x:c>
      <x:c r="AJ27" s="31" t="str">
        <x:v>Metadata text-item count; not a full-text lexical frequency. Secondary metric: NOT_RUN_OPENALEX_DAILY_BUDGET_EXHAUSTED: shared provider response retained; no count fabricated.</x:v>
      </x:c>
      <x:c r="AK27" s="31" t="str">
        <x:v>FULLY_COVERED</x:v>
      </x:c>
      <x:c r="AL27" s="19" t="str">
        <x:v>PENDING_SOURCE_REVIEW</x:v>
      </x:c>
      <x:c r="AM27" s="20" t="str">
        <x:v>MEDIUM</x:v>
      </x:c>
    </x:row>
    <x:row r="28" ht="34" customHeight="1">
      <x:c r="A28" s="25" t="str">
        <x:v>FT-SEED-R1B-P-1842-24</x:v>
      </x:c>
      <x:c r="B28" s="19" t="str">
        <x:v>1842</x:v>
      </x:c>
      <x:c r="C28" s="28" t="n">
        <x:v>24</x:v>
      </x:c>
      <x:c r="D28" s="31" t="str">
        <x:v>perspiration</x:v>
      </x:c>
      <x:c r="E28" s="31" t="str">
        <x:v>generic damage</x:v>
      </x:c>
      <x:c r="F28" s="19" t="str">
        <x:v>harm_loss_consequences</x:v>
      </x:c>
      <x:c r="G28" s="19" t="str">
        <x:v>D</x:v>
      </x:c>
      <x:c r="H28" s="19" t="str">
        <x:v>V5</x:v>
      </x:c>
      <x:c r="I28" s="19" t="str">
        <x:v>NOT_EXPOSED_IN_REPORT</x:v>
      </x:c>
      <x:c r="J28" s="19" t="str">
        <x:v>S1842-CHADWICK</x:v>
      </x:c>
      <x:c r="K28" s="31" t="str">
        <x:v>RECONSTRUCTED_FROM_REPORT; Fear of Temperature_ Stratified Lexical Expansion, Voice Mapping, and Semantic-Relational Pre-Valida.pdf; p.6; project candidate FT-SEED-R1B-P-1842-24; original visible ID not available</x:v>
      </x:c>
      <x:c r="L28" s="31" t="str">
        <x:v>SUCCEEDED_NEW</x:v>
      </x:c>
      <x:c r="M28" s="31" t="str">
        <x:v>perspiration</x:v>
      </x:c>
      <x:c r="N28" s="31" t="str">
        <x:v>EXACT</x:v>
      </x:c>
      <x:c r="O28" s="19" t="str">
        <x:v>1842</x:v>
      </x:c>
      <x:c r="P28" s="19" t="str">
        <x:v>1850</x:v>
      </x:c>
      <x:c r="Q28" s="34" t="n">
        <x:v>0.000003977690766987507</x:v>
      </x:c>
      <x:c r="R28" s="34" t="n">
        <x:v>0.000003651665382520264</x:v>
      </x:c>
      <x:c r="S28" s="34" t="n">
        <x:v>0.000003703881898964312</x:v>
      </x:c>
      <x:c r="T28" s="34" t="n">
        <x:v>0.0000014236373244713718</x:v>
      </x:c>
      <x:c r="U28" s="31" t="str">
        <x:v>Candidate surface form is directly representable in the public Ngram interface. New unsmoothed 1842–2022 series retrieved for the candidate audit.</x:v>
      </x:c>
      <x:c r="V28" s="31" t="str">
        <x:v>DIRECT_HEADWORD</x:v>
      </x:c>
      <x:c r="W28" s="19" t="str">
        <x:v>Webster's Revised Unabridged Dictionary (1913 public-domain headword index)</x:v>
      </x:c>
      <x:c r="X28" s="31" t="str">
        <x:v>A threat, risk, harm, severity, or consequence sense in the documented source; it is not automatically an emotion.</x:v>
      </x:c>
      <x:c r="Y28" s="31" t="str">
        <x:v>Generic material, ecological, or social damage; the candidate is interpreted in its documented anchor and voice context.</x:v>
      </x:c>
      <x:c r="Z28" s="31" t="str">
        <x:v>STRONG</x:v>
      </x:c>
      <x:c r="AA28" s="19" t="str">
        <x:v>The surface form may realize multiple senses; candidate meaning remains anchored to the report-visible source context.</x:v>
      </x:c>
      <x:c r="AB28" s="31" t="str">
        <x:v>Secondary: Component headword checked: perspiration.; historical: Anchor-period research source/context; Webster 1913 stable component URL recorded but automated page retrieval was unavailable; source: https://websters1913.timcieplowski.com/word/perspiration/; https://api.dictionaryapi.dev/api/v2/entries/en/perspiration</x:v>
      </x:c>
      <x:c r="AC28" s="19" t="str">
        <x:v>INTERNET_ARCHIVE_METADATA_TEXT_ITEM_COUNT</x:v>
      </x:c>
      <x:c r="AD28" s="19" t="str">
        <x:v>"perspiration" AND mediatype:texts</x:v>
      </x:c>
      <x:c r="AE28" s="31" t="str">
        <x:v>EXACT_PHRASE</x:v>
      </x:c>
      <x:c r="AF28" s="31" t="str">
        <x:v>COMPLETED_NONZERO</x:v>
      </x:c>
      <x:c r="AG28" s="28" t="n">
        <x:v>551</x:v>
      </x:c>
      <x:c r="AH28" s="19" t="str">
        <x:v>2</x:v>
      </x:c>
      <x:c r="AI28" s="19" t="str">
        <x:v>2026-08-26</x:v>
      </x:c>
      <x:c r="AJ28" s="31" t="str">
        <x:v>Metadata text-item count; not a full-text lexical frequency. Secondary metric: NOT_RUN_OPENALEX_DAILY_BUDGET_EXHAUSTED: shared provider response retained; no count fabricated.</x:v>
      </x:c>
      <x:c r="AK28" s="31" t="str">
        <x:v>FULLY_COVERED</x:v>
      </x:c>
      <x:c r="AL28" s="19" t="str">
        <x:v>PENDING_SOURCE_REVIEW</x:v>
      </x:c>
      <x:c r="AM28" s="20" t="str">
        <x:v>MEDIUM</x:v>
      </x:c>
    </x:row>
    <x:row r="29" ht="34" customHeight="1">
      <x:c r="A29" s="25" t="str">
        <x:v>FT-SEED-R1B-P-1842-25</x:v>
      </x:c>
      <x:c r="B29" s="19" t="str">
        <x:v>1842</x:v>
      </x:c>
      <x:c r="C29" s="28" t="n">
        <x:v>25</x:v>
      </x:c>
      <x:c r="D29" s="31" t="str">
        <x:v>depressing effect</x:v>
      </x:c>
      <x:c r="E29" s="31" t="str">
        <x:v>historical depressing effect</x:v>
      </x:c>
      <x:c r="F29" s="19" t="str">
        <x:v>distress_depression</x:v>
      </x:c>
      <x:c r="G29" s="19" t="str">
        <x:v>C</x:v>
      </x:c>
      <x:c r="H29" s="19" t="str">
        <x:v>V5</x:v>
      </x:c>
      <x:c r="I29" s="19" t="str">
        <x:v>E3</x:v>
      </x:c>
      <x:c r="J29" s="19" t="str">
        <x:v>S1842-CHADWICK</x:v>
      </x:c>
      <x:c r="K29" s="31" t="str">
        <x:v>RECONSTRUCTED_FROM_REPORT; Fear of Temperature_ Stratified Lexical Expansion, Voice Mapping, and Semantic-Relational Pre-Valida.pdf; p.6; project candidate FT-SEED-R1B-P-1842-25; original visible ID not available</x:v>
      </x:c>
      <x:c r="L29" s="31" t="str">
        <x:v>SUCCEEDED_NEW</x:v>
      </x:c>
      <x:c r="M29" s="31" t="str">
        <x:v>depressing effect</x:v>
      </x:c>
      <x:c r="N29" s="31" t="str">
        <x:v>EXACT</x:v>
      </x:c>
      <x:c r="O29" s="19" t="str">
        <x:v>1842</x:v>
      </x:c>
      <x:c r="P29" s="19" t="str">
        <x:v>1932</x:v>
      </x:c>
      <x:c r="Q29" s="34" t="n">
        <x:v>4.1821657831286885e-7</x:v>
      </x:c>
      <x:c r="R29" s="34" t="n">
        <x:v>7.417365566197986e-8</x:v>
      </x:c>
      <x:c r="S29" s="34" t="n">
        <x:v>7.959695991210936e-8</x:v>
      </x:c>
      <x:c r="T29" s="34" t="n">
        <x:v>4.3930182047624555e-8</x:v>
      </x:c>
      <x:c r="U29" s="31" t="str">
        <x:v>Candidate surface form is directly representable in the public Ngram interface. New unsmoothed 1842–2022 series retrieved for the candidate audit.</x:v>
      </x:c>
      <x:c r="V29" s="31" t="str">
        <x:v>NO_STANDALONE_HEADWORD</x:v>
      </x:c>
      <x:c r="W29" s="19" t="str">
        <x:v>Component lexical analysis plus anchor-source contextual meaning</x:v>
      </x:c>
      <x:c r="X29" s="31" t="str">
        <x:v>A bodily or energetic lowering effect associated with oppressive heat; affect-adjacent but not a modern clinical-depression diagnosis.</x:v>
      </x:c>
      <x:c r="Y29" s="31" t="str">
        <x:v>Contemporary readers may hear a mood-lowering or clinical-psychology association; that reading must not be projected onto the 1842 bodily/energetic use.</x:v>
      </x:c>
      <x:c r="Z29" s="31" t="str">
        <x:v>DIFFERENT</x:v>
      </x:c>
      <x:c r="AA29" s="19" t="str">
        <x:v>'Depressing' historically permits lowering or weakening senses that differ from modern clinical depression.</x:v>
      </x:c>
      <x:c r="AB29" s="31" t="str">
        <x:v>Secondary: Component headword checked: effect.;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https://api.dictionaryapi.dev/api/v2/entries/en/depressing%20effect; https://websters1913.timcieplowski.com/word/effect/</x:v>
      </x:c>
      <x:c r="AC29" s="19" t="str">
        <x:v>INTERNET_ARCHIVE_METADATA_TEXT_ITEM_COUNT</x:v>
      </x:c>
      <x:c r="AD29" s="19" t="str">
        <x:v>"depressing effect" AND mediatype:texts</x:v>
      </x:c>
      <x:c r="AE29" s="31" t="str">
        <x:v>EXACT_PHRASE</x:v>
      </x:c>
      <x:c r="AF29" s="31" t="str">
        <x:v>COMPLETED_NONZERO</x:v>
      </x:c>
      <x:c r="AG29" s="28" t="n">
        <x:v>62</x:v>
      </x:c>
      <x:c r="AH29" s="19" t="str">
        <x:v>0</x:v>
      </x:c>
      <x:c r="AI29" s="19" t="str">
        <x:v>2026-08-26</x:v>
      </x:c>
      <x:c r="AJ29" s="31" t="str">
        <x:v>Metadata text-item count; not a full-text lexical frequency. Secondary metric: NOT_RUN_OPENALEX_DAILY_BUDGET_EXHAUSTED: shared provider response retained; no count fabricated.</x:v>
      </x:c>
      <x:c r="AK29" s="31" t="str">
        <x:v>FULLY_COVERED</x:v>
      </x:c>
      <x:c r="AL29" s="19" t="str">
        <x:v>NOT_APPLICABLE</x:v>
      </x:c>
      <x:c r="AM29" s="20" t="str">
        <x:v>HIGH</x:v>
      </x:c>
    </x:row>
    <x:row r="30" ht="34" customHeight="1">
      <x:c r="A30" s="25" t="str">
        <x:v>FT-SEED-R1B-P-1842-26</x:v>
      </x:c>
      <x:c r="B30" s="19" t="str">
        <x:v>1842</x:v>
      </x:c>
      <x:c r="C30" s="28" t="n">
        <x:v>26</x:v>
      </x:c>
      <x:c r="D30" s="31" t="str">
        <x:v>complain of the heat</x:v>
      </x:c>
      <x:c r="E30" s="31" t="str">
        <x:v>embodied heat exposure</x:v>
      </x:c>
      <x:c r="F30" s="19" t="str">
        <x:v>heat</x:v>
      </x:c>
      <x:c r="G30" s="19" t="str">
        <x:v>C</x:v>
      </x:c>
      <x:c r="H30" s="19" t="str">
        <x:v>V5</x:v>
      </x:c>
      <x:c r="I30" s="19" t="str">
        <x:v>NOT_EXPOSED_IN_REPORT</x:v>
      </x:c>
      <x:c r="J30" s="19" t="str">
        <x:v>S1842-CHADWICK</x:v>
      </x:c>
      <x:c r="K30" s="31" t="str">
        <x:v>RECONSTRUCTED_FROM_REPORT; Fear of Temperature_ Stratified Lexical Expansion, Voice Mapping, and Semantic-Relational Pre-Valida.pdf; p.6; project candidate FT-SEED-R1B-P-1842-26; original visible ID not available</x:v>
      </x:c>
      <x:c r="L30" s="31" t="str">
        <x:v>SUCCEEDED_NEW</x:v>
      </x:c>
      <x:c r="M30" s="31" t="str">
        <x:v>complain of the heat</x:v>
      </x:c>
      <x:c r="N30" s="31" t="str">
        <x:v>EXACT</x:v>
      </x:c>
      <x:c r="O30" s="19" t="str">
        <x:v>1842</x:v>
      </x:c>
      <x:c r="P30" s="19" t="str">
        <x:v>1843</x:v>
      </x:c>
      <x:c r="Q30" s="34" t="n">
        <x:v>1.5360400951180964e-8</x:v>
      </x:c>
      <x:c r="R30" s="34" t="n">
        <x:v>1.4668863457245607e-8</x:v>
      </x:c>
      <x:c r="S30" s="34" t="n">
        <x:v>1.0437534836427176e-8</x:v>
      </x:c>
      <x:c r="T30" s="34" t="n">
        <x:v>1.7275971764263431e-9</x:v>
      </x:c>
      <x:c r="U30" s="31" t="str">
        <x:v>Candidate surface form is directly representable in the public Ngram interface. New unsmoothed 1842–2022 series retrieved for the candidate audit.</x:v>
      </x:c>
      <x:c r="V30" s="31" t="str">
        <x:v>NO_STANDALONE_HEADWORD</x:v>
      </x:c>
      <x:c r="W30" s="19" t="str">
        <x:v>Component lexical analysis plus anchor-source contextual meaning</x:v>
      </x:c>
      <x:c r="X30" s="31" t="str">
        <x:v>The candidate's affective or evaluative sense as used by the documented speaker/instrument/research voice at the anchor.</x:v>
      </x:c>
      <x:c r="Y30" s="31" t="str">
        <x:v>Heat experienced by bodies in occupational, domestic, or environmental settings; the candidate is interpreted in its documented anchor and voice context.</x:v>
      </x:c>
      <x:c r="Z30" s="31" t="str">
        <x:v>STRONG</x:v>
      </x:c>
      <x:c r="AA30" s="19" t="str">
        <x:v>The surface form may realize multiple senses; candidate meaning remains anchored to the report-visible source context.</x:v>
      </x:c>
      <x:c r="AB30"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https://api.dictionaryapi.dev/api/v2/entries/en/complain%20of%20the%20heat; https://websters1913.timcieplowski.com/word/heat/</x:v>
      </x:c>
      <x:c r="AC30" s="19" t="str">
        <x:v>INTERNET_ARCHIVE_METADATA_TEXT_ITEM_COUNT</x:v>
      </x:c>
      <x:c r="AD30" s="19" t="str">
        <x:v>"complain of the heat" AND mediatype:texts</x:v>
      </x:c>
      <x:c r="AE30" s="31" t="str">
        <x:v>EXACT_PHRASE</x:v>
      </x:c>
      <x:c r="AF30" s="31" t="str">
        <x:v>COMPLETED_ZERO</x:v>
      </x:c>
      <x:c r="AG30" s="28" t="n">
        <x:v>0</x:v>
      </x:c>
      <x:c r="AH30" s="19" t="str">
        <x:v>0</x:v>
      </x:c>
      <x:c r="AI30" s="19" t="str">
        <x:v>2026-08-26</x:v>
      </x:c>
      <x:c r="AJ30" s="31" t="str">
        <x:v>Metadata text-item count; not a full-text lexical frequency. Secondary metric: Scholarly work discoverability count over OpenAlex search fields; not a corpus word frequency.</x:v>
      </x:c>
      <x:c r="AK30" s="31" t="str">
        <x:v>FULLY_COVERED</x:v>
      </x:c>
      <x:c r="AL30" s="19" t="str">
        <x:v>PENDING_SOURCE_REVIEW</x:v>
      </x:c>
      <x:c r="AM30" s="20" t="str">
        <x:v>MEDIUM</x:v>
      </x:c>
    </x:row>
    <x:row r="31" ht="34" customHeight="1">
      <x:c r="A31" s="25" t="str">
        <x:v>FT-SEED-R1B-P-1842-27</x:v>
      </x:c>
      <x:c r="B31" s="19" t="str">
        <x:v>1842</x:v>
      </x:c>
      <x:c r="C31" s="28" t="n">
        <x:v>27</x:v>
      </x:c>
      <x:c r="D31" s="31" t="str">
        <x:v>premature heat of the weather</x:v>
      </x:c>
      <x:c r="E31" s="31" t="str">
        <x:v>physical heat source / state</x:v>
      </x:c>
      <x:c r="F31" s="19" t="str">
        <x:v>heat</x:v>
      </x:c>
      <x:c r="G31" s="19" t="str">
        <x:v>A</x:v>
      </x:c>
      <x:c r="H31" s="19" t="str">
        <x:v>V5</x:v>
      </x:c>
      <x:c r="I31" s="19" t="str">
        <x:v>NOT_EXPOSED_IN_REPORT</x:v>
      </x:c>
      <x:c r="J31" s="19" t="str">
        <x:v>S1842-DICKENS</x:v>
      </x:c>
      <x:c r="K31" s="31" t="str">
        <x:v>RECONSTRUCTED_FROM_REPORT; Fear of Temperature_ Stratified Lexical Expansion, Voice Mapping, and Semantic-Relational Pre-Valida.pdf; p.6; project candidate FT-SEED-R1B-P-1842-27; original visible ID not available</x:v>
      </x:c>
      <x:c r="L31" s="31" t="str">
        <x:v>ZERO_RESPONSE_NEW</x:v>
      </x:c>
      <x:c r="M31" s="31" t="str">
        <x:v>premature heat of the weather</x:v>
      </x:c>
      <x:c r="N31" s="31" t="str">
        <x:v>EXACT</x:v>
      </x:c>
      <x:c r="O31" s="19" t="str">
        <x:v>NOT_APPLICABLE</x:v>
      </x:c>
      <x:c r="P31" s="19" t="str">
        <x:v>NOT_APPLICABLE</x:v>
      </x:c>
      <x:c r="Q31" s="34" t="str">
        <x:v>NOT_APPLICABLE</x:v>
      </x:c>
      <x:c r="R31" s="34" t="str">
        <x:v>NOT_APPLICABLE</x:v>
      </x:c>
      <x:c r="S31" s="34" t="str">
        <x:v>NOT_APPLICABLE</x:v>
      </x:c>
      <x:c r="T31" s="34" t="str">
        <x:v>NOT_APPLICABLE</x:v>
      </x:c>
      <x:c r="U31" s="31" t="str">
        <x:v>Candidate surface form is directly representable in the public Ngram interface. The public Ngram endpoint returned an empty list; retained without fabricating annual zero frequencies.</x:v>
      </x:c>
      <x:c r="V31" s="31" t="str">
        <x:v>NO_STANDALONE_HEADWORD</x:v>
      </x:c>
      <x:c r="W31" s="19" t="str">
        <x:v>Component lexical analysis plus anchor-source contextual meaning</x:v>
      </x:c>
      <x:c r="X31" s="31" t="str">
        <x:v>Physical or embodied heat in a local meteorological, material, or bodily-exposure sense.</x:v>
      </x:c>
      <x:c r="Y31" s="31" t="str">
        <x:v>Heat as a physical source, state, or thermal condition; the candidate is interpreted in its documented anchor and voice context.</x:v>
      </x:c>
      <x:c r="Z31" s="31" t="str">
        <x:v>STRONG</x:v>
      </x:c>
      <x:c r="AA31" s="19" t="str">
        <x:v>Heat may refer to cooking, machinery, emotion, contest, or political metaphor; those senses are not automatically relevant.</x:v>
      </x:c>
      <x:c r="AB31" s="31" t="str">
        <x:v>Secondary: Component headword checked: weather.; historical: Anchor-period research source/context; Webster 1913 stable component URL recorded but automated page retrieval was unavailable; source: Fear of Temperature_ Stratified Lexical Expansion, Voice Mapping, and Semantic-Relational Pre-Valida.pdf#page=6; https://api.dictionaryapi.dev/api/v2/entries/en/premature%20heat%20of%20the%20weather; https://websters1913.timcieplowski.com/word/weather/</x:v>
      </x:c>
      <x:c r="AC31" s="19" t="str">
        <x:v>INTERNET_ARCHIVE_METADATA_TEXT_ITEM_COUNT</x:v>
      </x:c>
      <x:c r="AD31" s="19" t="str">
        <x:v>"premature heat of the weather" AND mediatype:texts</x:v>
      </x:c>
      <x:c r="AE31" s="31" t="str">
        <x:v>EXACT_PHRASE</x:v>
      </x:c>
      <x:c r="AF31" s="31" t="str">
        <x:v>COMPLETED_ZERO</x:v>
      </x:c>
      <x:c r="AG31" s="28" t="n">
        <x:v>0</x:v>
      </x:c>
      <x:c r="AH31" s="19" t="str">
        <x:v>0</x:v>
      </x:c>
      <x:c r="AI31" s="19" t="str">
        <x:v>2026-08-26</x:v>
      </x:c>
      <x:c r="AJ31" s="31" t="str">
        <x:v>Metadata text-item count; not a full-text lexical frequency. Secondary metric: NOT_RUN_OPENALEX_DAILY_BUDGET_EXHAUSTED: shared provider response retained; no count fabricated.</x:v>
      </x:c>
      <x:c r="AK31" s="31" t="str">
        <x:v>FULLY_COVERED</x:v>
      </x:c>
      <x:c r="AL31" s="19" t="str">
        <x:v>PENDING_SOURCE_REVIEW</x:v>
      </x:c>
      <x:c r="AM31" s="20" t="str">
        <x:v>MEDIUM</x:v>
      </x:c>
    </x:row>
    <x:row r="32" ht="34" customHeight="1">
      <x:c r="A32" s="25" t="str">
        <x:v>FT-SEED-R1B-P-1842-28</x:v>
      </x:c>
      <x:c r="B32" s="19" t="str">
        <x:v>1842</x:v>
      </x:c>
      <x:c r="C32" s="28" t="n">
        <x:v>28</x:v>
      </x:c>
      <x:c r="D32" s="31" t="str">
        <x:v>suffered more from cold than from heat</x:v>
      </x:c>
      <x:c r="E32" s="31" t="str">
        <x:v>physical heat source / state</x:v>
      </x:c>
      <x:c r="F32" s="19" t="str">
        <x:v>heat</x:v>
      </x:c>
      <x:c r="G32" s="19" t="str">
        <x:v>D</x:v>
      </x:c>
      <x:c r="H32" s="19" t="str">
        <x:v>V1</x:v>
      </x:c>
      <x:c r="I32" s="19" t="str">
        <x:v>NOT_EXPOSED_IN_REPORT</x:v>
      </x:c>
      <x:c r="J32" s="19" t="str">
        <x:v>S1842-LEICHHARDT-L</x:v>
      </x:c>
      <x:c r="K32" s="31" t="str">
        <x:v>RECONSTRUCTED_FROM_REPORT; Fear of Temperature_ Stratified Lexical Expansion, Voice Mapping, and Semantic-Relational Pre-Valida.pdf; p.7; project candidate FT-SEED-R1B-P-1842-28; original visible ID not available</x:v>
      </x:c>
      <x:c r="L32" s="31" t="str">
        <x:v>ZERO_RESPONSE_NEW</x:v>
      </x:c>
      <x:c r="M32" s="31" t="str">
        <x:v>suffered more from cold than from heat</x:v>
      </x:c>
      <x:c r="N32" s="31" t="str">
        <x:v>EXACT</x:v>
      </x:c>
      <x:c r="O32" s="19" t="str">
        <x:v>NOT_APPLICABLE</x:v>
      </x:c>
      <x:c r="P32" s="19" t="str">
        <x:v>NOT_APPLICABLE</x:v>
      </x:c>
      <x:c r="Q32" s="34" t="str">
        <x:v>NOT_APPLICABLE</x:v>
      </x:c>
      <x:c r="R32" s="34" t="str">
        <x:v>NOT_APPLICABLE</x:v>
      </x:c>
      <x:c r="S32" s="34" t="str">
        <x:v>NOT_APPLICABLE</x:v>
      </x:c>
      <x:c r="T32" s="34" t="str">
        <x:v>NOT_APPLICABLE</x:v>
      </x:c>
      <x:c r="U32" s="31" t="str">
        <x:v>Candidate surface form is directly representable in the public Ngram interface. The public Ngram endpoint returned an empty list; retained without fabricating annual zero frequencies.</x:v>
      </x:c>
      <x:c r="V32" s="31" t="str">
        <x:v>NO_STANDALONE_HEADWORD</x:v>
      </x:c>
      <x:c r="W32" s="19" t="str">
        <x:v>Component lexical analysis plus anchor-source contextual meaning</x:v>
      </x:c>
      <x:c r="X32" s="31" t="str">
        <x:v>A threat, risk, harm, severity, or consequence sense in the documented source; it is not automatically an emotion.</x:v>
      </x:c>
      <x:c r="Y32" s="31" t="str">
        <x:v>Heat as a physical source, state, or thermal condition; the candidate is interpreted in its documented anchor and voice context.</x:v>
      </x:c>
      <x:c r="Z32" s="31" t="str">
        <x:v>STRONG</x:v>
      </x:c>
      <x:c r="AA32" s="19" t="str">
        <x:v>The surface form may realize multiple senses; candidate meaning remains anchored to the report-visible source context.</x:v>
      </x:c>
      <x:c r="AB32"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https://api.dictionaryapi.dev/api/v2/entries/en/suffered%20more%20from%20cold%20than%20from%20heat; https://websters1913.timcieplowski.com/word/heat/</x:v>
      </x:c>
      <x:c r="AC32" s="19" t="str">
        <x:v>INTERNET_ARCHIVE_METADATA_TEXT_ITEM_COUNT</x:v>
      </x:c>
      <x:c r="AD32" s="19" t="str">
        <x:v>"suffered more from cold than from heat" AND mediatype:texts</x:v>
      </x:c>
      <x:c r="AE32" s="31" t="str">
        <x:v>EXACT_PHRASE</x:v>
      </x:c>
      <x:c r="AF32" s="31" t="str">
        <x:v>COMPLETED_ZERO</x:v>
      </x:c>
      <x:c r="AG32" s="28" t="n">
        <x:v>0</x:v>
      </x:c>
      <x:c r="AH32" s="19" t="str">
        <x:v>0</x:v>
      </x:c>
      <x:c r="AI32" s="19" t="str">
        <x:v>2026-08-26</x:v>
      </x:c>
      <x:c r="AJ32" s="31" t="str">
        <x:v>Metadata text-item count; not a full-text lexical frequency. Secondary metric: NOT_RUN_OPENALEX_DAILY_BUDGET_EXHAUSTED: shared provider response retained; no count fabricated.</x:v>
      </x:c>
      <x:c r="AK32" s="31" t="str">
        <x:v>FULLY_COVERED</x:v>
      </x:c>
      <x:c r="AL32" s="19" t="str">
        <x:v>PENDING_SOURCE_REVIEW</x:v>
      </x:c>
      <x:c r="AM32" s="20" t="str">
        <x:v>MEDIUM</x:v>
      </x:c>
    </x:row>
    <x:row r="33" ht="34" customHeight="1">
      <x:c r="A33" s="25" t="str">
        <x:v>FT-SEED-R1B-P-1842-29</x:v>
      </x:c>
      <x:c r="B33" s="19" t="str">
        <x:v>1842</x:v>
      </x:c>
      <x:c r="C33" s="28" t="n">
        <x:v>29</x:v>
      </x:c>
      <x:c r="D33" s="31" t="str">
        <x:v>sickness and mortality</x:v>
      </x:c>
      <x:c r="E33" s="31" t="str">
        <x:v>mortality</x:v>
      </x:c>
      <x:c r="F33" s="19" t="str">
        <x:v>harm_loss_consequences</x:v>
      </x:c>
      <x:c r="G33" s="19" t="str">
        <x:v>D</x:v>
      </x:c>
      <x:c r="H33" s="19" t="str">
        <x:v>V2</x:v>
      </x:c>
      <x:c r="I33" s="19" t="str">
        <x:v>NOT_EXPOSED_IN_REPORT</x:v>
      </x:c>
      <x:c r="J33" s="19" t="str">
        <x:v>S1842-CHADWICK</x:v>
      </x:c>
      <x:c r="K33" s="31" t="str">
        <x:v>RECONSTRUCTED_FROM_REPORT; Fear of Temperature_ Stratified Lexical Expansion, Voice Mapping, and Semantic-Relational Pre-Valida.pdf; p.7; project candidate FT-SEED-R1B-P-1842-29; original visible ID not available</x:v>
      </x:c>
      <x:c r="L33" s="31" t="str">
        <x:v>SUCCEEDED_NEW</x:v>
      </x:c>
      <x:c r="M33" s="31" t="str">
        <x:v>sickness and mortality</x:v>
      </x:c>
      <x:c r="N33" s="31" t="str">
        <x:v>EXACT</x:v>
      </x:c>
      <x:c r="O33" s="19" t="str">
        <x:v>1842</x:v>
      </x:c>
      <x:c r="P33" s="19" t="str">
        <x:v>1875</x:v>
      </x:c>
      <x:c r="Q33" s="34" t="n">
        <x:v>5.163315972556148e-7</x:v>
      </x:c>
      <x:c r="R33" s="34" t="n">
        <x:v>2.7180557848893727e-7</x:v>
      </x:c>
      <x:c r="S33" s="34" t="n">
        <x:v>2.6085028570488333e-7</x:v>
      </x:c>
      <x:c r="T33" s="34" t="n">
        <x:v>1.8919435802733364e-8</x:v>
      </x:c>
      <x:c r="U33" s="31" t="str">
        <x:v>Candidate surface form is directly representable in the public Ngram interface. New unsmoothed 1842–2022 series retrieved for the candidate audit.</x:v>
      </x:c>
      <x:c r="V33" s="31" t="str">
        <x:v>NO_STANDALONE_HEADWORD</x:v>
      </x:c>
      <x:c r="W33" s="19" t="str">
        <x:v>Component lexical analysis plus anchor-source contextual meaning</x:v>
      </x:c>
      <x:c r="X33" s="31" t="str">
        <x:v>A threat, risk, harm, severity, or consequence sense in the documented source; it is not automatically an emotion.</x:v>
      </x:c>
      <x:c r="Y33" s="31" t="str">
        <x:v>Death or mortality attributed to heat or climate consequences; the candidate is interpreted in its documented anchor and voice context.</x:v>
      </x:c>
      <x:c r="Z33" s="31" t="str">
        <x:v>STRONG</x:v>
      </x:c>
      <x:c r="AA33" s="19" t="str">
        <x:v>The surface form may realize multiple senses; candidate meaning remains anchored to the report-visible source context.</x:v>
      </x:c>
      <x:c r="AB33" s="31" t="str">
        <x:v>Secondary: Component headword checked: mortality.;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https://api.dictionaryapi.dev/api/v2/entries/en/sickness%20and%20mortality; https://websters1913.timcieplowski.com/word/mortality/</x:v>
      </x:c>
      <x:c r="AC33" s="19" t="str">
        <x:v>INTERNET_ARCHIVE_METADATA_TEXT_ITEM_COUNT</x:v>
      </x:c>
      <x:c r="AD33" s="19" t="str">
        <x:v>"sickness and mortality" AND mediatype:texts</x:v>
      </x:c>
      <x:c r="AE33" s="31" t="str">
        <x:v>EXACT_PHRASE</x:v>
      </x:c>
      <x:c r="AF33" s="31" t="str">
        <x:v>COMPLETED_NONZERO</x:v>
      </x:c>
      <x:c r="AG33" s="28" t="n">
        <x:v>73</x:v>
      </x:c>
      <x:c r="AH33" s="19" t="str">
        <x:v>18</x:v>
      </x:c>
      <x:c r="AI33" s="19" t="str">
        <x:v>2026-08-26</x:v>
      </x:c>
      <x:c r="AJ33" s="31" t="str">
        <x:v>Metadata text-item count; not a full-text lexical frequency. Secondary metric: NOT_RUN_OPENALEX_DAILY_BUDGET_EXHAUSTED: shared provider response retained; no count fabricated.</x:v>
      </x:c>
      <x:c r="AK33" s="31" t="str">
        <x:v>FULLY_COVERED</x:v>
      </x:c>
      <x:c r="AL33" s="19" t="str">
        <x:v>PENDING_SOURCE_REVIEW</x:v>
      </x:c>
      <x:c r="AM33" s="20" t="str">
        <x:v>MEDIUM</x:v>
      </x:c>
    </x:row>
    <x:row r="34" ht="34" customHeight="1">
      <x:c r="A34" s="25" t="str">
        <x:v>FT-SEED-R1B-P-1842-30</x:v>
      </x:c>
      <x:c r="B34" s="19" t="str">
        <x:v>1842</x:v>
      </x:c>
      <x:c r="C34" s="28" t="n">
        <x:v>30</x:v>
      </x:c>
      <x:c r="D34" s="31" t="str">
        <x:v>alarm to the public</x:v>
      </x:c>
      <x:c r="E34" s="31" t="str">
        <x:v>public alarm</x:v>
      </x:c>
      <x:c r="F34" s="19" t="str">
        <x:v>concern_alarm</x:v>
      </x:c>
      <x:c r="G34" s="19" t="str">
        <x:v>C</x:v>
      </x:c>
      <x:c r="H34" s="19" t="str">
        <x:v>V3</x:v>
      </x:c>
      <x:c r="I34" s="19" t="str">
        <x:v>NOT_EXPOSED_IN_REPORT</x:v>
      </x:c>
      <x:c r="J34" s="19" t="str">
        <x:v>S1842-TIMES</x:v>
      </x:c>
      <x:c r="K34" s="31" t="str">
        <x:v>RECONSTRUCTED_FROM_REPORT; Fear of Temperature_ Stratified Lexical Expansion, Voice Mapping, and Semantic-Relational Pre-Valida.pdf; p.7; project candidate FT-SEED-R1B-P-1842-30; original visible ID not available</x:v>
      </x:c>
      <x:c r="L34" s="31" t="str">
        <x:v>SUCCEEDED_NEW</x:v>
      </x:c>
      <x:c r="M34" s="31" t="str">
        <x:v>alarm to the public</x:v>
      </x:c>
      <x:c r="N34" s="31" t="str">
        <x:v>EXACT</x:v>
      </x:c>
      <x:c r="O34" s="19" t="str">
        <x:v>1842</x:v>
      </x:c>
      <x:c r="P34" s="19" t="str">
        <x:v>1850</x:v>
      </x:c>
      <x:c r="Q34" s="34" t="n">
        <x:v>1.0281119067201416e-8</x:v>
      </x:c>
      <x:c r="R34" s="34" t="n">
        <x:v>2.9337727802669633e-9</x:v>
      </x:c>
      <x:c r="S34" s="34" t="n">
        <x:v>2.216764855011988e-9</x:v>
      </x:c>
      <x:c r="T34" s="34" t="n">
        <x:v>1.7275971764263431e-9</x:v>
      </x:c>
      <x:c r="U34" s="31" t="str">
        <x:v>Candidate surface form is directly representable in the public Ngram interface. New unsmoothed 1842–2022 series retrieved for the candidate audit.</x:v>
      </x:c>
      <x:c r="V34" s="31" t="str">
        <x:v>NO_STANDALONE_HEADWORD</x:v>
      </x:c>
      <x:c r="W34" s="19" t="str">
        <x:v>Component lexical analysis plus anchor-source contextual meaning</x:v>
      </x:c>
      <x:c r="X34" s="31" t="str">
        <x:v>The candidate's affective or evaluative sense as used by the documented speaker/instrument/research voice at the anchor.</x:v>
      </x:c>
      <x:c r="Y34" s="31" t="str">
        <x:v>Alarm attributed to or anticipated for a public, requiring direct evidence and sense review; the candidate is interpreted in its documented anchor and voice context.</x:v>
      </x:c>
      <x:c r="Z34" s="31" t="str">
        <x:v>STRONG</x:v>
      </x:c>
      <x:c r="AA34" s="19" t="str">
        <x:v>The surface form may realize multiple senses; candidate meaning remains anchored to the report-visible source context.</x:v>
      </x:c>
      <x:c r="AB34" s="31" t="str">
        <x:v>Secondary: Component headword checked: public.;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https://api.dictionaryapi.dev/api/v2/entries/en/alarm%20to%20the%20public; https://websters1913.timcieplowski.com/word/public/</x:v>
      </x:c>
      <x:c r="AC34" s="19" t="str">
        <x:v>INTERNET_ARCHIVE_METADATA_TEXT_ITEM_COUNT</x:v>
      </x:c>
      <x:c r="AD34" s="19" t="str">
        <x:v>"alarm to the public" AND mediatype:texts</x:v>
      </x:c>
      <x:c r="AE34" s="31" t="str">
        <x:v>EXACT_PHRASE</x:v>
      </x:c>
      <x:c r="AF34" s="31" t="str">
        <x:v>COMPLETED_NONZERO</x:v>
      </x:c>
      <x:c r="AG34" s="28" t="n">
        <x:v>3</x:v>
      </x:c>
      <x:c r="AH34" s="19" t="str">
        <x:v>0</x:v>
      </x:c>
      <x:c r="AI34" s="19" t="str">
        <x:v>2026-08-26</x:v>
      </x:c>
      <x:c r="AJ34" s="31" t="str">
        <x:v>Metadata text-item count; not a full-text lexical frequency. Secondary metric: Scholarly work discoverability count over OpenAlex search fields; not a corpus word frequency.</x:v>
      </x:c>
      <x:c r="AK34" s="31" t="str">
        <x:v>FULLY_COVERED</x:v>
      </x:c>
      <x:c r="AL34" s="19" t="str">
        <x:v>PENDING_SOURCE_REVIEW</x:v>
      </x:c>
      <x:c r="AM34" s="20" t="str">
        <x:v>MEDIUM</x:v>
      </x:c>
    </x:row>
    <x:row r="35" ht="34" customHeight="1">
      <x:c r="A35" s="25" t="str">
        <x:v>FT-SEED-R1B-P-1938-01</x:v>
      </x:c>
      <x:c r="B35" s="19" t="str">
        <x:v>1938</x:v>
      </x:c>
      <x:c r="C35" s="28" t="n">
        <x:v>1</x:v>
      </x:c>
      <x:c r="D35" s="31" t="str">
        <x:v>artificial production of carbon dioxide</x:v>
      </x:c>
      <x:c r="E35" s="31" t="str">
        <x:v>anthropogenic carbon-dioxide production</x:v>
      </x:c>
      <x:c r="F35" s="19" t="str">
        <x:v>carbon_greenhouse</x:v>
      </x:c>
      <x:c r="G35" s="19" t="str">
        <x:v>B</x:v>
      </x:c>
      <x:c r="H35" s="19" t="str">
        <x:v>V1</x:v>
      </x:c>
      <x:c r="I35" s="19" t="str">
        <x:v>NOT_EXPOSED_IN_REPORT</x:v>
      </x:c>
      <x:c r="J35" s="19" t="str">
        <x:v>S1938-CALLENDAR</x:v>
      </x:c>
      <x:c r="K35" s="31" t="str">
        <x:v>RECONSTRUCTED_FROM_REPORT; Fear of Temperature_ Stratified Lexical Expansion, Voice Mapping, and Semantic-Relational Pre-Valida.pdf; p.7; project candidate FT-SEED-R1B-P-1938-01; original visible ID not available</x:v>
      </x:c>
      <x:c r="L35" s="31" t="str">
        <x:v>SUCCEEDED_REUSED_BASELINE</x:v>
      </x:c>
      <x:c r="M35" s="31" t="str">
        <x:v>artificial production of carbon dioxide</x:v>
      </x:c>
      <x:c r="N35" s="31" t="str">
        <x:v>EXACT</x:v>
      </x:c>
      <x:c r="O35" s="19" t="str">
        <x:v>1902</x:v>
      </x:c>
      <x:c r="P35" s="19" t="str">
        <x:v>1938</x:v>
      </x:c>
      <x:c r="Q35" s="34" t="n">
        <x:v>4.288904842386643e-9</x:v>
      </x:c>
      <x:c r="R35" s="34" t="n">
        <x:v>4.288904842386643e-9</x:v>
      </x:c>
      <x:c r="S35" s="34" t="n">
        <x:v>1.0332850186589582e-9</x:v>
      </x:c>
      <x:c r="T35" s="34" t="n">
        <x:v>1.7940347540879031e-9</x:v>
      </x:c>
      <x:c r="U35" s="31" t="str">
        <x:v>Candidate surface form is directly representable in the public Ngram interface. Complete 1842–2022 unsmoothed series reused from the audited quantitative-v0.1 baseline.</x:v>
      </x:c>
      <x:c r="V35" s="31" t="str">
        <x:v>TECHNICAL_GLOSSARY</x:v>
      </x:c>
      <x:c r="W35" s="19" t="str">
        <x:v>IPCC climate-science glossary / assessment terminology</x:v>
      </x:c>
      <x:c r="X35" s="31" t="str">
        <x:v>A climatic, atmospheric, meteorological, or causal-science sense in the documented anchor context.</x:v>
      </x:c>
      <x:c r="Y35" s="31" t="str">
        <x:v>Human production of carbon dioxide as a climatic cause; the candidate is interpreted in its documented anchor and voice context.</x:v>
      </x:c>
      <x:c r="Z35" s="31" t="str">
        <x:v>STRONG</x:v>
      </x:c>
      <x:c r="AA35" s="19" t="str">
        <x:v>The surface form may realize multiple senses; candidate meaning remains anchored to the report-visible source context.</x:v>
      </x:c>
      <x:c r="AB35"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https://api.dictionaryapi.dev/api/v2/entries/en/artificial%20production%20of%20carbon%20dioxide; https://websters1913.timcieplowski.com/word/dioxide/</x:v>
      </x:c>
      <x:c r="AC35" s="19" t="str">
        <x:v>INTERNET_ARCHIVE_METADATA_TEXT_ITEM_COUNT</x:v>
      </x:c>
      <x:c r="AD35" s="19" t="str">
        <x:v>"artificial production of carbon dioxide" AND mediatype:texts</x:v>
      </x:c>
      <x:c r="AE35" s="31" t="str">
        <x:v>EXACT_PHRASE</x:v>
      </x:c>
      <x:c r="AF35" s="31" t="str">
        <x:v>COMPLETED_ZERO</x:v>
      </x:c>
      <x:c r="AG35" s="28" t="n">
        <x:v>0</x:v>
      </x:c>
      <x:c r="AH35" s="19" t="str">
        <x:v>0</x:v>
      </x:c>
      <x:c r="AI35" s="19" t="str">
        <x:v>2026-08-26</x:v>
      </x:c>
      <x:c r="AJ35" s="31" t="str">
        <x:v>Metadata text-item count; not a full-text lexical frequency. Secondary metric: Scholarly work discoverability count over OpenAlex search fields; not a corpus word frequency.</x:v>
      </x:c>
      <x:c r="AK35" s="31" t="str">
        <x:v>FULLY_COVERED</x:v>
      </x:c>
      <x:c r="AL35" s="19" t="str">
        <x:v>PENDING_SOURCE_REVIEW</x:v>
      </x:c>
      <x:c r="AM35" s="20" t="str">
        <x:v>MEDIUM</x:v>
      </x:c>
    </x:row>
    <x:row r="36" ht="34" customHeight="1">
      <x:c r="A36" s="25" t="str">
        <x:v>FT-SEED-R1B-P-1938-02</x:v>
      </x:c>
      <x:c r="B36" s="19" t="str">
        <x:v>1938</x:v>
      </x:c>
      <x:c r="C36" s="28" t="n">
        <x:v>2</x:v>
      </x:c>
      <x:c r="D36" s="31" t="str">
        <x:v>carbon dioxide</x:v>
      </x:c>
      <x:c r="E36" s="31" t="str">
        <x:v>atmospheric carbon dioxide</x:v>
      </x:c>
      <x:c r="F36" s="19" t="str">
        <x:v>carbon_greenhouse</x:v>
      </x:c>
      <x:c r="G36" s="19" t="str">
        <x:v>B</x:v>
      </x:c>
      <x:c r="H36" s="19" t="str">
        <x:v>V1</x:v>
      </x:c>
      <x:c r="I36" s="19" t="str">
        <x:v>NOT_EXPOSED_IN_REPORT</x:v>
      </x:c>
      <x:c r="J36" s="19" t="str">
        <x:v>S1938-CALLENDAR</x:v>
      </x:c>
      <x:c r="K36" s="31" t="str">
        <x:v>RECONSTRUCTED_FROM_REPORT; Fear of Temperature_ Stratified Lexical Expansion, Voice Mapping, and Semantic-Relational Pre-Valida.pdf; p.7; project candidate FT-SEED-R1B-P-1938-02; original visible ID not available</x:v>
      </x:c>
      <x:c r="L36" s="31" t="str">
        <x:v>SUCCEEDED_REUSED_BASELINE</x:v>
      </x:c>
      <x:c r="M36" s="31" t="str">
        <x:v>carbon dioxide</x:v>
      </x:c>
      <x:c r="N36" s="31" t="str">
        <x:v>EXACT</x:v>
      </x:c>
      <x:c r="O36" s="19" t="str">
        <x:v>1842</x:v>
      </x:c>
      <x:c r="P36" s="19" t="str">
        <x:v>1965</x:v>
      </x:c>
      <x:c r="Q36" s="34" t="n">
        <x:v>0.00001041381219862858</x:v>
      </x:c>
      <x:c r="R36" s="34" t="n">
        <x:v>0.000009657730330014935</x:v>
      </x:c>
      <x:c r="S36" s="34" t="n">
        <x:v>0.000008807275233857492</x:v>
      </x:c>
      <x:c r="T36" s="34" t="n">
        <x:v>0.0000075778903684264876</x:v>
      </x:c>
      <x:c r="U36" s="31" t="str">
        <x:v>Candidate surface form is directly representable in the public Ngram interface. Complete 1842–2022 unsmoothed series reused from the audited quantitative-v0.1 baseline.</x:v>
      </x:c>
      <x:c r="V36" s="31" t="str">
        <x:v>TECHNICAL_GLOSSARY</x:v>
      </x:c>
      <x:c r="W36" s="19" t="str">
        <x:v>IPCC climate-science glossary / assessment terminology</x:v>
      </x:c>
      <x:c r="X36" s="31" t="str">
        <x:v>A climatic, atmospheric, meteorological, or causal-science sense in the documented anchor context.</x:v>
      </x:c>
      <x:c r="Y36" s="31" t="str">
        <x:v>Carbon dioxide as an atmospheric constituent; the candidate is interpreted in its documented anchor and voice context.</x:v>
      </x:c>
      <x:c r="Z36" s="31" t="str">
        <x:v>STRONG</x:v>
      </x:c>
      <x:c r="AA36" s="19" t="str">
        <x:v>The surface form may realize multiple senses; candidate meaning remains anchored to the report-visible source context.</x:v>
      </x:c>
      <x:c r="AB36" s="31" t="str">
        <x:v>Secondary: Component headword checked: dioxide.; historical: Anchor-period research source/context; Webster 1913 stable component URL recorded but automated page retrieval was unavailable; source: https://www.ipcc.ch/site/assets/uploads/2018/02/WGIIAR5-AnnexII_FINAL.pdf; https://api.dictionaryapi.dev/api/v2/entries/en/carbon%20dioxide; https://websters1913.timcieplowski.com/word/dioxide/</x:v>
      </x:c>
      <x:c r="AC36" s="19" t="str">
        <x:v>INTERNET_ARCHIVE_METADATA_TEXT_ITEM_COUNT</x:v>
      </x:c>
      <x:c r="AD36" s="19" t="str">
        <x:v>"carbon dioxide" AND mediatype:texts</x:v>
      </x:c>
      <x:c r="AE36" s="31" t="str">
        <x:v>EXACT_PHRASE</x:v>
      </x:c>
      <x:c r="AF36" s="31" t="str">
        <x:v>COMPLETED_NONZERO</x:v>
      </x:c>
      <x:c r="AG36" s="28" t="n">
        <x:v>10042</x:v>
      </x:c>
      <x:c r="AH36" s="19" t="str">
        <x:v>29</x:v>
      </x:c>
      <x:c r="AI36" s="19" t="str">
        <x:v>2026-08-26</x:v>
      </x:c>
      <x:c r="AJ36" s="31" t="str">
        <x:v>Metadata text-item count; not a full-text lexical frequency. Secondary metric: Scholarly work discoverability count over OpenAlex search fields; not a corpus word frequency.</x:v>
      </x:c>
      <x:c r="AK36" s="31" t="str">
        <x:v>FULLY_COVERED</x:v>
      </x:c>
      <x:c r="AL36" s="19" t="str">
        <x:v>PENDING_SOURCE_REVIEW</x:v>
      </x:c>
      <x:c r="AM36" s="20" t="str">
        <x:v>MEDIUM</x:v>
      </x:c>
    </x:row>
    <x:row r="37" ht="34" customHeight="1">
      <x:c r="A37" s="25" t="str">
        <x:v>FT-SEED-R1B-P-1938-03</x:v>
      </x:c>
      <x:c r="B37" s="19" t="str">
        <x:v>1938</x:v>
      </x:c>
      <x:c r="C37" s="28" t="n">
        <x:v>3</x:v>
      </x:c>
      <x:c r="D37" s="31" t="str">
        <x:v>fuel combustion</x:v>
      </x:c>
      <x:c r="E37" s="31" t="str">
        <x:v>anthropogenic carbon-dioxide production</x:v>
      </x:c>
      <x:c r="F37" s="19" t="str">
        <x:v>carbon_greenhouse</x:v>
      </x:c>
      <x:c r="G37" s="19" t="str">
        <x:v>B</x:v>
      </x:c>
      <x:c r="H37" s="19" t="str">
        <x:v>V1</x:v>
      </x:c>
      <x:c r="I37" s="19" t="str">
        <x:v>NOT_EXPOSED_IN_REPORT</x:v>
      </x:c>
      <x:c r="J37" s="19" t="str">
        <x:v>S1938-CALLENDAR</x:v>
      </x:c>
      <x:c r="K37" s="31" t="str">
        <x:v>RECONSTRUCTED_FROM_REPORT; Fear of Temperature_ Stratified Lexical Expansion, Voice Mapping, and Semantic-Relational Pre-Valida.pdf; p.8; project candidate FT-SEED-R1B-P-1938-03; original visible ID not available</x:v>
      </x:c>
      <x:c r="L37" s="31" t="str">
        <x:v>SUCCEEDED_REUSED_BASELINE</x:v>
      </x:c>
      <x:c r="M37" s="31" t="str">
        <x:v>fuel combustion</x:v>
      </x:c>
      <x:c r="N37" s="31" t="str">
        <x:v>EXACT</x:v>
      </x:c>
      <x:c r="O37" s="19" t="str">
        <x:v>1852</x:v>
      </x:c>
      <x:c r="P37" s="19" t="str">
        <x:v>1978</x:v>
      </x:c>
      <x:c r="Q37" s="34" t="n">
        <x:v>4.6729913591447847e-7</x:v>
      </x:c>
      <x:c r="R37" s="34" t="n">
        <x:v>3.608451315528782e-8</x:v>
      </x:c>
      <x:c r="S37" s="34" t="n">
        <x:v>3.974408916973538e-8</x:v>
      </x:c>
      <x:c r="T37" s="34" t="n">
        <x:v>2.188545896730787e-7</x:v>
      </x:c>
      <x:c r="U37" s="31" t="str">
        <x:v>Candidate surface form is directly representable in the public Ngram interface. Complete 1842–2022 unsmoothed series reused from the audited quantitative-v0.1 baseline.</x:v>
      </x:c>
      <x:c r="V37" s="31" t="str">
        <x:v>TECHNICAL_GLOSSARY</x:v>
      </x:c>
      <x:c r="W37" s="19" t="str">
        <x:v>IPCC climate-science glossary / assessment terminology</x:v>
      </x:c>
      <x:c r="X37" s="31" t="str">
        <x:v>A climatic, atmospheric, meteorological, or causal-science sense in the documented anchor context.</x:v>
      </x:c>
      <x:c r="Y37" s="31" t="str">
        <x:v>Human production of carbon dioxide as a climatic cause; the candidate is interpreted in its documented anchor and voice context.</x:v>
      </x:c>
      <x:c r="Z37" s="31" t="str">
        <x:v>STRONG</x:v>
      </x:c>
      <x:c r="AA37" s="19" t="str">
        <x:v>The surface form may realize multiple senses; candidate meaning remains anchored to the report-visible source context.</x:v>
      </x:c>
      <x:c r="AB37" s="31" t="str">
        <x:v>Secondary: Component headword checked: combustion.; historical: Anchor-period research source/context; Webster 1913 stable component URL recorded but automated page retrieval was unavailable; source: https://www.ipcc.ch/site/assets/uploads/2018/02/WGIIAR5-AnnexII_FINAL.pdf; https://api.dictionaryapi.dev/api/v2/entries/en/fuel%20combustion; https://websters1913.timcieplowski.com/word/combustion/</x:v>
      </x:c>
      <x:c r="AC37" s="19" t="str">
        <x:v>INTERNET_ARCHIVE_METADATA_TEXT_ITEM_COUNT</x:v>
      </x:c>
      <x:c r="AD37" s="19" t="str">
        <x:v>"fuel combustion" AND mediatype:texts</x:v>
      </x:c>
      <x:c r="AE37" s="31" t="str">
        <x:v>EXACT_PHRASE</x:v>
      </x:c>
      <x:c r="AF37" s="31" t="str">
        <x:v>COMPLETED_NONZERO</x:v>
      </x:c>
      <x:c r="AG37" s="28" t="n">
        <x:v>660</x:v>
      </x:c>
      <x:c r="AH37" s="19" t="str">
        <x:v>0</x:v>
      </x:c>
      <x:c r="AI37" s="19" t="str">
        <x:v>2026-08-26</x:v>
      </x:c>
      <x:c r="AJ37" s="31" t="str">
        <x:v>Metadata text-item count; not a full-text lexical frequency. Secondary metric: NOT_RUN_OPENALEX_DAILY_BUDGET_EXHAUSTED: shared provider response retained; no count fabricated.</x:v>
      </x:c>
      <x:c r="AK37" s="31" t="str">
        <x:v>FULLY_COVERED</x:v>
      </x:c>
      <x:c r="AL37" s="19" t="str">
        <x:v>PENDING_SOURCE_REVIEW</x:v>
      </x:c>
      <x:c r="AM37" s="20" t="str">
        <x:v>MEDIUM</x:v>
      </x:c>
    </x:row>
    <x:row r="38" ht="34" customHeight="1">
      <x:c r="A38" s="25" t="str">
        <x:v>FT-SEED-R1B-P-1938-04</x:v>
      </x:c>
      <x:c r="B38" s="19" t="str">
        <x:v>1938</x:v>
      </x:c>
      <x:c r="C38" s="28" t="n">
        <x:v>4</x:v>
      </x:c>
      <x:c r="D38" s="31" t="str">
        <x:v>air</x:v>
      </x:c>
      <x:c r="E38" s="31" t="str">
        <x:v>historical climate / climatological condition</x:v>
      </x:c>
      <x:c r="F38" s="19" t="str">
        <x:v>climate</x:v>
      </x:c>
      <x:c r="G38" s="19" t="str">
        <x:v>B</x:v>
      </x:c>
      <x:c r="H38" s="19" t="str">
        <x:v>V1</x:v>
      </x:c>
      <x:c r="I38" s="19" t="str">
        <x:v>NOT_EXPOSED_IN_REPORT</x:v>
      </x:c>
      <x:c r="J38" s="19" t="str">
        <x:v>S1938-CALLENDAR</x:v>
      </x:c>
      <x:c r="K38" s="31" t="str">
        <x:v>RECONSTRUCTED_FROM_REPORT; Fear of Temperature_ Stratified Lexical Expansion, Voice Mapping, and Semantic-Relational Pre-Valida.pdf; p.8; project candidate FT-SEED-R1B-P-1938-04; original visible ID not available</x:v>
      </x:c>
      <x:c r="L38" s="31" t="str">
        <x:v>SUCCEEDED_REUSED_BASELINE</x:v>
      </x:c>
      <x:c r="M38" s="31" t="str">
        <x:v>air</x:v>
      </x:c>
      <x:c r="N38" s="31" t="str">
        <x:v>EXACT</x:v>
      </x:c>
      <x:c r="O38" s="19" t="str">
        <x:v>1842</x:v>
      </x:c>
      <x:c r="P38" s="19" t="str">
        <x:v>1944</x:v>
      </x:c>
      <x:c r="Q38" s="34" t="n">
        <x:v>0.0003521059437459062</x:v>
      </x:c>
      <x:c r="R38" s="34" t="n">
        <x:v>0.0002449050748590531</x:v>
      </x:c>
      <x:c r="S38" s="34" t="n">
        <x:v>0.00023519730591028688</x:v>
      </x:c>
      <x:c r="T38" s="34" t="n">
        <x:v>0.00016292625959826723</x:v>
      </x:c>
      <x:c r="U38" s="31" t="str">
        <x:v>Candidate surface form is directly representable in the public Ngram interface. Complete 1842–2022 unsmoothed series reused from the audited quantitative-v0.1 baseline.</x:v>
      </x:c>
      <x:c r="V38" s="31" t="str">
        <x:v>DIRECT_HEADWORD</x:v>
      </x:c>
      <x:c r="W38" s="19" t="str">
        <x:v>Webster's Revised Unabridged Dictionary (1913 public-domain headword index)</x:v>
      </x:c>
      <x:c r="X38" s="31" t="str">
        <x:v>A climatic, atmospheric, meteorological, or causal-science sense in the documented anchor context.</x:v>
      </x:c>
      <x:c r="Y38" s="31" t="str">
        <x:v>Climate as a historical, geographical, seasonal, or climatological condition; the candidate is interpreted in its documented anchor and voice context.</x:v>
      </x:c>
      <x:c r="Z38" s="31" t="str">
        <x:v>STRONG</x:v>
      </x:c>
      <x:c r="AA38" s="19" t="str">
        <x:v>The surface form may realize multiple senses; candidate meaning remains anchored to the report-visible source context.</x:v>
      </x:c>
      <x:c r="AB38" s="31" t="str">
        <x:v>Secondary: Component headword checked: air.; historical: Webster's Revised Unabridged Dictionary (1913 public-domain edition); source: https://websters1913.timcieplowski.com/word/air/; https://api.dictionaryapi.dev/api/v2/entries/en/air</x:v>
      </x:c>
      <x:c r="AC38" s="19" t="str">
        <x:v>INTERNET_ARCHIVE_METADATA_TEXT_ITEM_COUNT</x:v>
      </x:c>
      <x:c r="AD38" s="19" t="str">
        <x:v>"air" AND mediatype:texts</x:v>
      </x:c>
      <x:c r="AE38" s="31" t="str">
        <x:v>EXACT_PHRASE</x:v>
      </x:c>
      <x:c r="AF38" s="31" t="str">
        <x:v>COMPLETED_NONZERO</x:v>
      </x:c>
      <x:c r="AG38" s="28" t="n">
        <x:v>406830</x:v>
      </x:c>
      <x:c r="AH38" s="19" t="str">
        <x:v>8904</x:v>
      </x:c>
      <x:c r="AI38" s="19" t="str">
        <x:v>2026-08-26</x:v>
      </x:c>
      <x:c r="AJ38" s="31" t="str">
        <x:v>Metadata text-item count; not a full-text lexical frequency. Secondary metric: Scholarly work discoverability count over OpenAlex search fields; not a corpus word frequency.</x:v>
      </x:c>
      <x:c r="AK38" s="31" t="str">
        <x:v>FULLY_COVERED</x:v>
      </x:c>
      <x:c r="AL38" s="19" t="str">
        <x:v>PENDING_SOURCE_REVIEW</x:v>
      </x:c>
      <x:c r="AM38" s="20" t="str">
        <x:v>MEDIUM</x:v>
      </x:c>
    </x:row>
    <x:row r="39" ht="34" customHeight="1">
      <x:c r="A39" s="25" t="str">
        <x:v>FT-SEED-R1B-P-1938-05</x:v>
      </x:c>
      <x:c r="B39" s="19" t="str">
        <x:v>1938</x:v>
      </x:c>
      <x:c r="C39" s="28" t="n">
        <x:v>5</x:v>
      </x:c>
      <x:c r="D39" s="31" t="str">
        <x:v>atmosphere</x:v>
      </x:c>
      <x:c r="E39" s="31" t="str">
        <x:v>historical climate / climatological condition</x:v>
      </x:c>
      <x:c r="F39" s="19" t="str">
        <x:v>climate</x:v>
      </x:c>
      <x:c r="G39" s="19" t="str">
        <x:v>B</x:v>
      </x:c>
      <x:c r="H39" s="19" t="str">
        <x:v>V1</x:v>
      </x:c>
      <x:c r="I39" s="19" t="str">
        <x:v>NOT_EXPOSED_IN_REPORT</x:v>
      </x:c>
      <x:c r="J39" s="19" t="str">
        <x:v>S1938-CALLENDAR</x:v>
      </x:c>
      <x:c r="K39" s="31" t="str">
        <x:v>RECONSTRUCTED_FROM_REPORT; Fear of Temperature_ Stratified Lexical Expansion, Voice Mapping, and Semantic-Relational Pre-Valida.pdf; p.8; project candidate FT-SEED-R1B-P-1938-05; original visible ID not available</x:v>
      </x:c>
      <x:c r="L39" s="31" t="str">
        <x:v>SUCCEEDED_REUSED_BASELINE</x:v>
      </x:c>
      <x:c r="M39" s="31" t="str">
        <x:v>atmosphere</x:v>
      </x:c>
      <x:c r="N39" s="31" t="str">
        <x:v>EXACT</x:v>
      </x:c>
      <x:c r="O39" s="19" t="str">
        <x:v>1842</x:v>
      </x:c>
      <x:c r="P39" s="19" t="str">
        <x:v>1965</x:v>
      </x:c>
      <x:c r="Q39" s="34" t="n">
        <x:v>0.00003836178537423851</x:v>
      </x:c>
      <x:c r="R39" s="34" t="n">
        <x:v>0.00001888270770677991</x:v>
      </x:c>
      <x:c r="S39" s="34" t="n">
        <x:v>0.00001742774464617014</x:v>
      </x:c>
      <x:c r="T39" s="34" t="n">
        <x:v>0.000022702114429534737</x:v>
      </x:c>
      <x:c r="U39" s="31" t="str">
        <x:v>Candidate surface form is directly representable in the public Ngram interface. Complete 1842–2022 unsmoothed series reused from the audited quantitative-v0.1 baseline.</x:v>
      </x:c>
      <x:c r="V39" s="31" t="str">
        <x:v>TECHNICAL_GLOSSARY</x:v>
      </x:c>
      <x:c r="W39" s="19" t="str">
        <x:v>IPCC climate-science glossary / assessment terminology</x:v>
      </x:c>
      <x:c r="X39" s="31" t="str">
        <x:v>A climatic, atmospheric, meteorological, or causal-science sense in the documented anchor context.</x:v>
      </x:c>
      <x:c r="Y39" s="31" t="str">
        <x:v>Climate as a historical, geographical, seasonal, or climatological condition; the candidate is interpreted in its documented anchor and voice context.</x:v>
      </x:c>
      <x:c r="Z39" s="31" t="str">
        <x:v>STRONG</x:v>
      </x:c>
      <x:c r="AA39" s="19" t="str">
        <x:v>The surface form may realize multiple senses; candidate meaning remains anchored to the report-visible source context.</x:v>
      </x:c>
      <x:c r="AB3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https://api.dictionaryapi.dev/api/v2/entries/en/atmosphere; https://websters1913.timcieplowski.com/word/atmosphere/</x:v>
      </x:c>
      <x:c r="AC39" s="19" t="str">
        <x:v>INTERNET_ARCHIVE_METADATA_TEXT_ITEM_COUNT</x:v>
      </x:c>
      <x:c r="AD39" s="19" t="str">
        <x:v>"atmosphere" AND mediatype:texts</x:v>
      </x:c>
      <x:c r="AE39" s="31" t="str">
        <x:v>EXACT_PHRASE</x:v>
      </x:c>
      <x:c r="AF39" s="31" t="str">
        <x:v>COMPLETED_NONZERO</x:v>
      </x:c>
      <x:c r="AG39" s="28" t="n">
        <x:v>41908</x:v>
      </x:c>
      <x:c r="AH39" s="19" t="str">
        <x:v>186</x:v>
      </x:c>
      <x:c r="AI39" s="19" t="str">
        <x:v>2026-08-26</x:v>
      </x:c>
      <x:c r="AJ39" s="31" t="str">
        <x:v>Metadata text-item count; not a full-text lexical frequency. Secondary metric: Scholarly work discoverability count over OpenAlex search fields; not a corpus word frequency.</x:v>
      </x:c>
      <x:c r="AK39" s="31" t="str">
        <x:v>FULLY_COVERED</x:v>
      </x:c>
      <x:c r="AL39" s="19" t="str">
        <x:v>PENDING_SOURCE_REVIEW</x:v>
      </x:c>
      <x:c r="AM39" s="20" t="str">
        <x:v>MEDIUM</x:v>
      </x:c>
    </x:row>
    <x:row r="40" ht="34" customHeight="1">
      <x:c r="A40" s="25" t="str">
        <x:v>FT-SEED-R1B-P-1938-06</x:v>
      </x:c>
      <x:c r="B40" s="19" t="str">
        <x:v>1938</x:v>
      </x:c>
      <x:c r="C40" s="28" t="n">
        <x:v>6</x:v>
      </x:c>
      <x:c r="D40" s="31" t="str">
        <x:v>radiation absorption coefficients</x:v>
      </x:c>
      <x:c r="E40" s="31" t="str">
        <x:v>historical climate / climatological condition</x:v>
      </x:c>
      <x:c r="F40" s="19" t="str">
        <x:v>climate</x:v>
      </x:c>
      <x:c r="G40" s="19" t="str">
        <x:v>B</x:v>
      </x:c>
      <x:c r="H40" s="19" t="str">
        <x:v>V1</x:v>
      </x:c>
      <x:c r="I40" s="19" t="str">
        <x:v>NOT_EXPOSED_IN_REPORT</x:v>
      </x:c>
      <x:c r="J40" s="19" t="str">
        <x:v>S1938-CALLENDAR</x:v>
      </x:c>
      <x:c r="K40" s="31" t="str">
        <x:v>RECONSTRUCTED_FROM_REPORT; Fear of Temperature_ Stratified Lexical Expansion, Voice Mapping, and Semantic-Relational Pre-Valida.pdf; p.8; project candidate FT-SEED-R1B-P-1938-06; original visible ID not available</x:v>
      </x:c>
      <x:c r="L40" s="31" t="str">
        <x:v>SUCCEEDED_REUSED_BASELINE</x:v>
      </x:c>
      <x:c r="M40" s="31" t="str">
        <x:v>radiation absorption coefficients</x:v>
      </x:c>
      <x:c r="N40" s="31" t="str">
        <x:v>EXACT</x:v>
      </x:c>
      <x:c r="O40" s="19" t="str">
        <x:v>1929</x:v>
      </x:c>
      <x:c r="P40" s="19" t="str">
        <x:v>1982</x:v>
      </x:c>
      <x:c r="Q40" s="34" t="n">
        <x:v>6.3270380878943655e-9</x:v>
      </x:c>
      <x:c r="R40" s="34" t="n">
        <x:v>1.2223502210417792e-9</x:v>
      </x:c>
      <x:c r="S40" s="34" t="n">
        <x:v>3.3633488494277943e-10</x:v>
      </x:c>
      <x:c r="T40" s="34" t="n">
        <x:v>4.729858865681891e-11</x:v>
      </x:c>
      <x:c r="U40" s="31" t="str">
        <x:v>Candidate surface form is directly representable in the public Ngram interface. Complete 1842–2022 unsmoothed series reused from the audited quantitative-v0.1 baseline.</x:v>
      </x:c>
      <x:c r="V40" s="31" t="str">
        <x:v>TECHNICAL_GLOSSARY</x:v>
      </x:c>
      <x:c r="W40" s="19" t="str">
        <x:v>IPCC climate-science glossary / assessment terminology</x:v>
      </x:c>
      <x:c r="X40" s="31" t="str">
        <x:v>A climatic, atmospheric, meteorological, or causal-science sense in the documented anchor context.</x:v>
      </x:c>
      <x:c r="Y40" s="31" t="str">
        <x:v>Climate as a historical, geographical, seasonal, or climatological condition; the candidate is interpreted in its documented anchor and voice context.</x:v>
      </x:c>
      <x:c r="Z40" s="31" t="str">
        <x:v>STRONG</x:v>
      </x:c>
      <x:c r="AA40" s="19" t="str">
        <x:v>The surface form may realize multiple senses; candidate meaning remains anchored to the report-visible source context.</x:v>
      </x:c>
      <x:c r="AB40" s="31" t="str">
        <x:v>Secondary: Component headword checked: coefficients.; historical: Anchor-period research source/context; Webster 1913 stable component URL recorded but automated page retrieval was unavailable; source: https://www.ipcc.ch/site/assets/uploads/2018/02/WGIIAR5-AnnexII_FINAL.pdf; https://api.dictionaryapi.dev/api/v2/entries/en/radiation%20absorption%20coefficients; https://websters1913.timcieplowski.com/word/coefficients/</x:v>
      </x:c>
      <x:c r="AC40" s="19" t="str">
        <x:v>INTERNET_ARCHIVE_METADATA_TEXT_ITEM_COUNT</x:v>
      </x:c>
      <x:c r="AD40" s="19" t="str">
        <x:v>"radiation absorption coefficients" AND mediatype:texts</x:v>
      </x:c>
      <x:c r="AE40" s="31" t="str">
        <x:v>EXACT_PHRASE</x:v>
      </x:c>
      <x:c r="AF40" s="31" t="str">
        <x:v>COMPLETED_NONZERO</x:v>
      </x:c>
      <x:c r="AG40" s="28" t="n">
        <x:v>20</x:v>
      </x:c>
      <x:c r="AH40" s="19" t="str">
        <x:v>0</x:v>
      </x:c>
      <x:c r="AI40" s="19" t="str">
        <x:v>2026-08-26</x:v>
      </x:c>
      <x:c r="AJ40" s="31" t="str">
        <x:v>Metadata text-item count; not a full-text lexical frequency. Secondary metric: NOT_RUN_OPENALEX_DAILY_BUDGET_EXHAUSTED: shared provider response retained; no count fabricated.</x:v>
      </x:c>
      <x:c r="AK40" s="31" t="str">
        <x:v>FULLY_COVERED</x:v>
      </x:c>
      <x:c r="AL40" s="19" t="str">
        <x:v>PENDING_SOURCE_REVIEW</x:v>
      </x:c>
      <x:c r="AM40" s="20" t="str">
        <x:v>MEDIUM</x:v>
      </x:c>
    </x:row>
    <x:row r="41" ht="34" customHeight="1">
      <x:c r="A41" s="25" t="str">
        <x:v>FT-SEED-R1B-P-1938-07</x:v>
      </x:c>
      <x:c r="B41" s="19" t="str">
        <x:v>1938</x:v>
      </x:c>
      <x:c r="C41" s="28" t="n">
        <x:v>7</x:v>
      </x:c>
      <x:c r="D41" s="31" t="str">
        <x:v>water vapour</x:v>
      </x:c>
      <x:c r="E41" s="31" t="str">
        <x:v>historical climate / climatological condition</x:v>
      </x:c>
      <x:c r="F41" s="19" t="str">
        <x:v>climate</x:v>
      </x:c>
      <x:c r="G41" s="19" t="str">
        <x:v>B</x:v>
      </x:c>
      <x:c r="H41" s="19" t="str">
        <x:v>V1</x:v>
      </x:c>
      <x:c r="I41" s="19" t="str">
        <x:v>NOT_EXPOSED_IN_REPORT</x:v>
      </x:c>
      <x:c r="J41" s="19" t="str">
        <x:v>S1938-CALLENDAR</x:v>
      </x:c>
      <x:c r="K41" s="31" t="str">
        <x:v>RECONSTRUCTED_FROM_REPORT; Fear of Temperature_ Stratified Lexical Expansion, Voice Mapping, and Semantic-Relational Pre-Valida.pdf; p.8; project candidate FT-SEED-R1B-P-1938-07; original visible ID not available</x:v>
      </x:c>
      <x:c r="L41" s="31" t="str">
        <x:v>SUCCEEDED_REUSED_BASELINE</x:v>
      </x:c>
      <x:c r="M41" s="31" t="str">
        <x:v>water vapour</x:v>
      </x:c>
      <x:c r="N41" s="31" t="str">
        <x:v>EXACT</x:v>
      </x:c>
      <x:c r="O41" s="19" t="str">
        <x:v>1842</x:v>
      </x:c>
      <x:c r="P41" s="19" t="str">
        <x:v>1960</x:v>
      </x:c>
      <x:c r="Q41" s="34" t="n">
        <x:v>0.0000011089097011682258</x:v>
      </x:c>
      <x:c r="R41" s="34" t="n">
        <x:v>6.766959614878942e-7</x:v>
      </x:c>
      <x:c r="S41" s="34" t="n">
        <x:v>6.369132615313689e-7</x:v>
      </x:c>
      <x:c r="T41" s="34" t="n">
        <x:v>5.510517200879583e-7</x:v>
      </x:c>
      <x:c r="U41" s="31" t="str">
        <x:v>Candidate surface form is directly representable in the public Ngram interface. Complete 1842–2022 unsmoothed series reused from the audited quantitative-v0.1 baseline.</x:v>
      </x:c>
      <x:c r="V41" s="31" t="str">
        <x:v>TECHNICAL_GLOSSARY</x:v>
      </x:c>
      <x:c r="W41" s="19" t="str">
        <x:v>IPCC climate-science glossary / assessment terminology</x:v>
      </x:c>
      <x:c r="X41" s="31" t="str">
        <x:v>A climatic, atmospheric, meteorological, or causal-science sense in the documented anchor context.</x:v>
      </x:c>
      <x:c r="Y41" s="31" t="str">
        <x:v>Climate as a historical, geographical, seasonal, or climatological condition; the candidate is interpreted in its documented anchor and voice context.</x:v>
      </x:c>
      <x:c r="Z41" s="31" t="str">
        <x:v>STRONG</x:v>
      </x:c>
      <x:c r="AA41" s="19" t="str">
        <x:v>The surface form may realize multiple senses; candidate meaning remains anchored to the report-visible source context.</x:v>
      </x:c>
      <x:c r="AB41" s="31" t="str">
        <x:v>Secondary: Component headword checked: vapour.; historical: Anchor-period research source/context; Webster 1913 stable component URL recorded but automated page retrieval was unavailable; source: https://www.ipcc.ch/site/assets/uploads/2018/02/WGIIAR5-AnnexII_FINAL.pdf; https://api.dictionaryapi.dev/api/v2/entries/en/water%20vapour; https://websters1913.timcieplowski.com/word/vapour/</x:v>
      </x:c>
      <x:c r="AC41" s="19" t="str">
        <x:v>INTERNET_ARCHIVE_METADATA_TEXT_ITEM_COUNT</x:v>
      </x:c>
      <x:c r="AD41" s="19" t="str">
        <x:v>"water vapour" AND mediatype:texts</x:v>
      </x:c>
      <x:c r="AE41" s="31" t="str">
        <x:v>EXACT_PHRASE</x:v>
      </x:c>
      <x:c r="AF41" s="31" t="str">
        <x:v>COMPLETED_NONZERO</x:v>
      </x:c>
      <x:c r="AG41" s="28" t="n">
        <x:v>371</x:v>
      </x:c>
      <x:c r="AH41" s="19" t="str">
        <x:v>0</x:v>
      </x:c>
      <x:c r="AI41" s="19" t="str">
        <x:v>2026-08-26</x:v>
      </x:c>
      <x:c r="AJ41" s="31" t="str">
        <x:v>Metadata text-item count; not a full-text lexical frequency. Secondary metric: NOT_RUN_OPENALEX_DAILY_BUDGET_EXHAUSTED: shared provider response retained; no count fabricated.</x:v>
      </x:c>
      <x:c r="AK41" s="31" t="str">
        <x:v>FULLY_COVERED</x:v>
      </x:c>
      <x:c r="AL41" s="19" t="str">
        <x:v>PENDING_SOURCE_REVIEW</x:v>
      </x:c>
      <x:c r="AM41" s="20" t="str">
        <x:v>MEDIUM</x:v>
      </x:c>
    </x:row>
    <x:row r="42" ht="34" customHeight="1">
      <x:c r="A42" s="25" t="str">
        <x:v>FT-SEED-R1B-P-1938-08</x:v>
      </x:c>
      <x:c r="B42" s="19" t="str">
        <x:v>1938</x:v>
      </x:c>
      <x:c r="C42" s="28" t="n">
        <x:v>8</x:v>
      </x:c>
      <x:c r="D42" s="31" t="str">
        <x:v>sky radiation</x:v>
      </x:c>
      <x:c r="E42" s="31" t="str">
        <x:v>historical climate / climatological condition</x:v>
      </x:c>
      <x:c r="F42" s="19" t="str">
        <x:v>climate</x:v>
      </x:c>
      <x:c r="G42" s="19" t="str">
        <x:v>B</x:v>
      </x:c>
      <x:c r="H42" s="19" t="str">
        <x:v>V1</x:v>
      </x:c>
      <x:c r="I42" s="19" t="str">
        <x:v>NOT_EXPOSED_IN_REPORT</x:v>
      </x:c>
      <x:c r="J42" s="19" t="str">
        <x:v>S1938-CALLENDAR</x:v>
      </x:c>
      <x:c r="K42" s="31" t="str">
        <x:v>RECONSTRUCTED_FROM_REPORT; Fear of Temperature_ Stratified Lexical Expansion, Voice Mapping, and Semantic-Relational Pre-Valida.pdf; p.8; project candidate FT-SEED-R1B-P-1938-08; original visible ID not available</x:v>
      </x:c>
      <x:c r="L42" s="31" t="str">
        <x:v>SUCCEEDED_REUSED_BASELINE</x:v>
      </x:c>
      <x:c r="M42" s="31" t="str">
        <x:v>sky radiation</x:v>
      </x:c>
      <x:c r="N42" s="31" t="str">
        <x:v>EXACT</x:v>
      </x:c>
      <x:c r="O42" s="19" t="str">
        <x:v>1843</x:v>
      </x:c>
      <x:c r="P42" s="19" t="str">
        <x:v>1964</x:v>
      </x:c>
      <x:c r="Q42" s="34" t="n">
        <x:v>1.2076405697669657e-7</x:v>
      </x:c>
      <x:c r="R42" s="34" t="n">
        <x:v>7.016433356543672e-8</x:v>
      </x:c>
      <x:c r="S42" s="34" t="n">
        <x:v>4.266326549262622e-8</x:v>
      </x:c>
      <x:c r="T42" s="34" t="n">
        <x:v>8.007414870059293e-9</x:v>
      </x:c>
      <x:c r="U42" s="31" t="str">
        <x:v>Candidate surface form is directly representable in the public Ngram interface. Complete 1842–2022 unsmoothed series reused from the audited quantitative-v0.1 baseline.</x:v>
      </x:c>
      <x:c r="V42" s="31" t="str">
        <x:v>NO_STANDALONE_HEADWORD</x:v>
      </x:c>
      <x:c r="W42" s="19" t="str">
        <x:v>Component lexical analysis plus anchor-source contextual meaning</x:v>
      </x:c>
      <x:c r="X42" s="31" t="str">
        <x:v>A climatic, atmospheric, meteorological, or causal-science sense in the documented anchor context.</x:v>
      </x:c>
      <x:c r="Y42" s="31" t="str">
        <x:v>Climate as a historical, geographical, seasonal, or climatological condition; the candidate is interpreted in its documented anchor and voice context.</x:v>
      </x:c>
      <x:c r="Z42" s="31" t="str">
        <x:v>STRONG</x:v>
      </x:c>
      <x:c r="AA42" s="19" t="str">
        <x:v>The surface form may realize multiple senses; candidate meaning remains anchored to the report-visible source context.</x:v>
      </x:c>
      <x:c r="AB42" s="31" t="str">
        <x:v>Secondary: Component headword checked: radiation.;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https://api.dictionaryapi.dev/api/v2/entries/en/sky%20radiation; https://websters1913.timcieplowski.com/word/radiation/</x:v>
      </x:c>
      <x:c r="AC42" s="19" t="str">
        <x:v>INTERNET_ARCHIVE_METADATA_TEXT_ITEM_COUNT</x:v>
      </x:c>
      <x:c r="AD42" s="19" t="str">
        <x:v>"sky radiation" AND mediatype:texts</x:v>
      </x:c>
      <x:c r="AE42" s="31" t="str">
        <x:v>EXACT_PHRASE</x:v>
      </x:c>
      <x:c r="AF42" s="31" t="str">
        <x:v>COMPLETED_NONZERO</x:v>
      </x:c>
      <x:c r="AG42" s="28" t="n">
        <x:v>78</x:v>
      </x:c>
      <x:c r="AH42" s="19" t="str">
        <x:v>0</x:v>
      </x:c>
      <x:c r="AI42" s="19" t="str">
        <x:v>2026-08-26</x:v>
      </x:c>
      <x:c r="AJ42" s="31" t="str">
        <x:v>Metadata text-item count; not a full-text lexical frequency. Secondary metric: NOT_RUN_OPENALEX_DAILY_BUDGET_EXHAUSTED: shared provider response retained; no count fabricated.</x:v>
      </x:c>
      <x:c r="AK42" s="31" t="str">
        <x:v>FULLY_COVERED</x:v>
      </x:c>
      <x:c r="AL42" s="19" t="str">
        <x:v>PENDING_SOURCE_REVIEW</x:v>
      </x:c>
      <x:c r="AM42" s="20" t="str">
        <x:v>MEDIUM</x:v>
      </x:c>
    </x:row>
    <x:row r="43" ht="34" customHeight="1">
      <x:c r="A43" s="25" t="str">
        <x:v>FT-SEED-R1B-P-1938-09</x:v>
      </x:c>
      <x:c r="B43" s="19" t="str">
        <x:v>1938</x:v>
      </x:c>
      <x:c r="C43" s="28" t="n">
        <x:v>9</x:v>
      </x:c>
      <x:c r="D43" s="31" t="str">
        <x:v>increase in mean temperature</x:v>
      </x:c>
      <x:c r="E43" s="31" t="str">
        <x:v>mean temperature</x:v>
      </x:c>
      <x:c r="F43" s="19" t="str">
        <x:v>temperature_threshold</x:v>
      </x:c>
      <x:c r="G43" s="19" t="str">
        <x:v>A</x:v>
      </x:c>
      <x:c r="H43" s="19" t="str">
        <x:v>V1</x:v>
      </x:c>
      <x:c r="I43" s="19" t="str">
        <x:v>NOT_EXPOSED_IN_REPORT</x:v>
      </x:c>
      <x:c r="J43" s="19" t="str">
        <x:v>S1938-CALLENDAR</x:v>
      </x:c>
      <x:c r="K43" s="31" t="str">
        <x:v>RECONSTRUCTED_FROM_REPORT; Fear of Temperature_ Stratified Lexical Expansion, Voice Mapping, and Semantic-Relational Pre-Valida.pdf; p.8; project candidate FT-SEED-R1B-P-1938-09; original visible ID not available</x:v>
      </x:c>
      <x:c r="L43" s="31" t="str">
        <x:v>SUCCEEDED_REUSED_BASELINE</x:v>
      </x:c>
      <x:c r="M43" s="31" t="str">
        <x:v>increase in mean temperature</x:v>
      </x:c>
      <x:c r="N43" s="31" t="str">
        <x:v>EXACT</x:v>
      </x:c>
      <x:c r="O43" s="19" t="str">
        <x:v>1868</x:v>
      </x:c>
      <x:c r="P43" s="19" t="str">
        <x:v>1868</x:v>
      </x:c>
      <x:c r="Q43" s="34" t="n">
        <x:v>4.0505838683202455e-9</x:v>
      </x:c>
      <x:c r="R43" s="34" t="n">
        <x:v>2.30258700995023e-9</x:v>
      </x:c>
      <x:c r="S43" s="34" t="n">
        <x:v>1.2013295913604338e-9</x:v>
      </x:c>
      <x:c r="T43" s="34" t="n">
        <x:v>3.455194436119413e-9</x:v>
      </x:c>
      <x:c r="U43" s="31" t="str">
        <x:v>Candidate surface form is directly representable in the public Ngram interface. Complete 1842–2022 unsmoothed series reused from the audited quantitative-v0.1 baseline.</x:v>
      </x:c>
      <x:c r="V43" s="31" t="str">
        <x:v>NO_STANDALONE_HEADWORD</x:v>
      </x:c>
      <x:c r="W43" s="19" t="str">
        <x:v>Component lexical analysis plus anchor-source contextual meaning</x:v>
      </x:c>
      <x:c r="X43" s="31" t="str">
        <x:v>A physical temperature, warming, heat, or measurement sense in the documented anchor context.</x:v>
      </x:c>
      <x:c r="Y43" s="31" t="str">
        <x:v>A temporally or spatially averaged temperature value; the candidate is interpreted in its documented anchor and voice context.</x:v>
      </x:c>
      <x:c r="Z43" s="31" t="str">
        <x:v>STRONG</x:v>
      </x:c>
      <x:c r="AA43" s="19" t="str">
        <x:v>The surface form may realize multiple senses; candidate meaning remains anchored to the report-visible source context.</x:v>
      </x:c>
      <x:c r="AB43"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https://api.dictionaryapi.dev/api/v2/entries/en/increase%20in%20mean%20temperature; https://websters1913.timcieplowski.com/word/temperature/</x:v>
      </x:c>
      <x:c r="AC43" s="19" t="str">
        <x:v>INTERNET_ARCHIVE_METADATA_TEXT_ITEM_COUNT</x:v>
      </x:c>
      <x:c r="AD43" s="19" t="str">
        <x:v>"increase in mean temperature" AND mediatype:texts</x:v>
      </x:c>
      <x:c r="AE43" s="31" t="str">
        <x:v>EXACT_PHRASE</x:v>
      </x:c>
      <x:c r="AF43" s="31" t="str">
        <x:v>COMPLETED_NONZERO</x:v>
      </x:c>
      <x:c r="AG43" s="28" t="n">
        <x:v>6</x:v>
      </x:c>
      <x:c r="AH43" s="19" t="str">
        <x:v>0</x:v>
      </x:c>
      <x:c r="AI43" s="19" t="str">
        <x:v>2026-08-26</x:v>
      </x:c>
      <x:c r="AJ43" s="31" t="str">
        <x:v>Metadata text-item count; not a full-text lexical frequency. Secondary metric: NOT_RUN_OPENALEX_DAILY_BUDGET_EXHAUSTED: shared provider response retained; no count fabricated.</x:v>
      </x:c>
      <x:c r="AK43" s="31" t="str">
        <x:v>FULLY_COVERED</x:v>
      </x:c>
      <x:c r="AL43" s="19" t="str">
        <x:v>PENDING_SOURCE_REVIEW</x:v>
      </x:c>
      <x:c r="AM43" s="20" t="str">
        <x:v>MEDIUM</x:v>
      </x:c>
    </x:row>
    <x:row r="44" ht="34" customHeight="1">
      <x:c r="A44" s="25" t="str">
        <x:v>FT-SEED-R1B-P-1938-10</x:v>
      </x:c>
      <x:c r="B44" s="19" t="str">
        <x:v>1938</x:v>
      </x:c>
      <x:c r="C44" s="28" t="n">
        <x:v>10</x:v>
      </x:c>
      <x:c r="D44" s="31" t="str">
        <x:v>mean temperature</x:v>
      </x:c>
      <x:c r="E44" s="31" t="str">
        <x:v>mean temperature</x:v>
      </x:c>
      <x:c r="F44" s="19" t="str">
        <x:v>temperature_threshold</x:v>
      </x:c>
      <x:c r="G44" s="19" t="str">
        <x:v>A</x:v>
      </x:c>
      <x:c r="H44" s="19" t="str">
        <x:v>V1</x:v>
      </x:c>
      <x:c r="I44" s="19" t="str">
        <x:v>NOT_EXPOSED_IN_REPORT</x:v>
      </x:c>
      <x:c r="J44" s="19" t="str">
        <x:v>S1938-CALLENDAR</x:v>
      </x:c>
      <x:c r="K44" s="31" t="str">
        <x:v>RECONSTRUCTED_FROM_REPORT; Fear of Temperature_ Stratified Lexical Expansion, Voice Mapping, and Semantic-Relational Pre-Valida.pdf; p.8; project candidate FT-SEED-R1B-P-1938-10; original visible ID not available</x:v>
      </x:c>
      <x:c r="L44" s="31" t="str">
        <x:v>SUCCEEDED_REUSED_BASELINE</x:v>
      </x:c>
      <x:c r="M44" s="31" t="str">
        <x:v>mean temperature</x:v>
      </x:c>
      <x:c r="N44" s="31" t="str">
        <x:v>EXACT</x:v>
      </x:c>
      <x:c r="O44" s="19" t="str">
        <x:v>1842</x:v>
      </x:c>
      <x:c r="P44" s="19" t="str">
        <x:v>1858</x:v>
      </x:c>
      <x:c r="Q44" s="34" t="n">
        <x:v>0.000003219442511692705</x:v>
      </x:c>
      <x:c r="R44" s="34" t="n">
        <x:v>0.0000010646044789619502</x:v>
      </x:c>
      <x:c r="S44" s="34" t="n">
        <x:v>8.800343775428044e-7</x:v>
      </x:c>
      <x:c r="T44" s="34" t="n">
        <x:v>3.990877988080399e-7</x:v>
      </x:c>
      <x:c r="U44" s="31" t="str">
        <x:v>Candidate surface form is directly representable in the public Ngram interface. Complete 1842–2022 unsmoothed series reused from the audited quantitative-v0.1 baseline.</x:v>
      </x:c>
      <x:c r="V44" s="31" t="str">
        <x:v>NO_STANDALONE_HEADWORD</x:v>
      </x:c>
      <x:c r="W44" s="19" t="str">
        <x:v>Component lexical analysis plus anchor-source contextual meaning</x:v>
      </x:c>
      <x:c r="X44" s="31" t="str">
        <x:v>A physical temperature, warming, heat, or measurement sense in the documented anchor context.</x:v>
      </x:c>
      <x:c r="Y44" s="31" t="str">
        <x:v>A temporally or spatially averaged temperature value; the candidate is interpreted in its documented anchor and voice context.</x:v>
      </x:c>
      <x:c r="Z44" s="31" t="str">
        <x:v>STRONG</x:v>
      </x:c>
      <x:c r="AA44" s="19" t="str">
        <x:v>The surface form may realize multiple senses; candidate meaning remains anchored to the report-visible source context.</x:v>
      </x:c>
      <x:c r="AB44"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https://api.dictionaryapi.dev/api/v2/entries/en/mean%20temperature; https://websters1913.timcieplowski.com/word/temperature/</x:v>
      </x:c>
      <x:c r="AC44" s="19" t="str">
        <x:v>INTERNET_ARCHIVE_METADATA_TEXT_ITEM_COUNT</x:v>
      </x:c>
      <x:c r="AD44" s="19" t="str">
        <x:v>"mean temperature" AND mediatype:texts</x:v>
      </x:c>
      <x:c r="AE44" s="31" t="str">
        <x:v>EXACT_PHRASE</x:v>
      </x:c>
      <x:c r="AF44" s="31" t="str">
        <x:v>COMPLETED_NONZERO</x:v>
      </x:c>
      <x:c r="AG44" s="28" t="n">
        <x:v>664</x:v>
      </x:c>
      <x:c r="AH44" s="19" t="str">
        <x:v>4</x:v>
      </x:c>
      <x:c r="AI44" s="19" t="str">
        <x:v>2026-08-26</x:v>
      </x:c>
      <x:c r="AJ44" s="31" t="str">
        <x:v>Metadata text-item count; not a full-text lexical frequency. Secondary metric: NOT_RUN_OPENALEX_DAILY_BUDGET_EXHAUSTED: shared provider response retained; no count fabricated.</x:v>
      </x:c>
      <x:c r="AK44" s="31" t="str">
        <x:v>FULLY_COVERED</x:v>
      </x:c>
      <x:c r="AL44" s="19" t="str">
        <x:v>PENDING_SOURCE_REVIEW</x:v>
      </x:c>
      <x:c r="AM44" s="20" t="str">
        <x:v>MEDIUM</x:v>
      </x:c>
    </x:row>
    <x:row r="45" ht="34" customHeight="1">
      <x:c r="A45" s="25" t="str">
        <x:v>FT-SEED-R1B-P-1938-11</x:v>
      </x:c>
      <x:c r="B45" s="19" t="str">
        <x:v>1938</x:v>
      </x:c>
      <x:c r="C45" s="28" t="n">
        <x:v>11</x:v>
      </x:c>
      <x:c r="D45" s="31" t="str">
        <x:v>temperature observations</x:v>
      </x:c>
      <x:c r="E45" s="31" t="str">
        <x:v>local / instrumental temperature</x:v>
      </x:c>
      <x:c r="F45" s="19" t="str">
        <x:v>temperature_threshold</x:v>
      </x:c>
      <x:c r="G45" s="19" t="str">
        <x:v>A</x:v>
      </x:c>
      <x:c r="H45" s="19" t="str">
        <x:v>V1</x:v>
      </x:c>
      <x:c r="I45" s="19" t="str">
        <x:v>NOT_EXPOSED_IN_REPORT</x:v>
      </x:c>
      <x:c r="J45" s="19" t="str">
        <x:v>S1938-CALLENDAR</x:v>
      </x:c>
      <x:c r="K45" s="31" t="str">
        <x:v>RECONSTRUCTED_FROM_REPORT; Fear of Temperature_ Stratified Lexical Expansion, Voice Mapping, and Semantic-Relational Pre-Valida.pdf; p.7; project candidate FT-SEED-R1B-P-1938-11; original visible ID not available</x:v>
      </x:c>
      <x:c r="L45" s="31" t="str">
        <x:v>SUCCEEDED_REUSED_BASELINE</x:v>
      </x:c>
      <x:c r="M45" s="31" t="str">
        <x:v>temperature observations</x:v>
      </x:c>
      <x:c r="N45" s="31" t="str">
        <x:v>EXACT</x:v>
      </x:c>
      <x:c r="O45" s="19" t="str">
        <x:v>1843</x:v>
      </x:c>
      <x:c r="P45" s="19" t="str">
        <x:v>1908</x:v>
      </x:c>
      <x:c r="Q45" s="34" t="n">
        <x:v>1.8129981749215318e-7</x:v>
      </x:c>
      <x:c r="R45" s="34" t="n">
        <x:v>3.630725631253995e-8</x:v>
      </x:c>
      <x:c r="S45" s="34" t="n">
        <x:v>3.627383349247282e-8</x:v>
      </x:c>
      <x:c r="T45" s="34" t="n">
        <x:v>1.0794526161816975e-8</x:v>
      </x:c>
      <x:c r="U45" s="31" t="str">
        <x:v>Candidate surface form is directly representable in the public Ngram interface. Complete 1842–2022 unsmoothed series reused from the audited quantitative-v0.1 baseline.</x:v>
      </x:c>
      <x:c r="V45" s="31" t="str">
        <x:v>NO_STANDALONE_HEADWORD</x:v>
      </x:c>
      <x:c r="W45" s="19" t="str">
        <x:v>Component lexical analysis plus anchor-source contextual meaning</x:v>
      </x:c>
      <x:c r="X45" s="31" t="str">
        <x:v>A physical temperature, warming, heat, or measurement sense in the documented anchor context.</x:v>
      </x:c>
      <x:c r="Y45" s="31" t="str">
        <x:v>A local or instrument-specific temperature reading; the candidate is interpreted in its documented anchor and voice context.</x:v>
      </x:c>
      <x:c r="Z45" s="31" t="str">
        <x:v>STRONG</x:v>
      </x:c>
      <x:c r="AA45" s="19" t="str">
        <x:v>The surface form may realize multiple senses; candidate meaning remains anchored to the report-visible source context.</x:v>
      </x:c>
      <x:c r="AB45"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https://api.dictionaryapi.dev/api/v2/entries/en/temperature%20observations; https://websters1913.timcieplowski.com/word/observations/</x:v>
      </x:c>
      <x:c r="AC45" s="19" t="str">
        <x:v>INTERNET_ARCHIVE_METADATA_TEXT_ITEM_COUNT</x:v>
      </x:c>
      <x:c r="AD45" s="19" t="str">
        <x:v>"temperature observations" AND mediatype:texts</x:v>
      </x:c>
      <x:c r="AE45" s="31" t="str">
        <x:v>EXACT_PHRASE</x:v>
      </x:c>
      <x:c r="AF45" s="31" t="str">
        <x:v>COMPLETED_NONZERO</x:v>
      </x:c>
      <x:c r="AG45" s="28" t="n">
        <x:v>141</x:v>
      </x:c>
      <x:c r="AH45" s="19" t="str">
        <x:v>0</x:v>
      </x:c>
      <x:c r="AI45" s="19" t="str">
        <x:v>2026-08-26</x:v>
      </x:c>
      <x:c r="AJ45" s="31" t="str">
        <x:v>Metadata text-item count; not a full-text lexical frequency. Secondary metric: NOT_RUN_OPENALEX_DAILY_BUDGET_EXHAUSTED: shared provider response retained; no count fabricated.</x:v>
      </x:c>
      <x:c r="AK45" s="31" t="str">
        <x:v>FULLY_COVERED</x:v>
      </x:c>
      <x:c r="AL45" s="19" t="str">
        <x:v>PENDING_SOURCE_REVIEW</x:v>
      </x:c>
      <x:c r="AM45" s="20" t="str">
        <x:v>MEDIUM</x:v>
      </x:c>
    </x:row>
    <x:row r="46" ht="34" customHeight="1">
      <x:c r="A46" s="25" t="str">
        <x:v>FT-SEED-R1B-P-1938-12</x:v>
      </x:c>
      <x:c r="B46" s="19" t="str">
        <x:v>1938</x:v>
      </x:c>
      <x:c r="C46" s="28" t="n">
        <x:v>12</x:v>
      </x:c>
      <x:c r="D46" s="31" t="str">
        <x:v>meteorological stations</x:v>
      </x:c>
      <x:c r="E46" s="31" t="str">
        <x:v>historical climate / climatological condition</x:v>
      </x:c>
      <x:c r="F46" s="19" t="str">
        <x:v>climate</x:v>
      </x:c>
      <x:c r="G46" s="19" t="str">
        <x:v>B</x:v>
      </x:c>
      <x:c r="H46" s="19" t="str">
        <x:v>V1</x:v>
      </x:c>
      <x:c r="I46" s="19" t="str">
        <x:v>NOT_EXPOSED_IN_REPORT</x:v>
      </x:c>
      <x:c r="J46" s="19" t="str">
        <x:v>S1938-CALLENDAR</x:v>
      </x:c>
      <x:c r="K46" s="31" t="str">
        <x:v>RECONSTRUCTED_FROM_REPORT; Fear of Temperature_ Stratified Lexical Expansion, Voice Mapping, and Semantic-Relational Pre-Valida.pdf; p.7; project candidate FT-SEED-R1B-P-1938-12; original visible ID not available</x:v>
      </x:c>
      <x:c r="L46" s="31" t="str">
        <x:v>SUCCEEDED_REUSED_BASELINE</x:v>
      </x:c>
      <x:c r="M46" s="31" t="str">
        <x:v>meteorological stations</x:v>
      </x:c>
      <x:c r="N46" s="31" t="str">
        <x:v>EXACT</x:v>
      </x:c>
      <x:c r="O46" s="19" t="str">
        <x:v>1842</x:v>
      </x:c>
      <x:c r="P46" s="19" t="str">
        <x:v>1965</x:v>
      </x:c>
      <x:c r="Q46" s="34" t="n">
        <x:v>1.655199003414154e-7</x:v>
      </x:c>
      <x:c r="R46" s="34" t="n">
        <x:v>9.076814153075041e-8</x:v>
      </x:c>
      <x:c r="S46" s="34" t="n">
        <x:v>8.024797307215614e-8</x:v>
      </x:c>
      <x:c r="T46" s="34" t="n">
        <x:v>5.7069422049194074e-8</x:v>
      </x:c>
      <x:c r="U46" s="31" t="str">
        <x:v>Candidate surface form is directly representable in the public Ngram interface. Complete 1842–2022 unsmoothed series reused from the audited quantitative-v0.1 baseline.</x:v>
      </x:c>
      <x:c r="V46" s="31" t="str">
        <x:v>NO_STANDALONE_HEADWORD</x:v>
      </x:c>
      <x:c r="W46" s="19" t="str">
        <x:v>Component lexical analysis plus anchor-source contextual meaning</x:v>
      </x:c>
      <x:c r="X46" s="31" t="str">
        <x:v>A climatic, atmospheric, meteorological, or causal-science sense in the documented anchor context.</x:v>
      </x:c>
      <x:c r="Y46" s="31" t="str">
        <x:v>Climate as a historical, geographical, seasonal, or climatological condition; the candidate is interpreted in its documented anchor and voice context.</x:v>
      </x:c>
      <x:c r="Z46" s="31" t="str">
        <x:v>STRONG</x:v>
      </x:c>
      <x:c r="AA46" s="19" t="str">
        <x:v>The surface form may realize multiple senses; candidate meaning remains anchored to the report-visible source context.</x:v>
      </x:c>
      <x:c r="AB46" s="31" t="str">
        <x:v>Secondary: Component headword checked: stations.;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https://api.dictionaryapi.dev/api/v2/entries/en/meteorological%20stations; https://websters1913.timcieplowski.com/word/stations/</x:v>
      </x:c>
      <x:c r="AC46" s="19" t="str">
        <x:v>INTERNET_ARCHIVE_METADATA_TEXT_ITEM_COUNT</x:v>
      </x:c>
      <x:c r="AD46" s="19" t="str">
        <x:v>"meteorological stations" AND mediatype:texts</x:v>
      </x:c>
      <x:c r="AE46" s="31" t="str">
        <x:v>EXACT_PHRASE</x:v>
      </x:c>
      <x:c r="AF46" s="31" t="str">
        <x:v>COMPLETED_NONZERO</x:v>
      </x:c>
      <x:c r="AG46" s="28" t="n">
        <x:v>336</x:v>
      </x:c>
      <x:c r="AH46" s="19" t="str">
        <x:v>0</x:v>
      </x:c>
      <x:c r="AI46" s="19" t="str">
        <x:v>2026-08-26</x:v>
      </x:c>
      <x:c r="AJ46" s="31" t="str">
        <x:v>Metadata text-item count; not a full-text lexical frequency. Secondary metric: NOT_RUN_OPENALEX_DAILY_BUDGET_EXHAUSTED: shared provider response retained; no count fabricated.</x:v>
      </x:c>
      <x:c r="AK46" s="31" t="str">
        <x:v>FULLY_COVERED</x:v>
      </x:c>
      <x:c r="AL46" s="19" t="str">
        <x:v>PENDING_SOURCE_REVIEW</x:v>
      </x:c>
      <x:c r="AM46" s="20" t="str">
        <x:v>MEDIUM</x:v>
      </x:c>
    </x:row>
    <x:row r="47" ht="34" customHeight="1">
      <x:c r="A47" s="25" t="str">
        <x:v>FT-SEED-R1B-P-1938-13</x:v>
      </x:c>
      <x:c r="B47" s="19" t="str">
        <x:v>1938</x:v>
      </x:c>
      <x:c r="C47" s="28" t="n">
        <x:v>13</x:v>
      </x:c>
      <x:c r="D47" s="31" t="str">
        <x:v>world temperatures</x:v>
      </x:c>
      <x:c r="E47" s="31" t="str">
        <x:v>global aggregate temperature</x:v>
      </x:c>
      <x:c r="F47" s="19" t="str">
        <x:v>temperature_threshold</x:v>
      </x:c>
      <x:c r="G47" s="19" t="str">
        <x:v>A</x:v>
      </x:c>
      <x:c r="H47" s="19" t="str">
        <x:v>V1</x:v>
      </x:c>
      <x:c r="I47" s="19" t="str">
        <x:v>NOT_EXPOSED_IN_REPORT</x:v>
      </x:c>
      <x:c r="J47" s="19" t="str">
        <x:v>S1938-CALLENDAR</x:v>
      </x:c>
      <x:c r="K47" s="31" t="str">
        <x:v>RECONSTRUCTED_FROM_REPORT; Fear of Temperature_ Stratified Lexical Expansion, Voice Mapping, and Semantic-Relational Pre-Valida.pdf; p.8; project candidate FT-SEED-R1B-P-1938-13; original visible ID not available</x:v>
      </x:c>
      <x:c r="L47" s="31" t="str">
        <x:v>SUCCEEDED_REUSED_BASELINE</x:v>
      </x:c>
      <x:c r="M47" s="31" t="str">
        <x:v>world temperatures</x:v>
      </x:c>
      <x:c r="N47" s="31" t="str">
        <x:v>EXACT</x:v>
      </x:c>
      <x:c r="O47" s="19" t="str">
        <x:v>1889</x:v>
      </x:c>
      <x:c r="P47" s="19" t="str">
        <x:v>2007</x:v>
      </x:c>
      <x:c r="Q47" s="34" t="n">
        <x:v>7.465921342958426e-9</x:v>
      </x:c>
      <x:c r="R47" s="34" t="n">
        <x:v>2.5615549820168226e-9</x:v>
      </x:c>
      <x:c r="S47" s="34" t="n">
        <x:v>1.5256018087717038e-9</x:v>
      </x:c>
      <x:c r="T47" s="34" t="n">
        <x:v>4.114307144975626e-9</x:v>
      </x:c>
      <x:c r="U47" s="31" t="str">
        <x:v>Candidate surface form is directly representable in the public Ngram interface. Complete 1842–2022 unsmoothed series reused from the audited quantitative-v0.1 baseline.</x:v>
      </x:c>
      <x:c r="V47" s="31" t="str">
        <x:v>NO_STANDALONE_HEADWORD</x:v>
      </x:c>
      <x:c r="W47" s="19" t="str">
        <x:v>Component lexical analysis plus anchor-source contextual meaning</x:v>
      </x:c>
      <x:c r="X47" s="31" t="str">
        <x:v>A physical temperature, warming, heat, or measurement sense in the documented anchor context.</x:v>
      </x:c>
      <x:c r="Y47" s="31" t="str">
        <x:v>A global-scale aggregate temperature metric; the candidate is interpreted in its documented anchor and voice context.</x:v>
      </x:c>
      <x:c r="Z47" s="31" t="str">
        <x:v>STRONG</x:v>
      </x:c>
      <x:c r="AA47" s="19" t="str">
        <x:v>The surface form may realize multiple senses; candidate meaning remains anchored to the report-visible source context.</x:v>
      </x:c>
      <x:c r="AB47"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https://api.dictionaryapi.dev/api/v2/entries/en/world%20temperatures; https://websters1913.timcieplowski.com/word/temperatures/</x:v>
      </x:c>
      <x:c r="AC47" s="19" t="str">
        <x:v>INTERNET_ARCHIVE_METADATA_TEXT_ITEM_COUNT</x:v>
      </x:c>
      <x:c r="AD47" s="19" t="str">
        <x:v>"world temperatures" AND mediatype:texts</x:v>
      </x:c>
      <x:c r="AE47" s="31" t="str">
        <x:v>EXACT_PHRASE</x:v>
      </x:c>
      <x:c r="AF47" s="31" t="str">
        <x:v>COMPLETED_NONZERO</x:v>
      </x:c>
      <x:c r="AG47" s="28" t="n">
        <x:v>3</x:v>
      </x:c>
      <x:c r="AH47" s="19" t="str">
        <x:v>0</x:v>
      </x:c>
      <x:c r="AI47" s="19" t="str">
        <x:v>2026-08-26</x:v>
      </x:c>
      <x:c r="AJ47" s="31" t="str">
        <x:v>Metadata text-item count; not a full-text lexical frequency. Secondary metric: NOT_RUN_OPENALEX_DAILY_BUDGET_EXHAUSTED: shared provider response retained; no count fabricated.</x:v>
      </x:c>
      <x:c r="AK47" s="31" t="str">
        <x:v>FULLY_COVERED</x:v>
      </x:c>
      <x:c r="AL47" s="19" t="str">
        <x:v>PENDING_SOURCE_REVIEW</x:v>
      </x:c>
      <x:c r="AM47" s="20" t="str">
        <x:v>MEDIUM</x:v>
      </x:c>
    </x:row>
    <x:row r="48" ht="34" customHeight="1">
      <x:c r="A48" s="25" t="str">
        <x:v>FT-SEED-R1B-P-1938-14</x:v>
      </x:c>
      <x:c r="B48" s="19" t="str">
        <x:v>1938</x:v>
      </x:c>
      <x:c r="C48" s="28" t="n">
        <x:v>14</x:v>
      </x:c>
      <x:c r="D48" s="31" t="str">
        <x:v>actually increased</x:v>
      </x:c>
      <x:c r="E48" s="31" t="str">
        <x:v>temperature increase</x:v>
      </x:c>
      <x:c r="F48" s="19" t="str">
        <x:v>warming</x:v>
      </x:c>
      <x:c r="G48" s="19" t="str">
        <x:v>A</x:v>
      </x:c>
      <x:c r="H48" s="19" t="str">
        <x:v>V1</x:v>
      </x:c>
      <x:c r="I48" s="19" t="str">
        <x:v>NOT_EXPOSED_IN_REPORT</x:v>
      </x:c>
      <x:c r="J48" s="19" t="str">
        <x:v>S1938-CALLENDAR</x:v>
      </x:c>
      <x:c r="K48" s="31" t="str">
        <x:v>RECONSTRUCTED_FROM_REPORT; Fear of Temperature_ Stratified Lexical Expansion, Voice Mapping, and Semantic-Relational Pre-Valida.pdf; p.8; project candidate FT-SEED-R1B-P-1938-14; original visible ID not available</x:v>
      </x:c>
      <x:c r="L48" s="31" t="str">
        <x:v>SUCCEEDED_REUSED_BASELINE</x:v>
      </x:c>
      <x:c r="M48" s="31" t="str">
        <x:v>actually increased</x:v>
      </x:c>
      <x:c r="N48" s="31" t="str">
        <x:v>EXACT</x:v>
      </x:c>
      <x:c r="O48" s="19" t="str">
        <x:v>1842</x:v>
      </x:c>
      <x:c r="P48" s="19" t="str">
        <x:v>1933</x:v>
      </x:c>
      <x:c r="Q48" s="34" t="n">
        <x:v>2.775292560763809e-7</x:v>
      </x:c>
      <x:c r="R48" s="34" t="n">
        <x:v>1.8042256490213848e-7</x:v>
      </x:c>
      <x:c r="S48" s="34" t="n">
        <x:v>1.734230705124906e-7</x:v>
      </x:c>
      <x:c r="T48" s="34" t="n">
        <x:v>1.0051296917001906e-7</x:v>
      </x:c>
      <x:c r="U48" s="31" t="str">
        <x:v>Candidate surface form is directly representable in the public Ngram interface. Complete 1842–2022 unsmoothed series reused from the audited quantitative-v0.1 baseline.</x:v>
      </x:c>
      <x:c r="V48" s="31" t="str">
        <x:v>NO_STANDALONE_HEADWORD</x:v>
      </x:c>
      <x:c r="W48" s="19" t="str">
        <x:v>Component lexical analysis plus anchor-source contextual meaning</x:v>
      </x:c>
      <x:c r="X48" s="31" t="str">
        <x:v>A physical temperature, warming, heat, or measurement sense in the documented anchor context.</x:v>
      </x:c>
      <x:c r="Y48" s="31" t="str">
        <x:v>An observed, estimated, or projected increase in temperature; the candidate is interpreted in its documented anchor and voice context.</x:v>
      </x:c>
      <x:c r="Z48" s="31" t="str">
        <x:v>STRONG</x:v>
      </x:c>
      <x:c r="AA48" s="19" t="str">
        <x:v>The surface form may realize multiple senses; candidate meaning remains anchored to the report-visible source context.</x:v>
      </x:c>
      <x:c r="AB48" s="31" t="str">
        <x:v>Secondary: Component headword checked: increased.;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https://api.dictionaryapi.dev/api/v2/entries/en/actually%20increased; https://websters1913.timcieplowski.com/word/increased/</x:v>
      </x:c>
      <x:c r="AC48" s="19" t="str">
        <x:v>INTERNET_ARCHIVE_METADATA_TEXT_ITEM_COUNT</x:v>
      </x:c>
      <x:c r="AD48" s="19" t="str">
        <x:v>"actually increased" AND mediatype:texts</x:v>
      </x:c>
      <x:c r="AE48" s="31" t="str">
        <x:v>EXACT_PHRASE</x:v>
      </x:c>
      <x:c r="AF48" s="31" t="str">
        <x:v>COMPLETED_NONZERO</x:v>
      </x:c>
      <x:c r="AG48" s="28" t="n">
        <x:v>151</x:v>
      </x:c>
      <x:c r="AH48" s="19" t="str">
        <x:v>0</x:v>
      </x:c>
      <x:c r="AI48" s="19" t="str">
        <x:v>2026-08-26</x:v>
      </x:c>
      <x:c r="AJ48" s="31" t="str">
        <x:v>Metadata text-item count; not a full-text lexical frequency. Secondary metric: Scholarly work discoverability count over OpenAlex search fields; not a corpus word frequency.</x:v>
      </x:c>
      <x:c r="AK48" s="31" t="str">
        <x:v>FULLY_COVERED</x:v>
      </x:c>
      <x:c r="AL48" s="19" t="str">
        <x:v>PENDING_SOURCE_REVIEW</x:v>
      </x:c>
      <x:c r="AM48" s="20" t="str">
        <x:v>MEDIUM</x:v>
      </x:c>
    </x:row>
    <x:row r="49" ht="34" customHeight="1">
      <x:c r="A49" s="25" t="str">
        <x:v>FT-SEED-R1B-P-1938-15</x:v>
      </x:c>
      <x:c r="B49" s="19" t="str">
        <x:v>1938</x:v>
      </x:c>
      <x:c r="C49" s="28" t="n">
        <x:v>15</x:v>
      </x:c>
      <x:c r="D49" s="31" t="str">
        <x:v>average rate</x:v>
      </x:c>
      <x:c r="E49" s="31" t="str">
        <x:v>local / instrumental temperature</x:v>
      </x:c>
      <x:c r="F49" s="19" t="str">
        <x:v>temperature_threshold</x:v>
      </x:c>
      <x:c r="G49" s="19" t="str">
        <x:v>A</x:v>
      </x:c>
      <x:c r="H49" s="19" t="str">
        <x:v>V1</x:v>
      </x:c>
      <x:c r="I49" s="19" t="str">
        <x:v>NOT_EXPOSED_IN_REPORT</x:v>
      </x:c>
      <x:c r="J49" s="19" t="str">
        <x:v>S1938-CALLENDAR</x:v>
      </x:c>
      <x:c r="K49" s="31" t="str">
        <x:v>RECONSTRUCTED_FROM_REPORT; Fear of Temperature_ Stratified Lexical Expansion, Voice Mapping, and Semantic-Relational Pre-Valida.pdf; p.8; project candidate FT-SEED-R1B-P-1938-15; original visible ID not available</x:v>
      </x:c>
      <x:c r="L49" s="31" t="str">
        <x:v>SUCCEEDED_REUSED_BASELINE</x:v>
      </x:c>
      <x:c r="M49" s="31" t="str">
        <x:v>average rate</x:v>
      </x:c>
      <x:c r="N49" s="31" t="str">
        <x:v>EXACT</x:v>
      </x:c>
      <x:c r="O49" s="19" t="str">
        <x:v>1842</x:v>
      </x:c>
      <x:c r="P49" s="19" t="str">
        <x:v>1885</x:v>
      </x:c>
      <x:c r="Q49" s="34" t="n">
        <x:v>0.000004938462941139754</x:v>
      </x:c>
      <x:c r="R49" s="34" t="n">
        <x:v>0.0000026782727571006415</x:v>
      </x:c>
      <x:c r="S49" s="34" t="n">
        <x:v>0.000002751333045558635</x:v>
      </x:c>
      <x:c r="T49" s="34" t="n">
        <x:v>5.522904276411555e-7</x:v>
      </x:c>
      <x:c r="U49" s="31" t="str">
        <x:v>Candidate surface form is directly representable in the public Ngram interface. Complete 1842–2022 unsmoothed series reused from the audited quantitative-v0.1 baseline.</x:v>
      </x:c>
      <x:c r="V49" s="31" t="str">
        <x:v>NO_STANDALONE_HEADWORD</x:v>
      </x:c>
      <x:c r="W49" s="19" t="str">
        <x:v>Component lexical analysis plus anchor-source contextual meaning</x:v>
      </x:c>
      <x:c r="X49" s="31" t="str">
        <x:v>A physical temperature, warming, heat, or measurement sense in the documented anchor context.</x:v>
      </x:c>
      <x:c r="Y49" s="31" t="str">
        <x:v>A local or instrument-specific temperature reading; the candidate is interpreted in its documented anchor and voice context.</x:v>
      </x:c>
      <x:c r="Z49" s="31" t="str">
        <x:v>STRONG</x:v>
      </x:c>
      <x:c r="AA49" s="19" t="str">
        <x:v>The surface form may realize multiple senses; candidate meaning remains anchored to the report-visible source context.</x:v>
      </x:c>
      <x:c r="AB49" s="31" t="str">
        <x:v>Secondary: Component headword checked: rate.;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https://api.dictionaryapi.dev/api/v2/entries/en/average%20rate; https://websters1913.timcieplowski.com/word/rate/</x:v>
      </x:c>
      <x:c r="AC49" s="19" t="str">
        <x:v>INTERNET_ARCHIVE_METADATA_TEXT_ITEM_COUNT</x:v>
      </x:c>
      <x:c r="AD49" s="19" t="str">
        <x:v>"average rate" AND mediatype:texts</x:v>
      </x:c>
      <x:c r="AE49" s="31" t="str">
        <x:v>EXACT_PHRASE</x:v>
      </x:c>
      <x:c r="AF49" s="31" t="str">
        <x:v>COMPLETED_NONZERO</x:v>
      </x:c>
      <x:c r="AG49" s="28" t="n">
        <x:v>891</x:v>
      </x:c>
      <x:c r="AH49" s="19" t="str">
        <x:v>0</x:v>
      </x:c>
      <x:c r="AI49" s="19" t="str">
        <x:v>2026-08-26</x:v>
      </x:c>
      <x:c r="AJ49" s="31" t="str">
        <x:v>Metadata text-item count; not a full-text lexical frequency. Secondary metric: Scholarly work discoverability count over OpenAlex search fields; not a corpus word frequency.</x:v>
      </x:c>
      <x:c r="AK49" s="31" t="str">
        <x:v>FULLY_COVERED</x:v>
      </x:c>
      <x:c r="AL49" s="19" t="str">
        <x:v>PENDING_SOURCE_REVIEW</x:v>
      </x:c>
      <x:c r="AM49" s="20" t="str">
        <x:v>MEDIUM</x:v>
      </x:c>
    </x:row>
    <x:row r="50" ht="34" customHeight="1">
      <x:c r="A50" s="25" t="str">
        <x:v>FT-SEED-R1B-P-1938-16</x:v>
      </x:c>
      <x:c r="B50" s="19" t="str">
        <x:v>1938</x:v>
      </x:c>
      <x:c r="C50" s="28" t="n">
        <x:v>16</x:v>
      </x:c>
      <x:c r="D50" s="31" t="str">
        <x:v>small increases in mean temperature</x:v>
      </x:c>
      <x:c r="E50" s="31" t="str">
        <x:v>mean temperature</x:v>
      </x:c>
      <x:c r="F50" s="19" t="str">
        <x:v>temperature_threshold</x:v>
      </x:c>
      <x:c r="G50" s="19" t="str">
        <x:v>A</x:v>
      </x:c>
      <x:c r="H50" s="19" t="str">
        <x:v>V1</x:v>
      </x:c>
      <x:c r="I50" s="19" t="str">
        <x:v>NOT_EXPOSED_IN_REPORT</x:v>
      </x:c>
      <x:c r="J50" s="19" t="str">
        <x:v>S1938-WIRED-CALLENDAR</x:v>
      </x:c>
      <x:c r="K50" s="31" t="str">
        <x:v>RECONSTRUCTED_FROM_REPORT; Fear of Temperature_ Stratified Lexical Expansion, Voice Mapping, and Semantic-Relational Pre-Valida.pdf; p.8; project candidate FT-SEED-R1B-P-1938-16; original visible ID not available</x:v>
      </x:c>
      <x:c r="L50" s="31" t="str">
        <x:v>ZERO_RESPONSE_REUSED_BASELINE</x:v>
      </x:c>
      <x:c r="M50" s="31" t="str">
        <x:v>small increases in mean temperature</x:v>
      </x:c>
      <x:c r="N50" s="31" t="str">
        <x:v>EXACT</x:v>
      </x:c>
      <x:c r="O50" s="19" t="str">
        <x:v>NOT_APPLICABLE</x:v>
      </x:c>
      <x:c r="P50" s="19" t="str">
        <x:v>NOT_APPLICABLE</x:v>
      </x:c>
      <x:c r="Q50" s="34" t="str">
        <x:v>NOT_APPLICABLE</x:v>
      </x:c>
      <x:c r="R50" s="34" t="str">
        <x:v>NOT_APPLICABLE</x:v>
      </x:c>
      <x:c r="S50" s="34" t="str">
        <x:v>NOT_APPLICABLE</x:v>
      </x:c>
      <x:c r="T50" s="34" t="str">
        <x:v>NOT_APPLICABLE</x:v>
      </x:c>
      <x:c r="U50" s="31" t="str">
        <x:v>Candidate surface form is directly representable in the public Ngram interface. The audited executable rule returned an empty Ngram payload; retained as source/query zero-response evidence, not historical absence.</x:v>
      </x:c>
      <x:c r="V50" s="31" t="str">
        <x:v>NO_STANDALONE_HEADWORD</x:v>
      </x:c>
      <x:c r="W50" s="19" t="str">
        <x:v>Component lexical analysis plus anchor-source contextual meaning</x:v>
      </x:c>
      <x:c r="X50" s="31" t="str">
        <x:v>A physical temperature, warming, heat, or measurement sense in the documented anchor context.</x:v>
      </x:c>
      <x:c r="Y50" s="31" t="str">
        <x:v>A temporally or spatially averaged temperature value; the candidate is interpreted in its documented anchor and voice context.</x:v>
      </x:c>
      <x:c r="Z50" s="31" t="str">
        <x:v>STRONG</x:v>
      </x:c>
      <x:c r="AA50" s="19" t="str">
        <x:v>The surface form may realize multiple senses; candidate meaning remains anchored to the report-visible source context.</x:v>
      </x:c>
      <x:c r="AB50" s="31" t="str">
        <x:v>Secondary: Component headword checked: temperature.;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https://api.dictionaryapi.dev/api/v2/entries/en/small%20increases%20in%20mean%20temperature; https://websters1913.timcieplowski.com/word/temperature/</x:v>
      </x:c>
      <x:c r="AC50" s="19" t="str">
        <x:v>INTERNET_ARCHIVE_METADATA_TEXT_ITEM_COUNT</x:v>
      </x:c>
      <x:c r="AD50" s="19" t="str">
        <x:v>"small increases in mean temperature" AND mediatype:texts</x:v>
      </x:c>
      <x:c r="AE50" s="31" t="str">
        <x:v>EXACT_PHRASE</x:v>
      </x:c>
      <x:c r="AF50" s="31" t="str">
        <x:v>COMPLETED_ZERO</x:v>
      </x:c>
      <x:c r="AG50" s="28" t="n">
        <x:v>0</x:v>
      </x:c>
      <x:c r="AH50" s="19" t="str">
        <x:v>0</x:v>
      </x:c>
      <x:c r="AI50" s="19" t="str">
        <x:v>2026-08-26</x:v>
      </x:c>
      <x:c r="AJ50" s="31" t="str">
        <x:v>Metadata text-item count; not a full-text lexical frequency. Secondary metric: NOT_RUN_OPENALEX_DAILY_BUDGET_EXHAUSTED: shared provider response retained; no count fabricated.</x:v>
      </x:c>
      <x:c r="AK50" s="31" t="str">
        <x:v>FULLY_COVERED</x:v>
      </x:c>
      <x:c r="AL50" s="19" t="str">
        <x:v>PENDING_SOURCE_REVIEW</x:v>
      </x:c>
      <x:c r="AM50" s="20" t="str">
        <x:v>MEDIUM</x:v>
      </x:c>
    </x:row>
    <x:row r="51" ht="34" customHeight="1">
      <x:c r="A51" s="25" t="str">
        <x:v>FT-SEED-R1B-P-1938-17</x:v>
      </x:c>
      <x:c r="B51" s="19" t="str">
        <x:v>1938</x:v>
      </x:c>
      <x:c r="C51" s="28" t="n">
        <x:v>17</x:v>
      </x:c>
      <x:c r="D51" s="31" t="str">
        <x:v>deadly glaciers</x:v>
      </x:c>
      <x:c r="E51" s="31" t="str">
        <x:v>institutional climate threat</x:v>
      </x:c>
      <x:c r="F51" s="19" t="str">
        <x:v>danger_threat</x:v>
      </x:c>
      <x:c r="G51" s="19" t="str">
        <x:v>D</x:v>
      </x:c>
      <x:c r="H51" s="19" t="str">
        <x:v>V1</x:v>
      </x:c>
      <x:c r="I51" s="19" t="str">
        <x:v>NOT_EXPOSED_IN_REPORT</x:v>
      </x:c>
      <x:c r="J51" s="19" t="str">
        <x:v>S1938-WIRED-CALLENDAR</x:v>
      </x:c>
      <x:c r="K51" s="31" t="str">
        <x:v>RECONSTRUCTED_FROM_REPORT; Fear of Temperature_ Stratified Lexical Expansion, Voice Mapping, and Semantic-Relational Pre-Valida.pdf; p.8; project candidate FT-SEED-R1B-P-1938-17; original visible ID not available</x:v>
      </x:c>
      <x:c r="L51" s="31" t="str">
        <x:v>SUCCEEDED_REUSED_BASELINE</x:v>
      </x:c>
      <x:c r="M51" s="31" t="str">
        <x:v>deadly glaciers</x:v>
      </x:c>
      <x:c r="N51" s="31" t="str">
        <x:v>EXACT</x:v>
      </x:c>
      <x:c r="O51" s="19" t="str">
        <x:v>1845</x:v>
      </x:c>
      <x:c r="P51" s="19" t="str">
        <x:v>1845</x:v>
      </x:c>
      <x:c r="Q51" s="34" t="n">
        <x:v>1.5025181099304064e-9</x:v>
      </x:c>
      <x:c r="R51" s="34" t="n">
        <x:v>1.1137195332633354e-10</x:v>
      </x:c>
      <x:c r="S51" s="34" t="n">
        <x:v>4.2303724412384726e-11</x:v>
      </x:c>
      <x:c r="T51" s="34" t="n">
        <x:v>2.2119930886965733e-10</x:v>
      </x:c>
      <x:c r="U51" s="31" t="str">
        <x:v>Candidate surface form is directly representable in the public Ngram interface. Complete 1842–2022 unsmoothed series reused from the audited quantitative-v0.1 baseline.</x:v>
      </x:c>
      <x:c r="V51" s="31" t="str">
        <x:v>NO_STANDALONE_HEADWORD</x:v>
      </x:c>
      <x:c r="W51" s="19" t="str">
        <x:v>Component lexical analysis plus anchor-source contextual meaning</x:v>
      </x:c>
      <x:c r="X51" s="31" t="str">
        <x:v>A threat, risk, harm, severity, or consequence sense in the documented source; it is not automatically an emotion.</x:v>
      </x:c>
      <x:c r="Y51" s="31" t="str">
        <x:v>Climate change framed as an institutional threat; the candidate is interpreted in its documented anchor and voice context.</x:v>
      </x:c>
      <x:c r="Z51" s="31" t="str">
        <x:v>STRONG</x:v>
      </x:c>
      <x:c r="AA51" s="19" t="str">
        <x:v>The surface form may realize multiple senses; candidate meaning remains anchored to the report-visible source context.</x:v>
      </x:c>
      <x:c r="AB51" s="31" t="str">
        <x:v>Secondary: Component headword checked: glaciers.;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https://api.dictionaryapi.dev/api/v2/entries/en/deadly%20glaciers; https://websters1913.timcieplowski.com/word/glaciers/</x:v>
      </x:c>
      <x:c r="AC51" s="19" t="str">
        <x:v>INTERNET_ARCHIVE_METADATA_TEXT_ITEM_COUNT</x:v>
      </x:c>
      <x:c r="AD51" s="19" t="str">
        <x:v>"deadly glaciers" AND mediatype:texts</x:v>
      </x:c>
      <x:c r="AE51" s="31" t="str">
        <x:v>EXACT_PHRASE</x:v>
      </x:c>
      <x:c r="AF51" s="31" t="str">
        <x:v>COMPLETED_ZERO</x:v>
      </x:c>
      <x:c r="AG51" s="28" t="n">
        <x:v>0</x:v>
      </x:c>
      <x:c r="AH51" s="19" t="str">
        <x:v>0</x:v>
      </x:c>
      <x:c r="AI51" s="19" t="str">
        <x:v>2026-08-26</x:v>
      </x:c>
      <x:c r="AJ51" s="31" t="str">
        <x:v>Metadata text-item count; not a full-text lexical frequency. Secondary metric: NOT_RUN_OPENALEX_DAILY_BUDGET_EXHAUSTED: shared provider response retained; no count fabricated.</x:v>
      </x:c>
      <x:c r="AK51" s="31" t="str">
        <x:v>FULLY_COVERED</x:v>
      </x:c>
      <x:c r="AL51" s="19" t="str">
        <x:v>PENDING_SOURCE_REVIEW</x:v>
      </x:c>
      <x:c r="AM51" s="20" t="str">
        <x:v>MEDIUM</x:v>
      </x:c>
    </x:row>
    <x:row r="52" ht="34" customHeight="1">
      <x:c r="A52" s="25" t="str">
        <x:v>FT-SEED-R1B-P-1938-18</x:v>
      </x:c>
      <x:c r="B52" s="19" t="str">
        <x:v>1938</x:v>
      </x:c>
      <x:c r="C52" s="28" t="n">
        <x:v>18</x:v>
      </x:c>
      <x:c r="D52" s="31" t="str">
        <x:v>rather a coincidence</x:v>
      </x:c>
      <x:c r="E52" s="31" t="str">
        <x:v>personal concern</x:v>
      </x:c>
      <x:c r="F52" s="19" t="str">
        <x:v>concern_alarm</x:v>
      </x:c>
      <x:c r="G52" s="19" t="str">
        <x:v>C</x:v>
      </x:c>
      <x:c r="H52" s="19" t="str">
        <x:v>V1</x:v>
      </x:c>
      <x:c r="I52" s="19" t="str">
        <x:v>E2</x:v>
      </x:c>
      <x:c r="J52" s="19" t="str">
        <x:v>S1938-SHI-RECEPTION</x:v>
      </x:c>
      <x:c r="K52" s="31" t="str">
        <x:v>RECONSTRUCTED_FROM_REPORT; Fear of Temperature_ Stratified Lexical Expansion, Voice Mapping, and Semantic-Relational Pre-Valida.pdf; p.8; project candidate FT-SEED-R1B-P-1938-18; original visible ID not available</x:v>
      </x:c>
      <x:c r="L52" s="31" t="str">
        <x:v>SUCCEEDED_REUSED_BASELINE</x:v>
      </x:c>
      <x:c r="M52" s="31" t="str">
        <x:v>rather a coincidence</x:v>
      </x:c>
      <x:c r="N52" s="31" t="str">
        <x:v>EXACT</x:v>
      </x:c>
      <x:c r="O52" s="19" t="str">
        <x:v>1842</x:v>
      </x:c>
      <x:c r="P52" s="19" t="str">
        <x:v>1934</x:v>
      </x:c>
      <x:c r="Q52" s="34" t="n">
        <x:v>1.1418470613477893e-8</x:v>
      </x:c>
      <x:c r="R52" s="34" t="n">
        <x:v>4.644931106412287e-9</x:v>
      </x:c>
      <x:c r="S52" s="34" t="n">
        <x:v>4.688150873066732e-9</x:v>
      </x:c>
      <x:c r="T52" s="34" t="n">
        <x:v>3.2163039176413832e-9</x:v>
      </x:c>
      <x:c r="U52" s="31" t="str">
        <x:v>Candidate surface form is directly representable in the public Ngram interface. Complete 1842–2022 unsmoothed series reused from the audited quantitative-v0.1 baseline.</x:v>
      </x:c>
      <x:c r="V52" s="31" t="str">
        <x:v>NO_STANDALONE_HEADWORD</x:v>
      </x:c>
      <x:c r="W52" s="19" t="str">
        <x:v>Component lexical analysis plus anchor-source contextual meaning</x:v>
      </x:c>
      <x:c r="X52" s="31" t="str">
        <x:v>An epistemic evaluation that two observations may coincide rather than stand in a causal relation; normally no affect.</x:v>
      </x:c>
      <x:c r="Y52" s="31" t="str">
        <x:v>Concern expressed or endorsed by an identifiable person about a climate or heat object; the candidate is interpreted in its documented anchor and voice context.</x:v>
      </x:c>
      <x:c r="Z52" s="31" t="str">
        <x:v>STRONG</x:v>
      </x:c>
      <x:c r="AA52" s="19" t="str">
        <x:v>Coincidence has epistemic and event-overlap senses; neither should be recoded as emotion here.</x:v>
      </x:c>
      <x:c r="AB52" s="31" t="str">
        <x:v>Secondary: Component headword checked: coincidence.;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https://api.dictionaryapi.dev/api/v2/entries/en/rather%20a%20coincidence; https://websters1913.timcieplowski.com/word/coincidence/</x:v>
      </x:c>
      <x:c r="AC52" s="19" t="str">
        <x:v>INTERNET_ARCHIVE_METADATA_TEXT_ITEM_COUNT</x:v>
      </x:c>
      <x:c r="AD52" s="19" t="str">
        <x:v>"rather a coincidence" AND mediatype:texts</x:v>
      </x:c>
      <x:c r="AE52" s="31" t="str">
        <x:v>EXACT_PHRASE</x:v>
      </x:c>
      <x:c r="AF52" s="31" t="str">
        <x:v>COMPLETED_ZERO</x:v>
      </x:c>
      <x:c r="AG52" s="28" t="n">
        <x:v>0</x:v>
      </x:c>
      <x:c r="AH52" s="19" t="str">
        <x:v>0</x:v>
      </x:c>
      <x:c r="AI52" s="19" t="str">
        <x:v>2026-08-26</x:v>
      </x:c>
      <x:c r="AJ52" s="31" t="str">
        <x:v>Metadata text-item count; not a full-text lexical frequency. Secondary metric: NOT_RUN_OPENALEX_DAILY_BUDGET_EXHAUSTED: shared provider response retained; no count fabricated.</x:v>
      </x:c>
      <x:c r="AK52" s="31" t="str">
        <x:v>FULLY_COVERED</x:v>
      </x:c>
      <x:c r="AL52" s="19" t="str">
        <x:v>NOT_APPLICABLE</x:v>
      </x:c>
      <x:c r="AM52" s="20" t="str">
        <x:v>MEDIUM</x:v>
      </x:c>
    </x:row>
    <x:row r="53" ht="34" customHeight="1">
      <x:c r="A53" s="25" t="str">
        <x:v>FT-SEED-R1B-P-1938-19</x:v>
      </x:c>
      <x:c r="B53" s="19" t="str">
        <x:v>1938</x:v>
      </x:c>
      <x:c r="C53" s="28" t="n">
        <x:v>19</x:v>
      </x:c>
      <x:c r="D53" s="31" t="str">
        <x:v>Hottest Day for Ten Years</x:v>
      </x:c>
      <x:c r="E53" s="31" t="str">
        <x:v>heatwave / weather event</x:v>
      </x:c>
      <x:c r="F53" s="19" t="str">
        <x:v>heat</x:v>
      </x:c>
      <x:c r="G53" s="19" t="str">
        <x:v>A</x:v>
      </x:c>
      <x:c r="H53" s="19" t="str">
        <x:v>V3</x:v>
      </x:c>
      <x:c r="I53" s="19" t="str">
        <x:v>NOT_EXPOSED_IN_REPORT</x:v>
      </x:c>
      <x:c r="J53" s="19" t="str">
        <x:v>S1938-COURIER</x:v>
      </x:c>
      <x:c r="K53" s="31" t="str">
        <x:v>RECONSTRUCTED_FROM_REPORT; Fear of Temperature_ Stratified Lexical Expansion, Voice Mapping, and Semantic-Relational Pre-Valida.pdf; p.8; project candidate FT-SEED-R1B-P-1938-19; original visible ID not available</x:v>
      </x:c>
      <x:c r="L53" s="31" t="str">
        <x:v>ZERO_RESPONSE_REUSED_BASELINE</x:v>
      </x:c>
      <x:c r="M53" s="31" t="str">
        <x:v>Hottest Day for Ten Years</x:v>
      </x:c>
      <x:c r="N53" s="31" t="str">
        <x:v>EXACT</x:v>
      </x:c>
      <x:c r="O53" s="19" t="str">
        <x:v>NOT_APPLICABLE</x:v>
      </x:c>
      <x:c r="P53" s="19" t="str">
        <x:v>NOT_APPLICABLE</x:v>
      </x:c>
      <x:c r="Q53" s="34" t="str">
        <x:v>NOT_APPLICABLE</x:v>
      </x:c>
      <x:c r="R53" s="34" t="str">
        <x:v>NOT_APPLICABLE</x:v>
      </x:c>
      <x:c r="S53" s="34" t="str">
        <x:v>NOT_APPLICABLE</x:v>
      </x:c>
      <x:c r="T53" s="34" t="str">
        <x:v>NOT_APPLICABLE</x:v>
      </x:c>
      <x:c r="U53" s="31" t="str">
        <x:v>Candidate surface form is directly representable in the public Ngram interface. The audited executable rule returned an empty Ngram payload; retained as source/query zero-response evidence, not historical absence.</x:v>
      </x:c>
      <x:c r="V53" s="31" t="str">
        <x:v>NO_STANDALONE_HEADWORD</x:v>
      </x:c>
      <x:c r="W53" s="19" t="str">
        <x:v>Component lexical analysis plus anchor-source contextual meaning</x:v>
      </x:c>
      <x:c r="X53" s="31" t="str">
        <x:v>A physical temperature, warming, heat, or measurement sense in the documented anchor context.</x:v>
      </x:c>
      <x:c r="Y53" s="31" t="str">
        <x:v>A bounded hot-weather or heatwave event; the candidate is interpreted in its documented anchor and voice context.</x:v>
      </x:c>
      <x:c r="Z53" s="31" t="str">
        <x:v>STRONG</x:v>
      </x:c>
      <x:c r="AA53" s="19" t="str">
        <x:v>The surface form may realize multiple senses; candidate meaning remains anchored to the report-visible source context.</x:v>
      </x:c>
      <x:c r="AB53"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https://api.dictionaryapi.dev/api/v2/entries/en/Hottest%20Day%20for%20Ten%20Years; https://websters1913.timcieplowski.com/word/years/</x:v>
      </x:c>
      <x:c r="AC53" s="19" t="str">
        <x:v>INTERNET_ARCHIVE_METADATA_TEXT_ITEM_COUNT</x:v>
      </x:c>
      <x:c r="AD53" s="19" t="str">
        <x:v>"Hottest Day for Ten Years" AND mediatype:texts</x:v>
      </x:c>
      <x:c r="AE53" s="31" t="str">
        <x:v>EXACT_PHRASE</x:v>
      </x:c>
      <x:c r="AF53" s="31" t="str">
        <x:v>COMPLETED_ZERO</x:v>
      </x:c>
      <x:c r="AG53" s="28" t="n">
        <x:v>0</x:v>
      </x:c>
      <x:c r="AH53" s="19" t="str">
        <x:v>0</x:v>
      </x:c>
      <x:c r="AI53" s="19" t="str">
        <x:v>2026-08-26</x:v>
      </x:c>
      <x:c r="AJ53" s="31" t="str">
        <x:v>Metadata text-item count; not a full-text lexical frequency. Secondary metric: NOT_RUN_OPENALEX_DAILY_BUDGET_EXHAUSTED: shared provider response retained; no count fabricated.</x:v>
      </x:c>
      <x:c r="AK53" s="31" t="str">
        <x:v>FULLY_COVERED</x:v>
      </x:c>
      <x:c r="AL53" s="19" t="str">
        <x:v>PENDING_SOURCE_REVIEW</x:v>
      </x:c>
      <x:c r="AM53" s="20" t="str">
        <x:v>MEDIUM</x:v>
      </x:c>
    </x:row>
    <x:row r="54" ht="34" customHeight="1">
      <x:c r="A54" s="25" t="str">
        <x:v>FT-SEED-R1B-P-1938-20</x:v>
      </x:c>
      <x:c r="B54" s="19" t="str">
        <x:v>1938</x:v>
      </x:c>
      <x:c r="C54" s="28" t="n">
        <x:v>20</x:v>
      </x:c>
      <x:c r="D54" s="31" t="str">
        <x:v>Heat Wave Over Queensland</x:v>
      </x:c>
      <x:c r="E54" s="31" t="str">
        <x:v>heatwave / weather event</x:v>
      </x:c>
      <x:c r="F54" s="19" t="str">
        <x:v>heat</x:v>
      </x:c>
      <x:c r="G54" s="19" t="str">
        <x:v>A</x:v>
      </x:c>
      <x:c r="H54" s="19" t="str">
        <x:v>V3</x:v>
      </x:c>
      <x:c r="I54" s="19" t="str">
        <x:v>NOT_EXPOSED_IN_REPORT</x:v>
      </x:c>
      <x:c r="J54" s="19" t="str">
        <x:v>S1938-COURIER</x:v>
      </x:c>
      <x:c r="K54" s="31" t="str">
        <x:v>RECONSTRUCTED_FROM_REPORT; Fear of Temperature_ Stratified Lexical Expansion, Voice Mapping, and Semantic-Relational Pre-Valida.pdf; p.8; project candidate FT-SEED-R1B-P-1938-20; original visible ID not available</x:v>
      </x:c>
      <x:c r="L54" s="31" t="str">
        <x:v>ZERO_RESPONSE_REUSED_BASELINE</x:v>
      </x:c>
      <x:c r="M54" s="31" t="str">
        <x:v>Heat Wave Over Queensland</x:v>
      </x:c>
      <x:c r="N54" s="31" t="str">
        <x:v>EXACT</x:v>
      </x:c>
      <x:c r="O54" s="19" t="str">
        <x:v>NOT_APPLICABLE</x:v>
      </x:c>
      <x:c r="P54" s="19" t="str">
        <x:v>NOT_APPLICABLE</x:v>
      </x:c>
      <x:c r="Q54" s="34" t="str">
        <x:v>NOT_APPLICABLE</x:v>
      </x:c>
      <x:c r="R54" s="34" t="str">
        <x:v>NOT_APPLICABLE</x:v>
      </x:c>
      <x:c r="S54" s="34" t="str">
        <x:v>NOT_APPLICABLE</x:v>
      </x:c>
      <x:c r="T54" s="34" t="str">
        <x:v>NOT_APPLICABLE</x:v>
      </x:c>
      <x:c r="U54" s="31" t="str">
        <x:v>Candidate surface form is directly representable in the public Ngram interface. The audited executable rule returned an empty Ngram payload; retained as source/query zero-response evidence, not historical absence.</x:v>
      </x:c>
      <x:c r="V54" s="31" t="str">
        <x:v>NO_STANDALONE_HEADWORD</x:v>
      </x:c>
      <x:c r="W54" s="19" t="str">
        <x:v>Component lexical analysis plus anchor-source contextual meaning</x:v>
      </x:c>
      <x:c r="X54" s="31" t="str">
        <x:v>A physical temperature, warming, heat, or measurement sense in the documented anchor context.</x:v>
      </x:c>
      <x:c r="Y54" s="31" t="str">
        <x:v>A bounded hot-weather or heatwave event; the candidate is interpreted in its documented anchor and voice context.</x:v>
      </x:c>
      <x:c r="Z54" s="31" t="str">
        <x:v>STRONG</x:v>
      </x:c>
      <x:c r="AA54" s="19" t="str">
        <x:v>The surface form may realize multiple senses; candidate meaning remains anchored to the report-visible source context.</x:v>
      </x:c>
      <x:c r="AB54" s="31" t="str">
        <x:v>Secondary: Component headword checked: queensland.;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https://api.dictionaryapi.dev/api/v2/entries/en/Heat%20Wave%20Over%20Queensland; https://websters1913.timcieplowski.com/word/queensland/</x:v>
      </x:c>
      <x:c r="AC54" s="19" t="str">
        <x:v>INTERNET_ARCHIVE_METADATA_TEXT_ITEM_COUNT</x:v>
      </x:c>
      <x:c r="AD54" s="19" t="str">
        <x:v>"Heat Wave Over Queensland" AND mediatype:texts</x:v>
      </x:c>
      <x:c r="AE54" s="31" t="str">
        <x:v>EXACT_PHRASE</x:v>
      </x:c>
      <x:c r="AF54" s="31" t="str">
        <x:v>COMPLETED_ZERO</x:v>
      </x:c>
      <x:c r="AG54" s="28" t="n">
        <x:v>0</x:v>
      </x:c>
      <x:c r="AH54" s="19" t="str">
        <x:v>0</x:v>
      </x:c>
      <x:c r="AI54" s="19" t="str">
        <x:v>2026-08-26</x:v>
      </x:c>
      <x:c r="AJ54" s="31" t="str">
        <x:v>Metadata text-item count; not a full-text lexical frequency. Secondary metric: NOT_RUN_OPENALEX_DAILY_BUDGET_EXHAUSTED: shared provider response retained; no count fabricated.</x:v>
      </x:c>
      <x:c r="AK54" s="31" t="str">
        <x:v>FULLY_COVERED</x:v>
      </x:c>
      <x:c r="AL54" s="19" t="str">
        <x:v>PENDING_SOURCE_REVIEW</x:v>
      </x:c>
      <x:c r="AM54" s="20" t="str">
        <x:v>MEDIUM</x:v>
      </x:c>
    </x:row>
    <x:row r="55" ht="34" customHeight="1">
      <x:c r="A55" s="25" t="str">
        <x:v>FT-SEED-R1B-P-1938-21</x:v>
      </x:c>
      <x:c r="B55" s="19" t="str">
        <x:v>1938</x:v>
      </x:c>
      <x:c r="C55" s="28" t="n">
        <x:v>21</x:v>
      </x:c>
      <x:c r="D55" s="31" t="str">
        <x:v>heat wave</x:v>
      </x:c>
      <x:c r="E55" s="31" t="str">
        <x:v>heatwave / weather event</x:v>
      </x:c>
      <x:c r="F55" s="19" t="str">
        <x:v>heat</x:v>
      </x:c>
      <x:c r="G55" s="19" t="str">
        <x:v>A</x:v>
      </x:c>
      <x:c r="H55" s="19" t="str">
        <x:v>V3</x:v>
      </x:c>
      <x:c r="I55" s="19" t="str">
        <x:v>NOT_EXPOSED_IN_REPORT</x:v>
      </x:c>
      <x:c r="J55" s="19" t="str">
        <x:v>S1938-COURIER</x:v>
      </x:c>
      <x:c r="K55" s="31" t="str">
        <x:v>RECONSTRUCTED_FROM_REPORT; Fear of Temperature_ Stratified Lexical Expansion, Voice Mapping, and Semantic-Relational Pre-Valida.pdf; p.7; project candidate FT-SEED-R1B-P-1938-21; original visible ID not available</x:v>
      </x:c>
      <x:c r="L55" s="31" t="str">
        <x:v>SUCCEEDED_REUSED_BASELINE</x:v>
      </x:c>
      <x:c r="M55" s="31" t="str">
        <x:v>heat wave</x:v>
      </x:c>
      <x:c r="N55" s="31" t="str">
        <x:v>EXACT</x:v>
      </x:c>
      <x:c r="O55" s="19" t="str">
        <x:v>1842</x:v>
      </x:c>
      <x:c r="P55" s="19" t="str">
        <x:v>2020</x:v>
      </x:c>
      <x:c r="Q55" s="34" t="n">
        <x:v>3.703185072062576e-7</x:v>
      </x:c>
      <x:c r="R55" s="34" t="n">
        <x:v>1.9211662527496287e-7</x:v>
      </x:c>
      <x:c r="S55" s="34" t="n">
        <x:v>2.1497802813463806e-7</x:v>
      </x:c>
      <x:c r="T55" s="34" t="n">
        <x:v>3.0065411360524763e-7</x:v>
      </x:c>
      <x:c r="U55" s="31" t="str">
        <x:v>Candidate surface form is directly representable in the public Ngram interface. Complete 1842–2022 unsmoothed series reused from the audited quantitative-v0.1 baseline.</x:v>
      </x:c>
      <x:c r="V55" s="31" t="str">
        <x:v>NO_STANDALONE_HEADWORD</x:v>
      </x:c>
      <x:c r="W55" s="19" t="str">
        <x:v>Component lexical analysis plus anchor-source contextual meaning</x:v>
      </x:c>
      <x:c r="X55" s="31" t="str">
        <x:v>A physical temperature, warming, heat, or measurement sense in the documented anchor context.</x:v>
      </x:c>
      <x:c r="Y55" s="31" t="str">
        <x:v>A bounded hot-weather or heatwave event; the candidate is interpreted in its documented anchor and voice context.</x:v>
      </x:c>
      <x:c r="Z55" s="31" t="str">
        <x:v>STRONG</x:v>
      </x:c>
      <x:c r="AA55" s="19" t="str">
        <x:v>The surface form may realize multiple senses; candidate meaning remains anchored to the report-visible source context.</x:v>
      </x:c>
      <x:c r="AB55"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55" s="19" t="str">
        <x:v>INTERNET_ARCHIVE_METADATA_TEXT_ITEM_COUNT</x:v>
      </x:c>
      <x:c r="AD55" s="19" t="str">
        <x:v>"heat wave" AND mediatype:texts</x:v>
      </x:c>
      <x:c r="AE55" s="31" t="str">
        <x:v>EXACT_PHRASE</x:v>
      </x:c>
      <x:c r="AF55" s="31" t="str">
        <x:v>COMPLETED_NONZERO</x:v>
      </x:c>
      <x:c r="AG55" s="28" t="n">
        <x:v>957</x:v>
      </x:c>
      <x:c r="AH55" s="19" t="str">
        <x:v>64</x:v>
      </x:c>
      <x:c r="AI55" s="19" t="str">
        <x:v>2026-08-26</x:v>
      </x:c>
      <x:c r="AJ55" s="31" t="str">
        <x:v>Metadata text-item count; not a full-text lexical frequency. Secondary metric: NOT_RUN_OPENALEX_DAILY_BUDGET_EXHAUSTED: shared provider response retained; no count fabricated.</x:v>
      </x:c>
      <x:c r="AK55" s="31" t="str">
        <x:v>FULLY_COVERED</x:v>
      </x:c>
      <x:c r="AL55" s="19" t="str">
        <x:v>PENDING_SOURCE_REVIEW</x:v>
      </x:c>
      <x:c r="AM55" s="20" t="str">
        <x:v>MEDIUM</x:v>
      </x:c>
    </x:row>
    <x:row r="56" ht="34" customHeight="1">
      <x:c r="A56" s="25" t="str">
        <x:v>FT-SEED-R1B-P-1938-22</x:v>
      </x:c>
      <x:c r="B56" s="19" t="str">
        <x:v>1938</x:v>
      </x:c>
      <x:c r="C56" s="28" t="n">
        <x:v>22</x:v>
      </x:c>
      <x:c r="D56" s="31" t="str">
        <x:v>40-degree temperatures</x:v>
      </x:c>
      <x:c r="E56" s="31" t="str">
        <x:v>local / instrumental temperature</x:v>
      </x:c>
      <x:c r="F56" s="19" t="str">
        <x:v>temperature_threshold</x:v>
      </x:c>
      <x:c r="G56" s="19" t="str">
        <x:v>A</x:v>
      </x:c>
      <x:c r="H56" s="19" t="str">
        <x:v>V3</x:v>
      </x:c>
      <x:c r="I56" s="19" t="str">
        <x:v>NOT_EXPOSED_IN_REPORT</x:v>
      </x:c>
      <x:c r="J56" s="19" t="str">
        <x:v>S1938-COURIER</x:v>
      </x:c>
      <x:c r="K56" s="31" t="str">
        <x:v>RECONSTRUCTED_FROM_REPORT; Fear of Temperature_ Stratified Lexical Expansion, Voice Mapping, and Semantic-Relational Pre-Valida.pdf; p.7; project candidate FT-SEED-R1B-P-1938-22; original visible ID not available</x:v>
      </x:c>
      <x:c r="L56" s="31" t="str">
        <x:v>SUCCEEDED_NEW</x:v>
      </x:c>
      <x:c r="M56" s="31" t="str">
        <x:v>40 degree temperatures</x:v>
      </x:c>
      <x:c r="N56" s="31" t="str">
        <x:v>NORMALIZED_VARIANT</x:v>
      </x:c>
      <x:c r="O56" s="19" t="str">
        <x:v>1901</x:v>
      </x:c>
      <x:c r="P56" s="19" t="str">
        <x:v>1964</x:v>
      </x:c>
      <x:c r="Q56" s="34" t="n">
        <x:v>6.322877221798251e-10</x:v>
      </x:c>
      <x:c r="R56" s="34" t="n">
        <x:v>0</x:v>
      </x:c>
      <x:c r="S56" s="34" t="n">
        <x:v>1.5925319396536963e-10</x:v>
      </x:c>
      <x:c r="T56" s="34" t="n">
        <x:v>4.729858865681891e-11</x:v>
      </x:c>
      <x:c r="U56" s="31" t="str">
        <x:v>Hyphenation is normalized; lexical content and temperature sense are unchanged. New unsmoothed 1842–2022 series retrieved for the candidate audit.</x:v>
      </x:c>
      <x:c r="V56" s="31" t="str">
        <x:v>NO_STANDALONE_HEADWORD</x:v>
      </x:c>
      <x:c r="W56" s="19" t="str">
        <x:v>Component lexical analysis plus anchor-source contextual meaning</x:v>
      </x:c>
      <x:c r="X56" s="31" t="str">
        <x:v>A physical temperature, warming, heat, or measurement sense in the documented anchor context.</x:v>
      </x:c>
      <x:c r="Y56" s="31" t="str">
        <x:v>A local or instrument-specific temperature reading; the candidate is interpreted in its documented anchor and voice context.</x:v>
      </x:c>
      <x:c r="Z56" s="31" t="str">
        <x:v>STRONG</x:v>
      </x:c>
      <x:c r="AA56" s="19" t="str">
        <x:v>The surface form may realize multiple senses; candidate meaning remains anchored to the report-visible source context.</x:v>
      </x:c>
      <x:c r="AB56" s="31" t="str">
        <x:v>Secondary: Component headword checked: temperatures.; historical: Anchor-period research source/context; Webster 1913 stable component URL recorded but automated page retrieval was unavailable; source: Fear of Temperature_ Stratified Lexical Expansion, Voice Mapping, and Semantic-Relational Pre-Valida.pdf#page=7; https://api.dictionaryapi.dev/api/v2/entries/en/40-degree%20temperatures; https://websters1913.timcieplowski.com/word/temperatures/</x:v>
      </x:c>
      <x:c r="AC56" s="19" t="str">
        <x:v>INTERNET_ARCHIVE_METADATA_TEXT_ITEM_COUNT</x:v>
      </x:c>
      <x:c r="AD56" s="19" t="str">
        <x:v>"40-degree temperatures" AND mediatype:texts</x:v>
      </x:c>
      <x:c r="AE56" s="31" t="str">
        <x:v>EXACT_PHRASE</x:v>
      </x:c>
      <x:c r="AF56" s="31" t="str">
        <x:v>COMPLETED_ZERO</x:v>
      </x:c>
      <x:c r="AG56" s="28" t="n">
        <x:v>0</x:v>
      </x:c>
      <x:c r="AH56" s="19" t="str">
        <x:v>0</x:v>
      </x:c>
      <x:c r="AI56" s="19" t="str">
        <x:v>2026-08-26</x:v>
      </x:c>
      <x:c r="AJ56" s="31" t="str">
        <x:v>Metadata text-item count; not a full-text lexical frequency. Secondary metric: Scholarly work discoverability count over OpenAlex search fields; not a corpus word frequency.</x:v>
      </x:c>
      <x:c r="AK56" s="31" t="str">
        <x:v>FULLY_ACCOUNTED_WITH_NGRAM_ALIAS</x:v>
      </x:c>
      <x:c r="AL56" s="19" t="str">
        <x:v>PENDING_SOURCE_REVIEW</x:v>
      </x:c>
      <x:c r="AM56" s="20" t="str">
        <x:v>MEDIUM</x:v>
      </x:c>
    </x:row>
    <x:row r="57" ht="34" customHeight="1">
      <x:c r="A57" s="25" t="str">
        <x:v>FT-SEED-R1B-P-1938-23</x:v>
      </x:c>
      <x:c r="B57" s="19" t="str">
        <x:v>1938</x:v>
      </x:c>
      <x:c r="C57" s="28" t="n">
        <x:v>23</x:v>
      </x:c>
      <x:c r="D57" s="31" t="str">
        <x:v>scorching westerly wind</x:v>
      </x:c>
      <x:c r="E57" s="31" t="str">
        <x:v>heatwave / weather event</x:v>
      </x:c>
      <x:c r="F57" s="19" t="str">
        <x:v>heat</x:v>
      </x:c>
      <x:c r="G57" s="19" t="str">
        <x:v>D</x:v>
      </x:c>
      <x:c r="H57" s="19" t="str">
        <x:v>V3</x:v>
      </x:c>
      <x:c r="I57" s="19" t="str">
        <x:v>NOT_EXPOSED_IN_REPORT</x:v>
      </x:c>
      <x:c r="J57" s="19" t="str">
        <x:v>S1938-COURIER</x:v>
      </x:c>
      <x:c r="K57" s="31" t="str">
        <x:v>RECONSTRUCTED_FROM_REPORT; Fear of Temperature_ Stratified Lexical Expansion, Voice Mapping, and Semantic-Relational Pre-Valida.pdf; p.8; project candidate FT-SEED-R1B-P-1938-23; original visible ID not available</x:v>
      </x:c>
      <x:c r="L57" s="31" t="str">
        <x:v>ZERO_RESPONSE_NEW</x:v>
      </x:c>
      <x:c r="M57" s="31" t="str">
        <x:v>scorching westerly wind</x:v>
      </x:c>
      <x:c r="N57" s="31" t="str">
        <x:v>EXACT</x:v>
      </x:c>
      <x:c r="O57" s="19" t="str">
        <x:v>NOT_APPLICABLE</x:v>
      </x:c>
      <x:c r="P57" s="19" t="str">
        <x:v>NOT_APPLICABLE</x:v>
      </x:c>
      <x:c r="Q57" s="34" t="str">
        <x:v>NOT_APPLICABLE</x:v>
      </x:c>
      <x:c r="R57" s="34" t="str">
        <x:v>NOT_APPLICABLE</x:v>
      </x:c>
      <x:c r="S57" s="34" t="str">
        <x:v>NOT_APPLICABLE</x:v>
      </x:c>
      <x:c r="T57" s="34" t="str">
        <x:v>NOT_APPLICABLE</x:v>
      </x:c>
      <x:c r="U57" s="31" t="str">
        <x:v>Candidate surface form is directly representable in the public Ngram interface. The public Ngram endpoint returned an empty list; retained without fabricating annual zero frequencies.</x:v>
      </x:c>
      <x:c r="V57" s="31" t="str">
        <x:v>NO_STANDALONE_HEADWORD</x:v>
      </x:c>
      <x:c r="W57" s="19" t="str">
        <x:v>Component lexical analysis plus anchor-source contextual meaning</x:v>
      </x:c>
      <x:c r="X57" s="31" t="str">
        <x:v>A threat, risk, harm, severity, or consequence sense in the documented source; it is not automatically an emotion.</x:v>
      </x:c>
      <x:c r="Y57" s="31" t="str">
        <x:v>A bounded hot-weather or heatwave event; the candidate is interpreted in its documented anchor and voice context.</x:v>
      </x:c>
      <x:c r="Z57" s="31" t="str">
        <x:v>STRONG</x:v>
      </x:c>
      <x:c r="AA57" s="19" t="str">
        <x:v>The surface form may realize multiple senses; candidate meaning remains anchored to the report-visible source context.</x:v>
      </x:c>
      <x:c r="AB57" s="31" t="str">
        <x:v>Secondary: Component headword checked: wind.;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https://api.dictionaryapi.dev/api/v2/entries/en/scorching%20westerly%20wind; https://websters1913.timcieplowski.com/word/wind/</x:v>
      </x:c>
      <x:c r="AC57" s="19" t="str">
        <x:v>INTERNET_ARCHIVE_METADATA_TEXT_ITEM_COUNT</x:v>
      </x:c>
      <x:c r="AD57" s="19" t="str">
        <x:v>"scorching westerly wind" AND mediatype:texts</x:v>
      </x:c>
      <x:c r="AE57" s="31" t="str">
        <x:v>EXACT_PHRASE</x:v>
      </x:c>
      <x:c r="AF57" s="31" t="str">
        <x:v>COMPLETED_ZERO</x:v>
      </x:c>
      <x:c r="AG57" s="28" t="n">
        <x:v>0</x:v>
      </x:c>
      <x:c r="AH57" s="19" t="str">
        <x:v>0</x:v>
      </x:c>
      <x:c r="AI57" s="19" t="str">
        <x:v>2026-08-26</x:v>
      </x:c>
      <x:c r="AJ57" s="31" t="str">
        <x:v>Metadata text-item count; not a full-text lexical frequency. Secondary metric: NOT_RUN_OPENALEX_DAILY_BUDGET_EXHAUSTED: shared provider response retained; no count fabricated.</x:v>
      </x:c>
      <x:c r="AK57" s="31" t="str">
        <x:v>FULLY_COVERED</x:v>
      </x:c>
      <x:c r="AL57" s="19" t="str">
        <x:v>PENDING_SOURCE_REVIEW</x:v>
      </x:c>
      <x:c r="AM57" s="20" t="str">
        <x:v>MEDIUM</x:v>
      </x:c>
    </x:row>
    <x:row r="58" ht="34" customHeight="1">
      <x:c r="A58" s="25" t="str">
        <x:v>FT-SEED-R1B-P-1938-24</x:v>
      </x:c>
      <x:c r="B58" s="19" t="str">
        <x:v>1938</x:v>
      </x:c>
      <x:c r="C58" s="28" t="n">
        <x:v>24</x:v>
      </x:c>
      <x:c r="D58" s="31" t="str">
        <x:v>pitiless sun</x:v>
      </x:c>
      <x:c r="E58" s="31" t="str">
        <x:v>physical heat source / state</x:v>
      </x:c>
      <x:c r="F58" s="19" t="str">
        <x:v>heat</x:v>
      </x:c>
      <x:c r="G58" s="19" t="str">
        <x:v>D</x:v>
      </x:c>
      <x:c r="H58" s="19" t="str">
        <x:v>V3</x:v>
      </x:c>
      <x:c r="I58" s="19" t="str">
        <x:v>NOT_EXPOSED_IN_REPORT</x:v>
      </x:c>
      <x:c r="J58" s="19" t="str">
        <x:v>S1938-COURIER</x:v>
      </x:c>
      <x:c r="K58" s="31" t="str">
        <x:v>RECONSTRUCTED_FROM_REPORT; Fear of Temperature_ Stratified Lexical Expansion, Voice Mapping, and Semantic-Relational Pre-Valida.pdf; p.8; project candidate FT-SEED-R1B-P-1938-24; original visible ID not available</x:v>
      </x:c>
      <x:c r="L58" s="31" t="str">
        <x:v>SUCCEEDED_NEW</x:v>
      </x:c>
      <x:c r="M58" s="31" t="str">
        <x:v>pitiless sun</x:v>
      </x:c>
      <x:c r="N58" s="31" t="str">
        <x:v>EXACT</x:v>
      </x:c>
      <x:c r="O58" s="19" t="str">
        <x:v>1842</x:v>
      </x:c>
      <x:c r="P58" s="19" t="str">
        <x:v>1893</x:v>
      </x:c>
      <x:c r="Q58" s="34" t="n">
        <x:v>1.3519818153895358e-8</x:v>
      </x:c>
      <x:c r="R58" s="34" t="n">
        <x:v>7.90740894984765e-9</x:v>
      </x:c>
      <x:c r="S58" s="34" t="n">
        <x:v>6.7370142242673126e-9</x:v>
      </x:c>
      <x:c r="T58" s="34" t="n">
        <x:v>8.007414870059293e-9</x:v>
      </x:c>
      <x:c r="U58" s="31" t="str">
        <x:v>Candidate surface form is directly representable in the public Ngram interface. New unsmoothed 1842–2022 series retrieved for the candidate audit.</x:v>
      </x:c>
      <x:c r="V58" s="31" t="str">
        <x:v>NO_STANDALONE_HEADWORD</x:v>
      </x:c>
      <x:c r="W58" s="19" t="str">
        <x:v>Component lexical analysis plus anchor-source contextual meaning</x:v>
      </x:c>
      <x:c r="X58" s="31" t="str">
        <x:v>A threat, risk, harm, severity, or consequence sense in the documented source; it is not automatically an emotion.</x:v>
      </x:c>
      <x:c r="Y58" s="31" t="str">
        <x:v>Heat as a physical source, state, or thermal condition; the candidate is interpreted in its documented anchor and voice context.</x:v>
      </x:c>
      <x:c r="Z58" s="31" t="str">
        <x:v>STRONG</x:v>
      </x:c>
      <x:c r="AA58" s="19" t="str">
        <x:v>The surface form may realize multiple senses; candidate meaning remains anchored to the report-visible source context.</x:v>
      </x:c>
      <x:c r="AB58" s="31" t="str">
        <x:v>Secondary: Component headword checked: sun.;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https://api.dictionaryapi.dev/api/v2/entries/en/pitiless%20sun; https://websters1913.timcieplowski.com/word/sun/</x:v>
      </x:c>
      <x:c r="AC58" s="19" t="str">
        <x:v>INTERNET_ARCHIVE_METADATA_TEXT_ITEM_COUNT</x:v>
      </x:c>
      <x:c r="AD58" s="19" t="str">
        <x:v>"pitiless sun" AND mediatype:texts</x:v>
      </x:c>
      <x:c r="AE58" s="31" t="str">
        <x:v>EXACT_PHRASE</x:v>
      </x:c>
      <x:c r="AF58" s="31" t="str">
        <x:v>COMPLETED_NONZERO</x:v>
      </x:c>
      <x:c r="AG58" s="28" t="n">
        <x:v>4</x:v>
      </x:c>
      <x:c r="AH58" s="19" t="str">
        <x:v>1</x:v>
      </x:c>
      <x:c r="AI58" s="19" t="str">
        <x:v>2026-08-26</x:v>
      </x:c>
      <x:c r="AJ58" s="31" t="str">
        <x:v>Metadata text-item count; not a full-text lexical frequency. Secondary metric: NOT_RUN_OPENALEX_DAILY_BUDGET_EXHAUSTED: shared provider response retained; no count fabricated.</x:v>
      </x:c>
      <x:c r="AK58" s="31" t="str">
        <x:v>FULLY_COVERED</x:v>
      </x:c>
      <x:c r="AL58" s="19" t="str">
        <x:v>PENDING_SOURCE_REVIEW</x:v>
      </x:c>
      <x:c r="AM58" s="20" t="str">
        <x:v>MEDIUM</x:v>
      </x:c>
    </x:row>
    <x:row r="59" ht="34" customHeight="1">
      <x:c r="A59" s="25" t="str">
        <x:v>FT-SEED-R1B-P-1938-25</x:v>
      </x:c>
      <x:c r="B59" s="19" t="str">
        <x:v>1938</x:v>
      </x:c>
      <x:c r="C59" s="28" t="n">
        <x:v>25</x:v>
      </x:c>
      <x:c r="D59" s="31" t="str">
        <x:v>hottest spell for years</x:v>
      </x:c>
      <x:c r="E59" s="31" t="str">
        <x:v>heatwave / weather event</x:v>
      </x:c>
      <x:c r="F59" s="19" t="str">
        <x:v>heat</x:v>
      </x:c>
      <x:c r="G59" s="19" t="str">
        <x:v>A</x:v>
      </x:c>
      <x:c r="H59" s="19" t="str">
        <x:v>V3</x:v>
      </x:c>
      <x:c r="I59" s="19" t="str">
        <x:v>NOT_EXPOSED_IN_REPORT</x:v>
      </x:c>
      <x:c r="J59" s="19" t="str">
        <x:v>S1938-COURIER</x:v>
      </x:c>
      <x:c r="K59" s="31" t="str">
        <x:v>RECONSTRUCTED_FROM_REPORT; Fear of Temperature_ Stratified Lexical Expansion, Voice Mapping, and Semantic-Relational Pre-Valida.pdf; p.8; project candidate FT-SEED-R1B-P-1938-25; original visible ID not available</x:v>
      </x:c>
      <x:c r="L59" s="31" t="str">
        <x:v>ZERO_RESPONSE_NEW</x:v>
      </x:c>
      <x:c r="M59" s="31" t="str">
        <x:v>hottest spell for years</x:v>
      </x:c>
      <x:c r="N59" s="31" t="str">
        <x:v>EXACT</x:v>
      </x:c>
      <x:c r="O59" s="19" t="str">
        <x:v>NOT_APPLICABLE</x:v>
      </x:c>
      <x:c r="P59" s="19" t="str">
        <x:v>NOT_APPLICABLE</x:v>
      </x:c>
      <x:c r="Q59" s="34" t="str">
        <x:v>NOT_APPLICABLE</x:v>
      </x:c>
      <x:c r="R59" s="34" t="str">
        <x:v>NOT_APPLICABLE</x:v>
      </x:c>
      <x:c r="S59" s="34" t="str">
        <x:v>NOT_APPLICABLE</x:v>
      </x:c>
      <x:c r="T59" s="34" t="str">
        <x:v>NOT_APPLICABLE</x:v>
      </x:c>
      <x:c r="U59" s="31" t="str">
        <x:v>Candidate surface form is directly representable in the public Ngram interface. The public Ngram endpoint returned an empty list; retained without fabricating annual zero frequencies.</x:v>
      </x:c>
      <x:c r="V59" s="31" t="str">
        <x:v>NO_STANDALONE_HEADWORD</x:v>
      </x:c>
      <x:c r="W59" s="19" t="str">
        <x:v>Component lexical analysis plus anchor-source contextual meaning</x:v>
      </x:c>
      <x:c r="X59" s="31" t="str">
        <x:v>A physical temperature, warming, heat, or measurement sense in the documented anchor context.</x:v>
      </x:c>
      <x:c r="Y59" s="31" t="str">
        <x:v>A bounded hot-weather or heatwave event; the candidate is interpreted in its documented anchor and voice context.</x:v>
      </x:c>
      <x:c r="Z59" s="31" t="str">
        <x:v>STRONG</x:v>
      </x:c>
      <x:c r="AA59" s="19" t="str">
        <x:v>The surface form may realize multiple senses; candidate meaning remains anchored to the report-visible source context.</x:v>
      </x:c>
      <x:c r="AB59" s="31" t="str">
        <x:v>Secondary: Component headword checked: years.;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https://api.dictionaryapi.dev/api/v2/entries/en/hottest%20spell%20for%20years; https://websters1913.timcieplowski.com/word/years/</x:v>
      </x:c>
      <x:c r="AC59" s="19" t="str">
        <x:v>INTERNET_ARCHIVE_METADATA_TEXT_ITEM_COUNT</x:v>
      </x:c>
      <x:c r="AD59" s="19" t="str">
        <x:v>"hottest spell for years" AND mediatype:texts</x:v>
      </x:c>
      <x:c r="AE59" s="31" t="str">
        <x:v>EXACT_PHRASE</x:v>
      </x:c>
      <x:c r="AF59" s="31" t="str">
        <x:v>COMPLETED_ZERO</x:v>
      </x:c>
      <x:c r="AG59" s="28" t="n">
        <x:v>0</x:v>
      </x:c>
      <x:c r="AH59" s="19" t="str">
        <x:v>0</x:v>
      </x:c>
      <x:c r="AI59" s="19" t="str">
        <x:v>2026-08-26</x:v>
      </x:c>
      <x:c r="AJ59" s="31" t="str">
        <x:v>Metadata text-item count; not a full-text lexical frequency. Secondary metric: NOT_RUN_OPENALEX_DAILY_BUDGET_EXHAUSTED: shared provider response retained; no count fabricated.</x:v>
      </x:c>
      <x:c r="AK59" s="31" t="str">
        <x:v>FULLY_COVERED</x:v>
      </x:c>
      <x:c r="AL59" s="19" t="str">
        <x:v>PENDING_SOURCE_REVIEW</x:v>
      </x:c>
      <x:c r="AM59" s="20" t="str">
        <x:v>MEDIUM</x:v>
      </x:c>
    </x:row>
    <x:row r="60" ht="34" customHeight="1">
      <x:c r="A60" s="25" t="str">
        <x:v>FT-SEED-R1B-P-1938-26</x:v>
      </x:c>
      <x:c r="B60" s="19" t="str">
        <x:v>1938</x:v>
      </x:c>
      <x:c r="C60" s="28" t="n">
        <x:v>26</x:v>
      </x:c>
      <x:c r="D60" s="31" t="str">
        <x:v>weather is just bearable</x:v>
      </x:c>
      <x:c r="E60" s="31" t="str">
        <x:v>personal concern</x:v>
      </x:c>
      <x:c r="F60" s="19" t="str">
        <x:v>concern_alarm</x:v>
      </x:c>
      <x:c r="G60" s="19" t="str">
        <x:v>C</x:v>
      </x:c>
      <x:c r="H60" s="19" t="str">
        <x:v>V3</x:v>
      </x:c>
      <x:c r="I60" s="19" t="str">
        <x:v>NOT_EXPOSED_IN_REPORT</x:v>
      </x:c>
      <x:c r="J60" s="19" t="str">
        <x:v>S1938-COURIER</x:v>
      </x:c>
      <x:c r="K60" s="31" t="str">
        <x:v>RECONSTRUCTED_FROM_REPORT; Fear of Temperature_ Stratified Lexical Expansion, Voice Mapping, and Semantic-Relational Pre-Valida.pdf; p.8; project candidate FT-SEED-R1B-P-1938-26; original visible ID not available</x:v>
      </x:c>
      <x:c r="L60" s="31" t="str">
        <x:v>ZERO_RESPONSE_NEW</x:v>
      </x:c>
      <x:c r="M60" s="31" t="str">
        <x:v>weather is just bearable</x:v>
      </x:c>
      <x:c r="N60" s="31" t="str">
        <x:v>EXACT</x:v>
      </x:c>
      <x:c r="O60" s="19" t="str">
        <x:v>NOT_APPLICABLE</x:v>
      </x:c>
      <x:c r="P60" s="19" t="str">
        <x:v>NOT_APPLICABLE</x:v>
      </x:c>
      <x:c r="Q60" s="34" t="str">
        <x:v>NOT_APPLICABLE</x:v>
      </x:c>
      <x:c r="R60" s="34" t="str">
        <x:v>NOT_APPLICABLE</x:v>
      </x:c>
      <x:c r="S60" s="34" t="str">
        <x:v>NOT_APPLICABLE</x:v>
      </x:c>
      <x:c r="T60" s="34" t="str">
        <x:v>NOT_APPLICABLE</x:v>
      </x:c>
      <x:c r="U60" s="31" t="str">
        <x:v>Candidate surface form is directly representable in the public Ngram interface. The public Ngram endpoint returned an empty list; retained without fabricating annual zero frequencies.</x:v>
      </x:c>
      <x:c r="V60" s="31" t="str">
        <x:v>NO_STANDALONE_HEADWORD</x:v>
      </x:c>
      <x:c r="W60" s="19" t="str">
        <x:v>Component lexical analysis plus anchor-source contextual meaning</x:v>
      </x:c>
      <x:c r="X60" s="31" t="str">
        <x:v>The candidate's affective or evaluative sense as used by the documented speaker/instrument/research voice at the anchor.</x:v>
      </x:c>
      <x:c r="Y60" s="31" t="str">
        <x:v>Concern expressed or endorsed by an identifiable person about a climate or heat object; the candidate is interpreted in its documented anchor and voice context.</x:v>
      </x:c>
      <x:c r="Z60" s="31" t="str">
        <x:v>STRONG</x:v>
      </x:c>
      <x:c r="AA60" s="19" t="str">
        <x:v>The surface form may realize multiple senses; candidate meaning remains anchored to the report-visible source context.</x:v>
      </x:c>
      <x:c r="AB60" s="31" t="str">
        <x:v>Secondary: Component headword checked: bearable.;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https://api.dictionaryapi.dev/api/v2/entries/en/weather%20is%20just%20bearable; https://websters1913.timcieplowski.com/word/bearable/</x:v>
      </x:c>
      <x:c r="AC60" s="19" t="str">
        <x:v>INTERNET_ARCHIVE_METADATA_TEXT_ITEM_COUNT</x:v>
      </x:c>
      <x:c r="AD60" s="19" t="str">
        <x:v>"weather is just bearable" AND mediatype:texts</x:v>
      </x:c>
      <x:c r="AE60" s="31" t="str">
        <x:v>EXACT_PHRASE</x:v>
      </x:c>
      <x:c r="AF60" s="31" t="str">
        <x:v>COMPLETED_ZERO</x:v>
      </x:c>
      <x:c r="AG60" s="28" t="n">
        <x:v>0</x:v>
      </x:c>
      <x:c r="AH60" s="19" t="str">
        <x:v>0</x:v>
      </x:c>
      <x:c r="AI60" s="19" t="str">
        <x:v>2026-08-26</x:v>
      </x:c>
      <x:c r="AJ60" s="31" t="str">
        <x:v>Metadata text-item count; not a full-text lexical frequency. Secondary metric: NOT_RUN_OPENALEX_DAILY_BUDGET_EXHAUSTED: shared provider response retained; no count fabricated.</x:v>
      </x:c>
      <x:c r="AK60" s="31" t="str">
        <x:v>FULLY_COVERED</x:v>
      </x:c>
      <x:c r="AL60" s="19" t="str">
        <x:v>PENDING_SOURCE_REVIEW</x:v>
      </x:c>
      <x:c r="AM60" s="20" t="str">
        <x:v>MEDIUM</x:v>
      </x:c>
    </x:row>
    <x:row r="61" ht="34" customHeight="1">
      <x:c r="A61" s="25" t="str">
        <x:v>FT-SEED-R1B-P-1938-27</x:v>
      </x:c>
      <x:c r="B61" s="19" t="str">
        <x:v>1938</x:v>
      </x:c>
      <x:c r="C61" s="28" t="n">
        <x:v>27</x:v>
      </x:c>
      <x:c r="D61" s="31" t="str">
        <x:v>heat records</x:v>
      </x:c>
      <x:c r="E61" s="31" t="str">
        <x:v>physical heat source / state</x:v>
      </x:c>
      <x:c r="F61" s="19" t="str">
        <x:v>heat</x:v>
      </x:c>
      <x:c r="G61" s="19" t="str">
        <x:v>A</x:v>
      </x:c>
      <x:c r="H61" s="19" t="str">
        <x:v>V3</x:v>
      </x:c>
      <x:c r="I61" s="19" t="str">
        <x:v>NOT_EXPOSED_IN_REPORT</x:v>
      </x:c>
      <x:c r="J61" s="19" t="str">
        <x:v>S1938-COURIER</x:v>
      </x:c>
      <x:c r="K61" s="31" t="str">
        <x:v>RECONSTRUCTED_FROM_REPORT; Fear of Temperature_ Stratified Lexical Expansion, Voice Mapping, and Semantic-Relational Pre-Valida.pdf; p.8; project candidate FT-SEED-R1B-P-1938-27; original visible ID not available</x:v>
      </x:c>
      <x:c r="L61" s="31" t="str">
        <x:v>SUCCEEDED_NEW</x:v>
      </x:c>
      <x:c r="M61" s="31" t="str">
        <x:v>heat records</x:v>
      </x:c>
      <x:c r="N61" s="31" t="str">
        <x:v>EXACT</x:v>
      </x:c>
      <x:c r="O61" s="19" t="str">
        <x:v>1843</x:v>
      </x:c>
      <x:c r="P61" s="19" t="str">
        <x:v>1936</x:v>
      </x:c>
      <x:c r="Q61" s="34" t="n">
        <x:v>1.0014666540492101e-8</x:v>
      </x:c>
      <x:c r="R61" s="34" t="n">
        <x:v>5.6799695502540715e-9</x:v>
      </x:c>
      <x:c r="S61" s="34" t="n">
        <x:v>5.975816386172283e-9</x:v>
      </x:c>
      <x:c r="T61" s="34" t="n">
        <x:v>3.5391889141589417e-9</x:v>
      </x:c>
      <x:c r="U61" s="31" t="str">
        <x:v>Candidate surface form is directly representable in the public Ngram interface. New unsmoothed 1842–2022 series retrieved for the candidate audit.</x:v>
      </x:c>
      <x:c r="V61" s="31" t="str">
        <x:v>NO_STANDALONE_HEADWORD</x:v>
      </x:c>
      <x:c r="W61" s="19" t="str">
        <x:v>Component lexical analysis plus anchor-source contextual meaning</x:v>
      </x:c>
      <x:c r="X61" s="31" t="str">
        <x:v>A physical temperature, warming, heat, or measurement sense in the documented anchor context.</x:v>
      </x:c>
      <x:c r="Y61" s="31" t="str">
        <x:v>Heat as a physical source, state, or thermal condition; the candidate is interpreted in its documented anchor and voice context.</x:v>
      </x:c>
      <x:c r="Z61" s="31" t="str">
        <x:v>STRONG</x:v>
      </x:c>
      <x:c r="AA61" s="19" t="str">
        <x:v>The surface form may realize multiple senses; candidate meaning remains anchored to the report-visible source context.</x:v>
      </x:c>
      <x:c r="AB61" s="31" t="str">
        <x:v>Secondary: Component headword checked: records.;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https://api.dictionaryapi.dev/api/v2/entries/en/heat%20records; https://websters1913.timcieplowski.com/word/records/</x:v>
      </x:c>
      <x:c r="AC61" s="19" t="str">
        <x:v>INTERNET_ARCHIVE_METADATA_TEXT_ITEM_COUNT</x:v>
      </x:c>
      <x:c r="AD61" s="19" t="str">
        <x:v>"heat records" AND mediatype:texts</x:v>
      </x:c>
      <x:c r="AE61" s="31" t="str">
        <x:v>EXACT_PHRASE</x:v>
      </x:c>
      <x:c r="AF61" s="31" t="str">
        <x:v>COMPLETED_NONZERO</x:v>
      </x:c>
      <x:c r="AG61" s="28" t="n">
        <x:v>2</x:v>
      </x:c>
      <x:c r="AH61" s="19" t="str">
        <x:v>0</x:v>
      </x:c>
      <x:c r="AI61" s="19" t="str">
        <x:v>2026-08-26</x:v>
      </x:c>
      <x:c r="AJ61" s="31" t="str">
        <x:v>Metadata text-item count; not a full-text lexical frequency. Secondary metric: NOT_RUN_OPENALEX_DAILY_BUDGET_EXHAUSTED: shared provider response retained; no count fabricated.</x:v>
      </x:c>
      <x:c r="AK61" s="31" t="str">
        <x:v>FULLY_COVERED</x:v>
      </x:c>
      <x:c r="AL61" s="19" t="str">
        <x:v>PENDING_SOURCE_REVIEW</x:v>
      </x:c>
      <x:c r="AM61" s="20" t="str">
        <x:v>MEDIUM</x:v>
      </x:c>
    </x:row>
    <x:row r="62" ht="34" customHeight="1">
      <x:c r="A62" s="25" t="str">
        <x:v>FT-SEED-R1B-P-1938-28</x:v>
      </x:c>
      <x:c r="B62" s="19" t="str">
        <x:v>1938</x:v>
      </x:c>
      <x:c r="C62" s="28" t="n">
        <x:v>28</x:v>
      </x:c>
      <x:c r="D62" s="31" t="str">
        <x:v>drought</x:v>
      </x:c>
      <x:c r="E62" s="31" t="str">
        <x:v>generic damage</x:v>
      </x:c>
      <x:c r="F62" s="19" t="str">
        <x:v>harm_loss_consequences</x:v>
      </x:c>
      <x:c r="G62" s="19" t="str">
        <x:v>D</x:v>
      </x:c>
      <x:c r="H62" s="19" t="str">
        <x:v>V3</x:v>
      </x:c>
      <x:c r="I62" s="19" t="str">
        <x:v>NOT_EXPOSED_IN_REPORT</x:v>
      </x:c>
      <x:c r="J62" s="19" t="str">
        <x:v>S1938-COURIER</x:v>
      </x:c>
      <x:c r="K62" s="31" t="str">
        <x:v>RECONSTRUCTED_FROM_REPORT; Fear of Temperature_ Stratified Lexical Expansion, Voice Mapping, and Semantic-Relational Pre-Valida.pdf; p.8; project candidate FT-SEED-R1B-P-1938-28; original visible ID not available</x:v>
      </x:c>
      <x:c r="L62" s="31" t="str">
        <x:v>SUCCEEDED_REUSED_BASELINE</x:v>
      </x:c>
      <x:c r="M62" s="31" t="str">
        <x:v>drought</x:v>
      </x:c>
      <x:c r="N62" s="31" t="str">
        <x:v>EXACT</x:v>
      </x:c>
      <x:c r="O62" s="19" t="str">
        <x:v>1842</x:v>
      </x:c>
      <x:c r="P62" s="19" t="str">
        <x:v>1934</x:v>
      </x:c>
      <x:c r="Q62" s="34" t="n">
        <x:v>0.000014142492887003755</x:v>
      </x:c>
      <x:c r="R62" s="34" t="n">
        <x:v>0.000009374461029665326</x:v>
      </x:c>
      <x:c r="S62" s="34" t="n">
        <x:v>0.00000955775340969467</x:v>
      </x:c>
      <x:c r="T62" s="34" t="n">
        <x:v>0.000008803938708723535</x:v>
      </x:c>
      <x:c r="U62" s="31" t="str">
        <x:v>Candidate surface form is directly representable in the public Ngram interface. Complete 1842–2022 unsmoothed series reused from the audited quantitative-v0.1 baseline.</x:v>
      </x:c>
      <x:c r="V62" s="31" t="str">
        <x:v>DIRECT_HEADWORD</x:v>
      </x:c>
      <x:c r="W62" s="19" t="str">
        <x:v>Webster's Revised Unabridged Dictionary (1913 public-domain headword index)</x:v>
      </x:c>
      <x:c r="X62" s="31" t="str">
        <x:v>A threat, risk, harm, severity, or consequence sense in the documented source; it is not automatically an emotion.</x:v>
      </x:c>
      <x:c r="Y62" s="31" t="str">
        <x:v>Generic material, ecological, or social damage; the candidate is interpreted in its documented anchor and voice context.</x:v>
      </x:c>
      <x:c r="Z62" s="31" t="str">
        <x:v>STRONG</x:v>
      </x:c>
      <x:c r="AA62" s="19" t="str">
        <x:v>The surface form may realize multiple senses; candidate meaning remains anchored to the report-visible source context.</x:v>
      </x:c>
      <x:c r="AB62"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62" s="19" t="str">
        <x:v>INTERNET_ARCHIVE_METADATA_TEXT_ITEM_COUNT</x:v>
      </x:c>
      <x:c r="AD62" s="19" t="str">
        <x:v>"drought" AND mediatype:texts</x:v>
      </x:c>
      <x:c r="AE62" s="31" t="str">
        <x:v>EXACT_PHRASE</x:v>
      </x:c>
      <x:c r="AF62" s="31" t="str">
        <x:v>COMPLETED_NONZERO</x:v>
      </x:c>
      <x:c r="AG62" s="28" t="n">
        <x:v>10647</x:v>
      </x:c>
      <x:c r="AH62" s="19" t="str">
        <x:v>298</x:v>
      </x:c>
      <x:c r="AI62" s="19" t="str">
        <x:v>2026-08-26</x:v>
      </x:c>
      <x:c r="AJ62" s="31" t="str">
        <x:v>Metadata text-item count; not a full-text lexical frequency. Secondary metric: NOT_RUN_OPENALEX_DAILY_BUDGET_EXHAUSTED: shared provider response retained; no count fabricated.</x:v>
      </x:c>
      <x:c r="AK62" s="31" t="str">
        <x:v>FULLY_COVERED</x:v>
      </x:c>
      <x:c r="AL62" s="19" t="str">
        <x:v>PENDING_SOURCE_REVIEW</x:v>
      </x:c>
      <x:c r="AM62" s="20" t="str">
        <x:v>MEDIUM</x:v>
      </x:c>
    </x:row>
    <x:row r="63" ht="34" customHeight="1">
      <x:c r="A63" s="25" t="str">
        <x:v>FT-SEED-R1B-P-1938-29</x:v>
      </x:c>
      <x:c r="B63" s="19" t="str">
        <x:v>1938</x:v>
      </x:c>
      <x:c r="C63" s="28" t="n">
        <x:v>29</x:v>
      </x:c>
      <x:c r="D63" s="31" t="str">
        <x:v>grass fires</x:v>
      </x:c>
      <x:c r="E63" s="31" t="str">
        <x:v>generic damage</x:v>
      </x:c>
      <x:c r="F63" s="19" t="str">
        <x:v>harm_loss_consequences</x:v>
      </x:c>
      <x:c r="G63" s="19" t="str">
        <x:v>D</x:v>
      </x:c>
      <x:c r="H63" s="19" t="str">
        <x:v>V3</x:v>
      </x:c>
      <x:c r="I63" s="19" t="str">
        <x:v>NOT_EXPOSED_IN_REPORT</x:v>
      </x:c>
      <x:c r="J63" s="19" t="str">
        <x:v>S1938-COURIER</x:v>
      </x:c>
      <x:c r="K63" s="31" t="str">
        <x:v>RECONSTRUCTED_FROM_REPORT; Fear of Temperature_ Stratified Lexical Expansion, Voice Mapping, and Semantic-Relational Pre-Valida.pdf; p.8; project candidate FT-SEED-R1B-P-1938-29; original visible ID not available</x:v>
      </x:c>
      <x:c r="L63" s="31" t="str">
        <x:v>SUCCEEDED_NEW</x:v>
      </x:c>
      <x:c r="M63" s="31" t="str">
        <x:v>grass fires</x:v>
      </x:c>
      <x:c r="N63" s="31" t="str">
        <x:v>EXACT</x:v>
      </x:c>
      <x:c r="O63" s="19" t="str">
        <x:v>1846</x:v>
      </x:c>
      <x:c r="P63" s="19" t="str">
        <x:v>1946</x:v>
      </x:c>
      <x:c r="Q63" s="34" t="n">
        <x:v>9.174678930468083e-8</x:v>
      </x:c>
      <x:c r="R63" s="34" t="n">
        <x:v>7.929683021323797e-8</x:v>
      </x:c>
      <x:c r="S63" s="34" t="n">
        <x:v>7.162705532581804e-8</x:v>
      </x:c>
      <x:c r="T63" s="34" t="n">
        <x:v>1.336043833899403e-8</x:v>
      </x:c>
      <x:c r="U63" s="31" t="str">
        <x:v>Candidate surface form is directly representable in the public Ngram interface. New unsmoothed 1842–2022 series retrieved for the candidate audit.</x:v>
      </x:c>
      <x:c r="V63" s="31" t="str">
        <x:v>NO_STANDALONE_HEADWORD</x:v>
      </x:c>
      <x:c r="W63" s="19" t="str">
        <x:v>Component lexical analysis plus anchor-source contextual meaning</x:v>
      </x:c>
      <x:c r="X63" s="31" t="str">
        <x:v>A threat, risk, harm, severity, or consequence sense in the documented source; it is not automatically an emotion.</x:v>
      </x:c>
      <x:c r="Y63" s="31" t="str">
        <x:v>Generic material, ecological, or social damage; the candidate is interpreted in its documented anchor and voice context.</x:v>
      </x:c>
      <x:c r="Z63" s="31" t="str">
        <x:v>STRONG</x:v>
      </x:c>
      <x:c r="AA63" s="19" t="str">
        <x:v>The surface form may realize multiple senses; candidate meaning remains anchored to the report-visible source context.</x:v>
      </x:c>
      <x:c r="AB63" s="31" t="str">
        <x:v>Secondary: Component headword checked: fires.;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https://api.dictionaryapi.dev/api/v2/entries/en/grass%20fires; https://websters1913.timcieplowski.com/word/fires/</x:v>
      </x:c>
      <x:c r="AC63" s="19" t="str">
        <x:v>INTERNET_ARCHIVE_METADATA_TEXT_ITEM_COUNT</x:v>
      </x:c>
      <x:c r="AD63" s="19" t="str">
        <x:v>"grass fires" AND mediatype:texts</x:v>
      </x:c>
      <x:c r="AE63" s="31" t="str">
        <x:v>EXACT_PHRASE</x:v>
      </x:c>
      <x:c r="AF63" s="31" t="str">
        <x:v>COMPLETED_NONZERO</x:v>
      </x:c>
      <x:c r="AG63" s="28" t="n">
        <x:v>39</x:v>
      </x:c>
      <x:c r="AH63" s="19" t="str">
        <x:v>0</x:v>
      </x:c>
      <x:c r="AI63" s="19" t="str">
        <x:v>2026-08-26</x:v>
      </x:c>
      <x:c r="AJ63" s="31" t="str">
        <x:v>Metadata text-item count; not a full-text lexical frequency. Secondary metric: NOT_RUN_OPENALEX_DAILY_BUDGET_EXHAUSTED: shared provider response retained; no count fabricated.</x:v>
      </x:c>
      <x:c r="AK63" s="31" t="str">
        <x:v>FULLY_COVERED</x:v>
      </x:c>
      <x:c r="AL63" s="19" t="str">
        <x:v>PENDING_SOURCE_REVIEW</x:v>
      </x:c>
      <x:c r="AM63" s="20" t="str">
        <x:v>MEDIUM</x:v>
      </x:c>
    </x:row>
    <x:row r="64" ht="34" customHeight="1">
      <x:c r="A64" s="25" t="str">
        <x:v>FT-SEED-R1B-P-1938-30</x:v>
      </x:c>
      <x:c r="B64" s="19" t="str">
        <x:v>1938</x:v>
      </x:c>
      <x:c r="C64" s="28" t="n">
        <x:v>30</x:v>
      </x:c>
      <x:c r="D64" s="31" t="str">
        <x:v>unbearable heat</x:v>
      </x:c>
      <x:c r="E64" s="31" t="str">
        <x:v>extreme-heat hazard</x:v>
      </x:c>
      <x:c r="F64" s="19" t="str">
        <x:v>heat</x:v>
      </x:c>
      <x:c r="G64" s="19" t="str">
        <x:v>D</x:v>
      </x:c>
      <x:c r="H64" s="19" t="str">
        <x:v>V3</x:v>
      </x:c>
      <x:c r="I64" s="19" t="str">
        <x:v>NOT_EXPOSED_IN_REPORT</x:v>
      </x:c>
      <x:c r="J64" s="19" t="str">
        <x:v>S1938-TORCH</x:v>
      </x:c>
      <x:c r="K64" s="31" t="str">
        <x:v>RECONSTRUCTED_FROM_REPORT; Fear of Temperature_ Stratified Lexical Expansion, Voice Mapping, and Semantic-Relational Pre-Valida.pdf; p.8; project candidate FT-SEED-R1B-P-1938-30; original visible ID not available</x:v>
      </x:c>
      <x:c r="L64" s="31" t="str">
        <x:v>SUCCEEDED_NEW</x:v>
      </x:c>
      <x:c r="M64" s="31" t="str">
        <x:v>unbearable heat</x:v>
      </x:c>
      <x:c r="N64" s="31" t="str">
        <x:v>EXACT</x:v>
      </x:c>
      <x:c r="O64" s="19" t="str">
        <x:v>1842</x:v>
      </x:c>
      <x:c r="P64" s="19" t="str">
        <x:v>2021</x:v>
      </x:c>
      <x:c r="Q64" s="34" t="n">
        <x:v>3.392838843208068e-8</x:v>
      </x:c>
      <x:c r="R64" s="34" t="n">
        <x:v>7.907408366980562e-9</x:v>
      </x:c>
      <x:c r="S64" s="34" t="n">
        <x:v>7.272420282644631e-9</x:v>
      </x:c>
      <x:c r="T64" s="34" t="n">
        <x:v>3.092366304691119e-8</x:v>
      </x:c>
      <x:c r="U64" s="31" t="str">
        <x:v>Candidate surface form is directly representable in the public Ngram interface. New unsmoothed 1842–2022 series retrieved for the candidate audit.</x:v>
      </x:c>
      <x:c r="V64" s="31" t="str">
        <x:v>NO_STANDALONE_HEADWORD</x:v>
      </x:c>
      <x:c r="W64" s="19" t="str">
        <x:v>Component lexical analysis plus anchor-source contextual meaning</x:v>
      </x:c>
      <x:c r="X64" s="31" t="str">
        <x:v>A threat, risk, harm, severity, or consequence sense in the documented source; it is not automatically an emotion.</x:v>
      </x:c>
      <x:c r="Y64" s="31" t="str">
        <x:v>Extreme heat framed as a hazard with health or social consequences; the candidate is interpreted in its documented anchor and voice context.</x:v>
      </x:c>
      <x:c r="Z64" s="31" t="str">
        <x:v>STRONG</x:v>
      </x:c>
      <x:c r="AA64" s="19" t="str">
        <x:v>The surface form may realize multiple senses; candidate meaning remains anchored to the report-visible source context.</x:v>
      </x:c>
      <x:c r="AB64" s="31" t="str">
        <x:v>Secondary: Component headword checked: heat.; historical: Anchor-period research source/context; Webster 1913 stable component URL recorded but automated page retrieval was unavailable; source: Fear of Temperature_ Stratified Lexical Expansion, Voice Mapping, and Semantic-Relational Pre-Valida.pdf#page=8; https://api.dictionaryapi.dev/api/v2/entries/en/unbearable%20heat; https://websters1913.timcieplowski.com/word/heat/</x:v>
      </x:c>
      <x:c r="AC64" s="19" t="str">
        <x:v>INTERNET_ARCHIVE_METADATA_TEXT_ITEM_COUNT</x:v>
      </x:c>
      <x:c r="AD64" s="19" t="str">
        <x:v>"unbearable heat" AND mediatype:texts</x:v>
      </x:c>
      <x:c r="AE64" s="31" t="str">
        <x:v>EXACT_PHRASE</x:v>
      </x:c>
      <x:c r="AF64" s="31" t="str">
        <x:v>COMPLETED_NONZERO</x:v>
      </x:c>
      <x:c r="AG64" s="28" t="n">
        <x:v>6</x:v>
      </x:c>
      <x:c r="AH64" s="19" t="str">
        <x:v>0</x:v>
      </x:c>
      <x:c r="AI64" s="19" t="str">
        <x:v>2026-08-26</x:v>
      </x:c>
      <x:c r="AJ64" s="31" t="str">
        <x:v>Metadata text-item count; not a full-text lexical frequency. Secondary metric: NOT_RUN_OPENALEX_DAILY_BUDGET_EXHAUSTED: shared provider response retained; no count fabricated.</x:v>
      </x:c>
      <x:c r="AK64" s="31" t="str">
        <x:v>FULLY_COVERED</x:v>
      </x:c>
      <x:c r="AL64" s="19" t="str">
        <x:v>PENDING_SOURCE_REVIEW</x:v>
      </x:c>
      <x:c r="AM64" s="20" t="str">
        <x:v>MEDIUM</x:v>
      </x:c>
    </x:row>
    <x:row r="65" ht="34" customHeight="1">
      <x:c r="A65" s="25" t="str">
        <x:v>FT-SEED-R1B-P-1988-01</x:v>
      </x:c>
      <x:c r="B65" s="19" t="str">
        <x:v>1988</x:v>
      </x:c>
      <x:c r="C65" s="28" t="n">
        <x:v>1</x:v>
      </x:c>
      <x:c r="D65" s="31" t="str">
        <x:v>greenhouse effect</x:v>
      </x:c>
      <x:c r="E65" s="31" t="str">
        <x:v>greenhouse mechanism</x:v>
      </x:c>
      <x:c r="F65" s="19" t="str">
        <x:v>carbon_greenhouse</x:v>
      </x:c>
      <x:c r="G65" s="19" t="str">
        <x:v>B</x:v>
      </x:c>
      <x:c r="H65" s="19" t="str">
        <x:v>V1</x:v>
      </x:c>
      <x:c r="I65" s="19" t="str">
        <x:v>NOT_EXPOSED_IN_REPORT</x:v>
      </x:c>
      <x:c r="J65" s="19" t="str">
        <x:v>S1988-HANSEN</x:v>
      </x:c>
      <x:c r="K65" s="31" t="str">
        <x:v>RECONSTRUCTED_FROM_REPORT; Fear of Temperature_ Stratified Lexical Expansion, Voice Mapping, and Semantic-Relational Pre-Valida.pdf; p.9; project candidate FT-SEED-R1B-P-1988-01; original visible ID not available</x:v>
      </x:c>
      <x:c r="L65" s="31" t="str">
        <x:v>SUCCEEDED_REUSED_BASELINE</x:v>
      </x:c>
      <x:c r="M65" s="31" t="str">
        <x:v>greenhouse effect</x:v>
      </x:c>
      <x:c r="N65" s="31" t="str">
        <x:v>EXACT</x:v>
      </x:c>
      <x:c r="O65" s="19" t="str">
        <x:v>1843</x:v>
      </x:c>
      <x:c r="P65" s="19" t="str">
        <x:v>1990</x:v>
      </x:c>
      <x:c r="Q65" s="34" t="n">
        <x:v>0.0000019607200425764137</x:v>
      </x:c>
      <x:c r="R65" s="34" t="n">
        <x:v>0.0000010860151045330446</x:v>
      </x:c>
      <x:c r="S65" s="34" t="n">
        <x:v>0.0000011813752772843467</x:v>
      </x:c>
      <x:c r="T65" s="34" t="n">
        <x:v>4.5310465940362477e-7</x:v>
      </x:c>
      <x:c r="U65" s="31" t="str">
        <x:v>Candidate surface form is directly representable in the public Ngram interface. Complete 1842–2022 unsmoothed series reused from the audited quantitative-v0.1 baseline.</x:v>
      </x:c>
      <x:c r="V65" s="31" t="str">
        <x:v>TECHNICAL_GLOSSARY</x:v>
      </x:c>
      <x:c r="W65" s="19" t="str">
        <x:v>IPCC climate-science glossary / assessment terminology</x:v>
      </x:c>
      <x:c r="X65" s="31" t="str">
        <x:v>A climatic, atmospheric, meteorological, or causal-science sense in the documented anchor context.</x:v>
      </x:c>
      <x:c r="Y65" s="31" t="str">
        <x:v>The atmospheric warming influence produced when greenhouse gases absorb and re-emit outgoing infrared radiation.</x:v>
      </x:c>
      <x:c r="Z65" s="31" t="str">
        <x:v>STRONG</x:v>
      </x:c>
      <x:c r="AA65" s="19" t="str">
        <x:v>The surface form may realize multiple senses; candidate meaning remains anchored to the report-visible source context.</x:v>
      </x:c>
      <x:c r="AB65" s="31" t="str">
        <x:v>Secondary: Component headword checked: effect.; historical: Anchor-period research source/context; Webster 1913 stable component URL recorded but automated page retrieval was unavailable; source: https://www.ipcc.ch/site/assets/uploads/2018/02/WGIIAR5-AnnexII_FINAL.pdf; https://api.dictionaryapi.dev/api/v2/entries/en/greenhouse%20effect; https://websters1913.timcieplowski.com/word/effect/</x:v>
      </x:c>
      <x:c r="AC65" s="19" t="str">
        <x:v>INTERNET_ARCHIVE_METADATA_TEXT_ITEM_COUNT</x:v>
      </x:c>
      <x:c r="AD65" s="19" t="str">
        <x:v>"greenhouse effect" AND mediatype:texts</x:v>
      </x:c>
      <x:c r="AE65" s="31" t="str">
        <x:v>EXACT_PHRASE</x:v>
      </x:c>
      <x:c r="AF65" s="31" t="str">
        <x:v>COMPLETED_NONZERO</x:v>
      </x:c>
      <x:c r="AG65" s="28" t="n">
        <x:v>1441</x:v>
      </x:c>
      <x:c r="AH65" s="19" t="str">
        <x:v>156</x:v>
      </x:c>
      <x:c r="AI65" s="19" t="str">
        <x:v>2026-08-26</x:v>
      </x:c>
      <x:c r="AJ65" s="31" t="str">
        <x:v>Metadata text-item count; not a full-text lexical frequency. Secondary metric: NOT_RUN_OPENALEX_DAILY_BUDGET_EXHAUSTED: shared provider response retained; no count fabricated.</x:v>
      </x:c>
      <x:c r="AK65" s="31" t="str">
        <x:v>FULLY_COVERED</x:v>
      </x:c>
      <x:c r="AL65" s="19" t="str">
        <x:v>PENDING_SOURCE_REVIEW</x:v>
      </x:c>
      <x:c r="AM65" s="20" t="str">
        <x:v>MEDIUM</x:v>
      </x:c>
    </x:row>
    <x:row r="66" ht="34" customHeight="1">
      <x:c r="A66" s="25" t="str">
        <x:v>FT-SEED-R1B-P-1988-02</x:v>
      </x:c>
      <x:c r="B66" s="19" t="str">
        <x:v>1988</x:v>
      </x:c>
      <x:c r="C66" s="28" t="n">
        <x:v>2</x:v>
      </x:c>
      <x:c r="D66" s="31" t="str">
        <x:v>global warming</x:v>
      </x:c>
      <x:c r="E66" s="31" t="str">
        <x:v>global warming as issue label</x:v>
      </x:c>
      <x:c r="F66" s="19" t="str">
        <x:v>warming</x:v>
      </x:c>
      <x:c r="G66" s="19" t="str">
        <x:v>A</x:v>
      </x:c>
      <x:c r="H66" s="19" t="str">
        <x:v>V1</x:v>
      </x:c>
      <x:c r="I66" s="19" t="str">
        <x:v>NOT_EXPOSED_IN_REPORT</x:v>
      </x:c>
      <x:c r="J66" s="19" t="str">
        <x:v>S1988-HANSEN</x:v>
      </x:c>
      <x:c r="K66" s="31" t="str">
        <x:v>RECONSTRUCTED_FROM_REPORT; Fear of Temperature_ Stratified Lexical Expansion, Voice Mapping, and Semantic-Relational Pre-Valida.pdf; p.9; project candidate FT-SEED-R1B-P-1988-02; original visible ID not available</x:v>
      </x:c>
      <x:c r="L66" s="31" t="str">
        <x:v>SUCCEEDED_REUSED_BASELINE</x:v>
      </x:c>
      <x:c r="M66" s="31" t="str">
        <x:v>global warming</x:v>
      </x:c>
      <x:c r="N66" s="31" t="str">
        <x:v>EXACT</x:v>
      </x:c>
      <x:c r="O66" s="19" t="str">
        <x:v>1843</x:v>
      </x:c>
      <x:c r="P66" s="19" t="str">
        <x:v>2009</x:v>
      </x:c>
      <x:c r="Q66" s="34" t="n">
        <x:v>0.000005445639571555194</x:v>
      </x:c>
      <x:c r="R66" s="34" t="n">
        <x:v>6.400895369296222e-7</x:v>
      </x:c>
      <x:c r="S66" s="34" t="n">
        <x:v>0.0000011427371357071448</x:v>
      </x:c>
      <x:c r="T66" s="34" t="n">
        <x:v>0.000003963670369644401</x:v>
      </x:c>
      <x:c r="U66" s="31" t="str">
        <x:v>Candidate surface form is directly representable in the public Ngram interface. Complete 1842–2022 unsmoothed series reused from the audited quantitative-v0.1 baseline.</x:v>
      </x:c>
      <x:c r="V66" s="31" t="str">
        <x:v>TECHNICAL_GLOSSARY</x:v>
      </x:c>
      <x:c r="W66" s="19" t="str">
        <x:v>IPCC climate-science glossary / assessment terminology</x:v>
      </x:c>
      <x:c r="X66" s="31" t="str">
        <x:v>A physical temperature, warming, heat, or measurement sense in the documented anchor context.</x:v>
      </x:c>
      <x:c r="Y66" s="31" t="str">
        <x:v>The long-term rise in global mean surface temperature, commonly used as an established issue label in modern climate discourse.</x:v>
      </x:c>
      <x:c r="Z66" s="31" t="str">
        <x:v>STRONG</x:v>
      </x:c>
      <x:c r="AA66" s="19" t="str">
        <x:v>The surface form may realize multiple senses; candidate meaning remains anchored to the report-visible source context.</x:v>
      </x:c>
      <x:c r="AB6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66" s="19" t="str">
        <x:v>INTERNET_ARCHIVE_METADATA_TEXT_ITEM_COUNT</x:v>
      </x:c>
      <x:c r="AD66" s="19" t="str">
        <x:v>"global warming" AND mediatype:texts</x:v>
      </x:c>
      <x:c r="AE66" s="31" t="str">
        <x:v>EXACT_PHRASE</x:v>
      </x:c>
      <x:c r="AF66" s="31" t="str">
        <x:v>COMPLETED_NONZERO</x:v>
      </x:c>
      <x:c r="AG66" s="28" t="n">
        <x:v>5619</x:v>
      </x:c>
      <x:c r="AH66" s="19" t="str">
        <x:v>123</x:v>
      </x:c>
      <x:c r="AI66" s="19" t="str">
        <x:v>2026-08-26</x:v>
      </x:c>
      <x:c r="AJ66" s="31" t="str">
        <x:v>Metadata text-item count; not a full-text lexical frequency. Secondary metric: NOT_RUN_OPENALEX_DAILY_BUDGET_EXHAUSTED: shared provider response retained; no count fabricated.</x:v>
      </x:c>
      <x:c r="AK66" s="31" t="str">
        <x:v>FULLY_COVERED</x:v>
      </x:c>
      <x:c r="AL66" s="19" t="str">
        <x:v>PENDING_SOURCE_REVIEW</x:v>
      </x:c>
      <x:c r="AM66" s="20" t="str">
        <x:v>MEDIUM</x:v>
      </x:c>
    </x:row>
    <x:row r="67" ht="34" customHeight="1">
      <x:c r="A67" s="25" t="str">
        <x:v>FT-SEED-R1B-P-1988-03</x:v>
      </x:c>
      <x:c r="B67" s="19" t="str">
        <x:v>1988</x:v>
      </x:c>
      <x:c r="C67" s="28" t="n">
        <x:v>3</x:v>
      </x:c>
      <x:c r="D67" s="31" t="str">
        <x:v>earth is warmer</x:v>
      </x:c>
      <x:c r="E67" s="31" t="str">
        <x:v>temperature increase</x:v>
      </x:c>
      <x:c r="F67" s="19" t="str">
        <x:v>warming</x:v>
      </x:c>
      <x:c r="G67" s="19" t="str">
        <x:v>A</x:v>
      </x:c>
      <x:c r="H67" s="19" t="str">
        <x:v>V1</x:v>
      </x:c>
      <x:c r="I67" s="19" t="str">
        <x:v>NOT_EXPOSED_IN_REPORT</x:v>
      </x:c>
      <x:c r="J67" s="19" t="str">
        <x:v>S1988-HANSEN</x:v>
      </x:c>
      <x:c r="K67" s="31" t="str">
        <x:v>RECONSTRUCTED_FROM_REPORT; Fear of Temperature_ Stratified Lexical Expansion, Voice Mapping, and Semantic-Relational Pre-Valida.pdf; p.9; project candidate FT-SEED-R1B-P-1988-03; original visible ID not available</x:v>
      </x:c>
      <x:c r="L67" s="31" t="str">
        <x:v>SUCCEEDED_REUSED_BASELINE</x:v>
      </x:c>
      <x:c r="M67" s="31" t="str">
        <x:v>earth is warmer</x:v>
      </x:c>
      <x:c r="N67" s="31" t="str">
        <x:v>EXACT</x:v>
      </x:c>
      <x:c r="O67" s="19" t="str">
        <x:v>1844</x:v>
      </x:c>
      <x:c r="P67" s="19" t="str">
        <x:v>1857</x:v>
      </x:c>
      <x:c r="Q67" s="34" t="n">
        <x:v>1.4437074646878045e-8</x:v>
      </x:c>
      <x:c r="R67" s="34" t="n">
        <x:v>1.2433855611782008e-9</x:v>
      </x:c>
      <x:c r="S67" s="34" t="n">
        <x:v>6.124371773608139e-10</x:v>
      </x:c>
      <x:c r="T67" s="34" t="n">
        <x:v>1.7027492194010563e-9</x:v>
      </x:c>
      <x:c r="U67" s="31" t="str">
        <x:v>Candidate surface form is directly representable in the public Ngram interface. Complete 1842–2022 unsmoothed series reused from the audited quantitative-v0.1 baseline.</x:v>
      </x:c>
      <x:c r="V67" s="31" t="str">
        <x:v>NO_STANDALONE_HEADWORD</x:v>
      </x:c>
      <x:c r="W67" s="19" t="str">
        <x:v>Component lexical analysis plus anchor-source contextual meaning</x:v>
      </x:c>
      <x:c r="X67" s="31" t="str">
        <x:v>A physical temperature, warming, heat, or measurement sense in the documented anchor context.</x:v>
      </x:c>
      <x:c r="Y67" s="31" t="str">
        <x:v>An observed, estimated, or projected increase in temperature; the candidate is interpreted in its documented anchor and voice context.</x:v>
      </x:c>
      <x:c r="Z67" s="31" t="str">
        <x:v>STRONG</x:v>
      </x:c>
      <x:c r="AA67" s="19" t="str">
        <x:v>The surface form may realize multiple senses; candidate meaning remains anchored to the report-visible source context.</x:v>
      </x:c>
      <x:c r="AB67" s="31" t="str">
        <x:v>Secondary: Component headword checked: warmer.;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https://api.dictionaryapi.dev/api/v2/entries/en/earth%20is%20warmer; https://websters1913.timcieplowski.com/word/warmer/</x:v>
      </x:c>
      <x:c r="AC67" s="19" t="str">
        <x:v>INTERNET_ARCHIVE_METADATA_TEXT_ITEM_COUNT</x:v>
      </x:c>
      <x:c r="AD67" s="19" t="str">
        <x:v>"earth is warmer" AND mediatype:texts</x:v>
      </x:c>
      <x:c r="AE67" s="31" t="str">
        <x:v>EXACT_PHRASE</x:v>
      </x:c>
      <x:c r="AF67" s="31" t="str">
        <x:v>COMPLETED_ZERO</x:v>
      </x:c>
      <x:c r="AG67" s="28" t="n">
        <x:v>0</x:v>
      </x:c>
      <x:c r="AH67" s="19" t="str">
        <x:v>0</x:v>
      </x:c>
      <x:c r="AI67" s="19" t="str">
        <x:v>2026-08-26</x:v>
      </x:c>
      <x:c r="AJ67" s="31" t="str">
        <x:v>Metadata text-item count; not a full-text lexical frequency. Secondary metric: NOT_RUN_OPENALEX_DAILY_BUDGET_EXHAUSTED: shared provider response retained; no count fabricated.</x:v>
      </x:c>
      <x:c r="AK67" s="31" t="str">
        <x:v>FULLY_COVERED</x:v>
      </x:c>
      <x:c r="AL67" s="19" t="str">
        <x:v>PENDING_SOURCE_REVIEW</x:v>
      </x:c>
      <x:c r="AM67" s="20" t="str">
        <x:v>MEDIUM</x:v>
      </x:c>
    </x:row>
    <x:row r="68" ht="34" customHeight="1">
      <x:c r="A68" s="25" t="str">
        <x:v>FT-SEED-R1B-P-1988-04</x:v>
      </x:c>
      <x:c r="B68" s="19" t="str">
        <x:v>1988</x:v>
      </x:c>
      <x:c r="C68" s="28" t="n">
        <x:v>4</x:v>
      </x:c>
      <x:c r="D68" s="31" t="str">
        <x:v>instrumental measurements</x:v>
      </x:c>
      <x:c r="E68" s="31" t="str">
        <x:v>historical climate / climatological condition</x:v>
      </x:c>
      <x:c r="F68" s="19" t="str">
        <x:v>climate</x:v>
      </x:c>
      <x:c r="G68" s="19" t="str">
        <x:v>B</x:v>
      </x:c>
      <x:c r="H68" s="19" t="str">
        <x:v>V1</x:v>
      </x:c>
      <x:c r="I68" s="19" t="str">
        <x:v>NOT_EXPOSED_IN_REPORT</x:v>
      </x:c>
      <x:c r="J68" s="19" t="str">
        <x:v>S1988-HANSEN</x:v>
      </x:c>
      <x:c r="K68" s="31" t="str">
        <x:v>RECONSTRUCTED_FROM_REPORT; Fear of Temperature_ Stratified Lexical Expansion, Voice Mapping, and Semantic-Relational Pre-Valida.pdf; p.9; project candidate FT-SEED-R1B-P-1988-04; original visible ID not available</x:v>
      </x:c>
      <x:c r="L68" s="31" t="str">
        <x:v>SUCCEEDED_REUSED_BASELINE</x:v>
      </x:c>
      <x:c r="M68" s="31" t="str">
        <x:v>instrumental measurements</x:v>
      </x:c>
      <x:c r="N68" s="31" t="str">
        <x:v>EXACT</x:v>
      </x:c>
      <x:c r="O68" s="19" t="str">
        <x:v>1844</x:v>
      </x:c>
      <x:c r="P68" s="19" t="str">
        <x:v>1974</x:v>
      </x:c>
      <x:c r="Q68" s="34" t="n">
        <x:v>1.8620491870624534e-8</x:v>
      </x:c>
      <x:c r="R68" s="34" t="n">
        <x:v>6.959104164455665e-9</x:v>
      </x:c>
      <x:c r="S68" s="34" t="n">
        <x:v>9.169332604308522e-9</x:v>
      </x:c>
      <x:c r="T68" s="34" t="n">
        <x:v>8.892212299826951e-9</x:v>
      </x:c>
      <x:c r="U68" s="31" t="str">
        <x:v>Candidate surface form is directly representable in the public Ngram interface. Complete 1842–2022 unsmoothed series reused from the audited quantitative-v0.1 baseline.</x:v>
      </x:c>
      <x:c r="V68" s="31" t="str">
        <x:v>NO_STANDALONE_HEADWORD</x:v>
      </x:c>
      <x:c r="W68" s="19" t="str">
        <x:v>Component lexical analysis plus anchor-source contextual meaning</x:v>
      </x:c>
      <x:c r="X68" s="31" t="str">
        <x:v>A climatic, atmospheric, meteorological, or causal-science sense in the documented anchor context.</x:v>
      </x:c>
      <x:c r="Y68" s="31" t="str">
        <x:v>Climate as a historical, geographical, seasonal, or climatological condition; the candidate is interpreted in its documented anchor and voice context.</x:v>
      </x:c>
      <x:c r="Z68" s="31" t="str">
        <x:v>STRONG</x:v>
      </x:c>
      <x:c r="AA68" s="19" t="str">
        <x:v>The surface form may realize multiple senses; candidate meaning remains anchored to the report-visible source context.</x:v>
      </x:c>
      <x:c r="AB68" s="31" t="str">
        <x:v>Secondary: Component headword checked: measurements.;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https://api.dictionaryapi.dev/api/v2/entries/en/instrumental%20measurements; https://websters1913.timcieplowski.com/word/measurements/</x:v>
      </x:c>
      <x:c r="AC68" s="19" t="str">
        <x:v>INTERNET_ARCHIVE_METADATA_TEXT_ITEM_COUNT</x:v>
      </x:c>
      <x:c r="AD68" s="19" t="str">
        <x:v>"instrumental measurements" AND mediatype:texts</x:v>
      </x:c>
      <x:c r="AE68" s="31" t="str">
        <x:v>EXACT_PHRASE</x:v>
      </x:c>
      <x:c r="AF68" s="31" t="str">
        <x:v>COMPLETED_NONZERO</x:v>
      </x:c>
      <x:c r="AG68" s="28" t="n">
        <x:v>13</x:v>
      </x:c>
      <x:c r="AH68" s="19" t="str">
        <x:v>1</x:v>
      </x:c>
      <x:c r="AI68" s="19" t="str">
        <x:v>2026-08-26</x:v>
      </x:c>
      <x:c r="AJ68" s="31" t="str">
        <x:v>Metadata text-item count; not a full-text lexical frequency. Secondary metric: NOT_RUN_OPENALEX_DAILY_BUDGET_EXHAUSTED: shared provider response retained; no count fabricated.</x:v>
      </x:c>
      <x:c r="AK68" s="31" t="str">
        <x:v>FULLY_COVERED</x:v>
      </x:c>
      <x:c r="AL68" s="19" t="str">
        <x:v>PENDING_SOURCE_REVIEW</x:v>
      </x:c>
      <x:c r="AM68" s="20" t="str">
        <x:v>MEDIUM</x:v>
      </x:c>
    </x:row>
    <x:row r="69" ht="34" customHeight="1">
      <x:c r="A69" s="25" t="str">
        <x:v>FT-SEED-R1B-P-1988-05</x:v>
      </x:c>
      <x:c r="B69" s="19" t="str">
        <x:v>1988</x:v>
      </x:c>
      <x:c r="C69" s="28" t="n">
        <x:v>5</x:v>
      </x:c>
      <x:c r="D69" s="31" t="str">
        <x:v>cause-and-effect relationship</x:v>
      </x:c>
      <x:c r="E69" s="31" t="str">
        <x:v>generic damage</x:v>
      </x:c>
      <x:c r="F69" s="19" t="str">
        <x:v>harm_loss_consequences</x:v>
      </x:c>
      <x:c r="G69" s="19" t="str">
        <x:v>B</x:v>
      </x:c>
      <x:c r="H69" s="19" t="str">
        <x:v>V1</x:v>
      </x:c>
      <x:c r="I69" s="19" t="str">
        <x:v>NOT_EXPOSED_IN_REPORT</x:v>
      </x:c>
      <x:c r="J69" s="19" t="str">
        <x:v>S1988-HANSEN</x:v>
      </x:c>
      <x:c r="K69" s="31" t="str">
        <x:v>RECONSTRUCTED_FROM_REPORT; Fear of Temperature_ Stratified Lexical Expansion, Voice Mapping, and Semantic-Relational Pre-Valida.pdf; p.9; project candidate FT-SEED-R1B-P-1988-05; original visible ID not available</x:v>
      </x:c>
      <x:c r="L69" s="31" t="str">
        <x:v>SUCCEEDED_REUSED_BASELINE</x:v>
      </x:c>
      <x:c r="M69" s="31" t="str">
        <x:v>cause-and-effect relationship</x:v>
      </x:c>
      <x:c r="N69" s="31" t="str">
        <x:v>EXACT</x:v>
      </x:c>
      <x:c r="O69" s="19" t="str">
        <x:v>1870</x:v>
      </x:c>
      <x:c r="P69" s="19" t="str">
        <x:v>2011</x:v>
      </x:c>
      <x:c r="Q69" s="34" t="n">
        <x:v>1.3955706246182586e-7</x:v>
      </x:c>
      <x:c r="R69" s="34" t="n">
        <x:v>1.0407409367640952e-7</x:v>
      </x:c>
      <x:c r="S69" s="34" t="n">
        <x:v>1.0096391321601228e-7</x:v>
      </x:c>
      <x:c r="T69" s="34" t="n">
        <x:v>1.0467785772905192e-7</x:v>
      </x:c>
      <x:c r="U69" s="31" t="str">
        <x:v>Candidate surface form is directly representable in the public Ngram interface. Complete 1842–2022 unsmoothed series reused from the audited quantitative-v0.1 baseline.</x:v>
      </x:c>
      <x:c r="V69" s="31" t="str">
        <x:v>NO_STANDALONE_HEADWORD</x:v>
      </x:c>
      <x:c r="W69" s="19" t="str">
        <x:v>Component lexical analysis plus anchor-source contextual meaning</x:v>
      </x:c>
      <x:c r="X69" s="31" t="str">
        <x:v>A climatic, atmospheric, meteorological, or causal-science sense in the documented anchor context.</x:v>
      </x:c>
      <x:c r="Y69" s="31" t="str">
        <x:v>Generic material, ecological, or social damage; the candidate is interpreted in its documented anchor and voice context.</x:v>
      </x:c>
      <x:c r="Z69" s="31" t="str">
        <x:v>STRONG</x:v>
      </x:c>
      <x:c r="AA69" s="19" t="str">
        <x:v>The surface form may realize multiple senses; candidate meaning remains anchored to the report-visible source context.</x:v>
      </x:c>
      <x:c r="AB69" s="31" t="str">
        <x:v>Secondary: Component headword checked: relationship.;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https://api.dictionaryapi.dev/api/v2/entries/en/cause-and-effect%20relationship; https://websters1913.timcieplowski.com/word/relationship/</x:v>
      </x:c>
      <x:c r="AC69" s="19" t="str">
        <x:v>INTERNET_ARCHIVE_METADATA_TEXT_ITEM_COUNT</x:v>
      </x:c>
      <x:c r="AD69" s="19" t="str">
        <x:v>"cause-and-effect relationship" AND mediatype:texts</x:v>
      </x:c>
      <x:c r="AE69" s="31" t="str">
        <x:v>EXACT_PHRASE</x:v>
      </x:c>
      <x:c r="AF69" s="31" t="str">
        <x:v>COMPLETED_NONZERO</x:v>
      </x:c>
      <x:c r="AG69" s="28" t="n">
        <x:v>118</x:v>
      </x:c>
      <x:c r="AH69" s="19" t="str">
        <x:v>9</x:v>
      </x:c>
      <x:c r="AI69" s="19" t="str">
        <x:v>2026-08-26</x:v>
      </x:c>
      <x:c r="AJ69" s="31" t="str">
        <x:v>Metadata text-item count; not a full-text lexical frequency. Secondary metric: Scholarly work discoverability count over OpenAlex search fields; not a corpus word frequency.</x:v>
      </x:c>
      <x:c r="AK69" s="31" t="str">
        <x:v>FULLY_COVERED</x:v>
      </x:c>
      <x:c r="AL69" s="19" t="str">
        <x:v>PENDING_SOURCE_REVIEW</x:v>
      </x:c>
      <x:c r="AM69" s="20" t="str">
        <x:v>MEDIUM</x:v>
      </x:c>
    </x:row>
    <x:row r="70" ht="34" customHeight="1">
      <x:c r="A70" s="25" t="str">
        <x:v>FT-SEED-R1B-P-1988-06</x:v>
      </x:c>
      <x:c r="B70" s="19" t="str">
        <x:v>1988</x:v>
      </x:c>
      <x:c r="C70" s="28" t="n">
        <x:v>6</x:v>
      </x:c>
      <x:c r="D70" s="31" t="str">
        <x:v>global temperature</x:v>
      </x:c>
      <x:c r="E70" s="31" t="str">
        <x:v>global aggregate temperature</x:v>
      </x:c>
      <x:c r="F70" s="19" t="str">
        <x:v>temperature_threshold</x:v>
      </x:c>
      <x:c r="G70" s="19" t="str">
        <x:v>A</x:v>
      </x:c>
      <x:c r="H70" s="19" t="str">
        <x:v>V1</x:v>
      </x:c>
      <x:c r="I70" s="19" t="str">
        <x:v>NOT_EXPOSED_IN_REPORT</x:v>
      </x:c>
      <x:c r="J70" s="19" t="str">
        <x:v>S1988-HANSEN</x:v>
      </x:c>
      <x:c r="K70" s="31" t="str">
        <x:v>RECONSTRUCTED_FROM_REPORT; Fear of Temperature_ Stratified Lexical Expansion, Voice Mapping, and Semantic-Relational Pre-Valida.pdf; p.9; project candidate FT-SEED-R1B-P-1988-06; original visible ID not available</x:v>
      </x:c>
      <x:c r="L70" s="31" t="str">
        <x:v>SUCCEEDED_REUSED_BASELINE</x:v>
      </x:c>
      <x:c r="M70" s="31" t="str">
        <x:v>global temperature</x:v>
      </x:c>
      <x:c r="N70" s="31" t="str">
        <x:v>EXACT</x:v>
      </x:c>
      <x:c r="O70" s="19" t="str">
        <x:v>1843</x:v>
      </x:c>
      <x:c r="P70" s="19" t="str">
        <x:v>2022</x:v>
      </x:c>
      <x:c r="Q70" s="34" t="n">
        <x:v>3.1405876510515185e-7</x:v>
      </x:c>
      <x:c r="R70" s="34" t="n">
        <x:v>1.1016113932171834e-7</x:v>
      </x:c>
      <x:c r="S70" s="34" t="n">
        <x:v>1.0545273128742539e-7</x:v>
      </x:c>
      <x:c r="T70" s="34" t="n">
        <x:v>3.1405876510515185e-7</x:v>
      </x:c>
      <x:c r="U70" s="31" t="str">
        <x:v>Candidate surface form is directly representable in the public Ngram interface. Complete 1842–2022 unsmoothed series reused from the audited quantitative-v0.1 baseline.</x:v>
      </x:c>
      <x:c r="V70" s="31" t="str">
        <x:v>TECHNICAL_GLOSSARY</x:v>
      </x:c>
      <x:c r="W70" s="19" t="str">
        <x:v>IPCC climate-science glossary / assessment terminology</x:v>
      </x:c>
      <x:c r="X70" s="31" t="str">
        <x:v>A physical temperature, warming, heat, or measurement sense in the documented anchor context.</x:v>
      </x:c>
      <x:c r="Y70" s="31" t="str">
        <x:v>A global-scale aggregate temperature metric; the candidate is interpreted in its documented anchor and voice context.</x:v>
      </x:c>
      <x:c r="Z70" s="31" t="str">
        <x:v>STRONG</x:v>
      </x:c>
      <x:c r="AA70" s="19" t="str">
        <x:v>The surface form may realize multiple senses; candidate meaning remains anchored to the report-visible source context.</x:v>
      </x:c>
      <x:c r="AB70"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https://api.dictionaryapi.dev/api/v2/entries/en/global%20temperature; https://websters1913.timcieplowski.com/word/temperature/</x:v>
      </x:c>
      <x:c r="AC70" s="19" t="str">
        <x:v>INTERNET_ARCHIVE_METADATA_TEXT_ITEM_COUNT</x:v>
      </x:c>
      <x:c r="AD70" s="19" t="str">
        <x:v>"global temperature" AND mediatype:texts</x:v>
      </x:c>
      <x:c r="AE70" s="31" t="str">
        <x:v>EXACT_PHRASE</x:v>
      </x:c>
      <x:c r="AF70" s="31" t="str">
        <x:v>COMPLETED_NONZERO</x:v>
      </x:c>
      <x:c r="AG70" s="28" t="n">
        <x:v>328</x:v>
      </x:c>
      <x:c r="AH70" s="19" t="str">
        <x:v>18</x:v>
      </x:c>
      <x:c r="AI70" s="19" t="str">
        <x:v>2026-08-26</x:v>
      </x:c>
      <x:c r="AJ70" s="31" t="str">
        <x:v>Metadata text-item count; not a full-text lexical frequency. Secondary metric: NOT_RUN_OPENALEX_DAILY_BUDGET_EXHAUSTED: shared provider response retained; no count fabricated.</x:v>
      </x:c>
      <x:c r="AK70" s="31" t="str">
        <x:v>FULLY_COVERED</x:v>
      </x:c>
      <x:c r="AL70" s="19" t="str">
        <x:v>PENDING_SOURCE_REVIEW</x:v>
      </x:c>
      <x:c r="AM70" s="20" t="str">
        <x:v>MEDIUM</x:v>
      </x:c>
    </x:row>
    <x:row r="71" ht="34" customHeight="1">
      <x:c r="A71" s="25" t="str">
        <x:v>FT-SEED-R1B-P-1988-07</x:v>
      </x:c>
      <x:c r="B71" s="19" t="str">
        <x:v>1988</x:v>
      </x:c>
      <x:c r="C71" s="28" t="n">
        <x:v>7</x:v>
      </x:c>
      <x:c r="D71" s="31" t="str">
        <x:v>regional heat waves</x:v>
      </x:c>
      <x:c r="E71" s="31" t="str">
        <x:v>heatwave / weather event</x:v>
      </x:c>
      <x:c r="F71" s="19" t="str">
        <x:v>heat</x:v>
      </x:c>
      <x:c r="G71" s="19" t="str">
        <x:v>A</x:v>
      </x:c>
      <x:c r="H71" s="19" t="str">
        <x:v>V1</x:v>
      </x:c>
      <x:c r="I71" s="19" t="str">
        <x:v>NOT_EXPOSED_IN_REPORT</x:v>
      </x:c>
      <x:c r="J71" s="19" t="str">
        <x:v>S1988-HANSEN</x:v>
      </x:c>
      <x:c r="K71" s="31" t="str">
        <x:v>RECONSTRUCTED_FROM_REPORT; Fear of Temperature_ Stratified Lexical Expansion, Voice Mapping, and Semantic-Relational Pre-Valida.pdf; p.9; project candidate FT-SEED-R1B-P-1988-07; original visible ID not available</x:v>
      </x:c>
      <x:c r="L71" s="31" t="str">
        <x:v>SUCCEEDED_REUSED_BASELINE</x:v>
      </x:c>
      <x:c r="M71" s="31" t="str">
        <x:v>regional heat waves</x:v>
      </x:c>
      <x:c r="N71" s="31" t="str">
        <x:v>EXACT</x:v>
      </x:c>
      <x:c r="O71" s="19" t="str">
        <x:v>1954</x:v>
      </x:c>
      <x:c r="P71" s="19" t="str">
        <x:v>1990</x:v>
      </x:c>
      <x:c r="Q71" s="34" t="n">
        <x:v>2.8410911401266503e-9</x:v>
      </x:c>
      <x:c r="R71" s="34" t="n">
        <x:v>7.0278316499639e-10</x:v>
      </x:c>
      <x:c r="S71" s="34" t="n">
        <x:v>1.1086871302967705e-9</x:v>
      </x:c>
      <x:c r="T71" s="34" t="n">
        <x:v>4.729858865681891e-11</x:v>
      </x:c>
      <x:c r="U71" s="31" t="str">
        <x:v>Candidate surface form is directly representable in the public Ngram interface. Complete 1842–2022 unsmoothed series reused from the audited quantitative-v0.1 baseline.</x:v>
      </x:c>
      <x:c r="V71" s="31" t="str">
        <x:v>TECHNICAL_GLOSSARY</x:v>
      </x:c>
      <x:c r="W71" s="19" t="str">
        <x:v>IPCC climate-science glossary / assessment terminology</x:v>
      </x:c>
      <x:c r="X71" s="31" t="str">
        <x:v>A physical temperature, warming, heat, or measurement sense in the documented anchor context.</x:v>
      </x:c>
      <x:c r="Y71" s="31" t="str">
        <x:v>A bounded hot-weather or heatwave event; the candidate is interpreted in its documented anchor and voice context.</x:v>
      </x:c>
      <x:c r="Z71" s="31" t="str">
        <x:v>STRONG</x:v>
      </x:c>
      <x:c r="AA71" s="19" t="str">
        <x:v>The surface form may realize multiple senses; candidate meaning remains anchored to the report-visible source context.</x:v>
      </x:c>
      <x:c r="AB71" s="31" t="str">
        <x:v>Secondary: Component headword checked: waves.; historical: Anchor-period research source/context; Webster 1913 stable component URL recorded but automated page retrieval was unavailable; source: https://www.ipcc.ch/site/assets/uploads/2018/02/WGIIAR5-AnnexII_FINAL.pdf; https://api.dictionaryapi.dev/api/v2/entries/en/regional%20heat%20waves; https://websters1913.timcieplowski.com/word/waves/</x:v>
      </x:c>
      <x:c r="AC71" s="19" t="str">
        <x:v>INTERNET_ARCHIVE_METADATA_TEXT_ITEM_COUNT</x:v>
      </x:c>
      <x:c r="AD71" s="19" t="str">
        <x:v>"regional heat waves" AND mediatype:texts</x:v>
      </x:c>
      <x:c r="AE71" s="31" t="str">
        <x:v>EXACT_PHRASE</x:v>
      </x:c>
      <x:c r="AF71" s="31" t="str">
        <x:v>COMPLETED_ZERO</x:v>
      </x:c>
      <x:c r="AG71" s="28" t="n">
        <x:v>0</x:v>
      </x:c>
      <x:c r="AH71" s="19" t="str">
        <x:v>0</x:v>
      </x:c>
      <x:c r="AI71" s="19" t="str">
        <x:v>2026-08-26</x:v>
      </x:c>
      <x:c r="AJ71" s="31" t="str">
        <x:v>Metadata text-item count; not a full-text lexical frequency. Secondary metric: NOT_RUN_OPENALEX_DAILY_BUDGET_EXHAUSTED: shared provider response retained; no count fabricated.</x:v>
      </x:c>
      <x:c r="AK71" s="31" t="str">
        <x:v>FULLY_COVERED</x:v>
      </x:c>
      <x:c r="AL71" s="19" t="str">
        <x:v>PENDING_SOURCE_REVIEW</x:v>
      </x:c>
      <x:c r="AM71" s="20" t="str">
        <x:v>MEDIUM</x:v>
      </x:c>
    </x:row>
    <x:row r="72" ht="34" customHeight="1">
      <x:c r="A72" s="25" t="str">
        <x:v>FT-SEED-R1B-P-1988-08</x:v>
      </x:c>
      <x:c r="B72" s="19" t="str">
        <x:v>1988</x:v>
      </x:c>
      <x:c r="C72" s="28" t="n">
        <x:v>8</x:v>
      </x:c>
      <x:c r="D72" s="31" t="str">
        <x:v>heat wave</x:v>
      </x:c>
      <x:c r="E72" s="31" t="str">
        <x:v>heatwave / weather event</x:v>
      </x:c>
      <x:c r="F72" s="19" t="str">
        <x:v>heat</x:v>
      </x:c>
      <x:c r="G72" s="19" t="str">
        <x:v>A</x:v>
      </x:c>
      <x:c r="H72" s="19" t="str">
        <x:v>V1</x:v>
      </x:c>
      <x:c r="I72" s="19" t="str">
        <x:v>NOT_EXPOSED_IN_REPORT</x:v>
      </x:c>
      <x:c r="J72" s="19" t="str">
        <x:v>S1988-HANSEN</x:v>
      </x:c>
      <x:c r="K72" s="31" t="str">
        <x:v>RECONSTRUCTED_FROM_REPORT; Fear of Temperature_ Stratified Lexical Expansion, Voice Mapping, and Semantic-Relational Pre-Valida.pdf; p.9; project candidate FT-SEED-R1B-P-1988-08; original visible ID not available</x:v>
      </x:c>
      <x:c r="L72" s="31" t="str">
        <x:v>SUCCEEDED_REUSED_BASELINE</x:v>
      </x:c>
      <x:c r="M72" s="31" t="str">
        <x:v>heat wave</x:v>
      </x:c>
      <x:c r="N72" s="31" t="str">
        <x:v>EXACT</x:v>
      </x:c>
      <x:c r="O72" s="19" t="str">
        <x:v>1842</x:v>
      </x:c>
      <x:c r="P72" s="19" t="str">
        <x:v>2020</x:v>
      </x:c>
      <x:c r="Q72" s="34" t="n">
        <x:v>3.703185072062576e-7</x:v>
      </x:c>
      <x:c r="R72" s="34" t="n">
        <x:v>1.7180597014498922e-7</x:v>
      </x:c>
      <x:c r="S72" s="34" t="n">
        <x:v>1.5487749849552036e-7</x:v>
      </x:c>
      <x:c r="T72" s="34" t="n">
        <x:v>3.0065411360524763e-7</x:v>
      </x:c>
      <x:c r="U72" s="31" t="str">
        <x:v>Candidate surface form is directly representable in the public Ngram interface. Complete 1842–2022 unsmoothed series reused from the audited quantitative-v0.1 baseline.</x:v>
      </x:c>
      <x:c r="V72" s="31" t="str">
        <x:v>NO_STANDALONE_HEADWORD</x:v>
      </x:c>
      <x:c r="W72" s="19" t="str">
        <x:v>Component lexical analysis plus anchor-source contextual meaning</x:v>
      </x:c>
      <x:c r="X72" s="31" t="str">
        <x:v>A physical temperature, warming, heat, or measurement sense in the documented anchor context.</x:v>
      </x:c>
      <x:c r="Y72" s="31" t="str">
        <x:v>A bounded hot-weather or heatwave event; the candidate is interpreted in its documented anchor and voice context.</x:v>
      </x:c>
      <x:c r="Z72" s="31" t="str">
        <x:v>STRONG</x:v>
      </x:c>
      <x:c r="AA72" s="19" t="str">
        <x:v>The surface form may realize multiple senses; candidate meaning remains anchored to the report-visible source context.</x:v>
      </x:c>
      <x:c r="AB72" s="31" t="str">
        <x:v>Secondary: Component headword checked: wave.;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 https://websters1913.timcieplowski.com/word/wave/</x:v>
      </x:c>
      <x:c r="AC72" s="19" t="str">
        <x:v>INTERNET_ARCHIVE_METADATA_TEXT_ITEM_COUNT</x:v>
      </x:c>
      <x:c r="AD72" s="19" t="str">
        <x:v>"heat wave" AND mediatype:texts</x:v>
      </x:c>
      <x:c r="AE72" s="31" t="str">
        <x:v>EXACT_PHRASE</x:v>
      </x:c>
      <x:c r="AF72" s="31" t="str">
        <x:v>COMPLETED_NONZERO</x:v>
      </x:c>
      <x:c r="AG72" s="28" t="n">
        <x:v>957</x:v>
      </x:c>
      <x:c r="AH72" s="19" t="str">
        <x:v>64</x:v>
      </x:c>
      <x:c r="AI72" s="19" t="str">
        <x:v>2026-08-26</x:v>
      </x:c>
      <x:c r="AJ72" s="31" t="str">
        <x:v>Metadata text-item count; not a full-text lexical frequency. Secondary metric: NOT_RUN_OPENALEX_DAILY_BUDGET_EXHAUSTED: shared provider response retained; no count fabricated.</x:v>
      </x:c>
      <x:c r="AK72" s="31" t="str">
        <x:v>FULLY_COVERED</x:v>
      </x:c>
      <x:c r="AL72" s="19" t="str">
        <x:v>PENDING_SOURCE_REVIEW</x:v>
      </x:c>
      <x:c r="AM72" s="20" t="str">
        <x:v>MEDIUM</x:v>
      </x:c>
    </x:row>
    <x:row r="73" ht="34" customHeight="1">
      <x:c r="A73" s="25" t="str">
        <x:v>FT-SEED-R1B-P-1988-09</x:v>
      </x:c>
      <x:c r="B73" s="19" t="str">
        <x:v>1988</x:v>
      </x:c>
      <x:c r="C73" s="28" t="n">
        <x:v>9</x:v>
      </x:c>
      <x:c r="D73" s="31" t="str">
        <x:v>drought</x:v>
      </x:c>
      <x:c r="E73" s="31" t="str">
        <x:v>generic damage</x:v>
      </x:c>
      <x:c r="F73" s="19" t="str">
        <x:v>harm_loss_consequences</x:v>
      </x:c>
      <x:c r="G73" s="19" t="str">
        <x:v>D</x:v>
      </x:c>
      <x:c r="H73" s="19" t="str">
        <x:v>V1</x:v>
      </x:c>
      <x:c r="I73" s="19" t="str">
        <x:v>NOT_EXPOSED_IN_REPORT</x:v>
      </x:c>
      <x:c r="J73" s="19" t="str">
        <x:v>S1988-HANSEN</x:v>
      </x:c>
      <x:c r="K73" s="31" t="str">
        <x:v>RECONSTRUCTED_FROM_REPORT; Fear of Temperature_ Stratified Lexical Expansion, Voice Mapping, and Semantic-Relational Pre-Valida.pdf; p.9; project candidate FT-SEED-R1B-P-1988-09; original visible ID not available</x:v>
      </x:c>
      <x:c r="L73" s="31" t="str">
        <x:v>SUCCEEDED_REUSED_BASELINE</x:v>
      </x:c>
      <x:c r="M73" s="31" t="str">
        <x:v>drought</x:v>
      </x:c>
      <x:c r="N73" s="31" t="str">
        <x:v>EXACT</x:v>
      </x:c>
      <x:c r="O73" s="19" t="str">
        <x:v>1842</x:v>
      </x:c>
      <x:c r="P73" s="19" t="str">
        <x:v>1934</x:v>
      </x:c>
      <x:c r="Q73" s="34" t="n">
        <x:v>0.000014142492887003755</x:v>
      </x:c>
      <x:c r="R73" s="34" t="n">
        <x:v>0.00001090940310177757</x:v>
      </x:c>
      <x:c r="S73" s="34" t="n">
        <x:v>0.000009547862759973214</x:v>
      </x:c>
      <x:c r="T73" s="34" t="n">
        <x:v>0.000008803938708723535</x:v>
      </x:c>
      <x:c r="U73" s="31" t="str">
        <x:v>Candidate surface form is directly representable in the public Ngram interface. Complete 1842–2022 unsmoothed series reused from the audited quantitative-v0.1 baseline.</x:v>
      </x:c>
      <x:c r="V73" s="31" t="str">
        <x:v>DIRECT_HEADWORD</x:v>
      </x:c>
      <x:c r="W73" s="19" t="str">
        <x:v>Webster's Revised Unabridged Dictionary (1913 public-domain headword index)</x:v>
      </x:c>
      <x:c r="X73" s="31" t="str">
        <x:v>A threat, risk, harm, severity, or consequence sense in the documented source; it is not automatically an emotion.</x:v>
      </x:c>
      <x:c r="Y73" s="31" t="str">
        <x:v>Generic material, ecological, or social damage; the candidate is interpreted in its documented anchor and voice context.</x:v>
      </x:c>
      <x:c r="Z73" s="31" t="str">
        <x:v>STRONG</x:v>
      </x:c>
      <x:c r="AA73" s="19" t="str">
        <x:v>The surface form may realize multiple senses; candidate meaning remains anchored to the report-visible source context.</x:v>
      </x:c>
      <x:c r="AB73" s="31" t="str">
        <x:v>Secondary: Component headword checked: drought.; historical: Anchor-period research source/context; Webster 1913 stable component URL recorded but automated page retrieval was unavailable; source: https://websters1913.timcieplowski.com/word/drought/; https://api.dictionaryapi.dev/api/v2/entries/en/drought</x:v>
      </x:c>
      <x:c r="AC73" s="19" t="str">
        <x:v>INTERNET_ARCHIVE_METADATA_TEXT_ITEM_COUNT</x:v>
      </x:c>
      <x:c r="AD73" s="19" t="str">
        <x:v>"drought" AND mediatype:texts</x:v>
      </x:c>
      <x:c r="AE73" s="31" t="str">
        <x:v>EXACT_PHRASE</x:v>
      </x:c>
      <x:c r="AF73" s="31" t="str">
        <x:v>COMPLETED_NONZERO</x:v>
      </x:c>
      <x:c r="AG73" s="28" t="n">
        <x:v>10647</x:v>
      </x:c>
      <x:c r="AH73" s="19" t="str">
        <x:v>298</x:v>
      </x:c>
      <x:c r="AI73" s="19" t="str">
        <x:v>2026-08-26</x:v>
      </x:c>
      <x:c r="AJ73" s="31" t="str">
        <x:v>Metadata text-item count; not a full-text lexical frequency. Secondary metric: NOT_RUN_OPENALEX_DAILY_BUDGET_EXHAUSTED: shared provider response retained; no count fabricated.</x:v>
      </x:c>
      <x:c r="AK73" s="31" t="str">
        <x:v>FULLY_COVERED</x:v>
      </x:c>
      <x:c r="AL73" s="19" t="str">
        <x:v>PENDING_SOURCE_REVIEW</x:v>
      </x:c>
      <x:c r="AM73" s="20" t="str">
        <x:v>MEDIUM</x:v>
      </x:c>
    </x:row>
    <x:row r="74" ht="34" customHeight="1">
      <x:c r="A74" s="25" t="str">
        <x:v>FT-SEED-R1B-P-1988-10</x:v>
      </x:c>
      <x:c r="B74" s="19" t="str">
        <x:v>1988</x:v>
      </x:c>
      <x:c r="C74" s="28" t="n">
        <x:v>10</x:v>
      </x:c>
      <x:c r="D74" s="31" t="str">
        <x:v>heat wave/drought occurrences</x:v>
      </x:c>
      <x:c r="E74" s="31" t="str">
        <x:v>heatwave / weather event</x:v>
      </x:c>
      <x:c r="F74" s="19" t="str">
        <x:v>heat</x:v>
      </x:c>
      <x:c r="G74" s="19" t="str">
        <x:v>D</x:v>
      </x:c>
      <x:c r="H74" s="19" t="str">
        <x:v>V1</x:v>
      </x:c>
      <x:c r="I74" s="19" t="str">
        <x:v>NOT_EXPOSED_IN_REPORT</x:v>
      </x:c>
      <x:c r="J74" s="19" t="str">
        <x:v>S1988-HANSEN</x:v>
      </x:c>
      <x:c r="K74" s="31" t="str">
        <x:v>RECONSTRUCTED_FROM_REPORT; Fear of Temperature_ Stratified Lexical Expansion, Voice Mapping, and Semantic-Relational Pre-Valida.pdf; p.9; project candidate FT-SEED-R1B-P-1988-10; original visible ID not available</x:v>
      </x:c>
      <x:c r="L74" s="31" t="str">
        <x:v>TECHNICALLY_UNREPRESENTABLE</x:v>
      </x:c>
      <x:c r="M74" s="31" t="str">
        <x:v>NOT_APPLICABLE</x:v>
      </x:c>
      <x:c r="N74" s="31" t="str">
        <x:v>TECHNICALLY_UNREPRESENTABLE</x:v>
      </x:c>
      <x:c r="O74" s="19" t="str">
        <x:v>NOT_APPLICABLE</x:v>
      </x:c>
      <x:c r="P74" s="19" t="str">
        <x:v>NOT_APPLICABLE</x:v>
      </x:c>
      <x:c r="Q74" s="34" t="str">
        <x:v>NOT_APPLICABLE</x:v>
      </x:c>
      <x:c r="R74" s="34" t="str">
        <x:v>NOT_APPLICABLE</x:v>
      </x:c>
      <x:c r="S74" s="34" t="str">
        <x:v>NOT_APPLICABLE</x:v>
      </x:c>
      <x:c r="T74" s="34" t="str">
        <x:v>NOT_APPLICABLE</x:v>
      </x:c>
      <x:c r="U74" s="31" t="str">
        <x:v>The slash coordinates two lexical objects; one linear Ngram would change the candidate's structure and sense.</x:v>
      </x:c>
      <x:c r="V74" s="31" t="str">
        <x:v>NO_STANDALONE_HEADWORD</x:v>
      </x:c>
      <x:c r="W74" s="19" t="str">
        <x:v>Component lexical analysis plus anchor-source contextual meaning</x:v>
      </x:c>
      <x:c r="X74" s="31" t="str">
        <x:v>A threat, risk, harm, severity, or consequence sense in the documented source; it is not automatically an emotion.</x:v>
      </x:c>
      <x:c r="Y74" s="31" t="str">
        <x:v>A bounded hot-weather or heatwave event; the candidate is interpreted in its documented anchor and voice context.</x:v>
      </x:c>
      <x:c r="Z74" s="31" t="str">
        <x:v>STRONG</x:v>
      </x:c>
      <x:c r="AA74" s="19" t="str">
        <x:v>The surface form may realize multiple senses; candidate meaning remains anchored to the report-visible source context.</x:v>
      </x:c>
      <x:c r="AB74" s="31" t="str">
        <x:v>Secondary: Component headword checked: occurrences.;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https://api.dictionaryapi.dev/api/v2/entries/en/heat%20wave%2Fdrought%20occurrences; https://websters1913.timcieplowski.com/word/occurrences/</x:v>
      </x:c>
      <x:c r="AC74" s="19" t="str">
        <x:v>INTERNET_ARCHIVE_METADATA_TEXT_ITEM_COUNT</x:v>
      </x:c>
      <x:c r="AD74" s="19" t="str">
        <x:v>"heat wave/drought occurrences" AND mediatype:texts</x:v>
      </x:c>
      <x:c r="AE74" s="31" t="str">
        <x:v>EXACT_PHRASE</x:v>
      </x:c>
      <x:c r="AF74" s="31" t="str">
        <x:v>COMPLETED_ZERO</x:v>
      </x:c>
      <x:c r="AG74" s="28" t="n">
        <x:v>0</x:v>
      </x:c>
      <x:c r="AH74" s="19" t="str">
        <x:v>0</x:v>
      </x:c>
      <x:c r="AI74" s="19" t="str">
        <x:v>2026-08-26</x:v>
      </x:c>
      <x:c r="AJ74" s="31" t="str">
        <x:v>Metadata text-item count; not a full-text lexical frequency. Secondary metric: NOT_RUN_OPENALEX_DAILY_BUDGET_EXHAUSTED: shared provider response retained; no count fabricated.</x:v>
      </x:c>
      <x:c r="AK74" s="31" t="str">
        <x:v>FULLY_ACCOUNTED_NGRAM_TECHNICALLY_UNREPRESENTABLE</x:v>
      </x:c>
      <x:c r="AL74" s="19" t="str">
        <x:v>PENDING_SOURCE_REVIEW</x:v>
      </x:c>
      <x:c r="AM74" s="20" t="str">
        <x:v>HIGH</x:v>
      </x:c>
    </x:row>
    <x:row r="75" ht="34" customHeight="1">
      <x:c r="A75" s="25" t="str">
        <x:v>FT-SEED-R1B-P-1988-11</x:v>
      </x:c>
      <x:c r="B75" s="19" t="str">
        <x:v>1988</x:v>
      </x:c>
      <x:c r="C75" s="28" t="n">
        <x:v>11</x:v>
      </x:c>
      <x:c r="D75" s="31" t="str">
        <x:v>extreme events</x:v>
      </x:c>
      <x:c r="E75" s="31" t="str">
        <x:v>generic damage</x:v>
      </x:c>
      <x:c r="F75" s="19" t="str">
        <x:v>harm_loss_consequences</x:v>
      </x:c>
      <x:c r="G75" s="19" t="str">
        <x:v>D</x:v>
      </x:c>
      <x:c r="H75" s="19" t="str">
        <x:v>V1</x:v>
      </x:c>
      <x:c r="I75" s="19" t="str">
        <x:v>NOT_EXPOSED_IN_REPORT</x:v>
      </x:c>
      <x:c r="J75" s="19" t="str">
        <x:v>S1988-HANSEN</x:v>
      </x:c>
      <x:c r="K75" s="31" t="str">
        <x:v>RECONSTRUCTED_FROM_REPORT; Fear of Temperature_ Stratified Lexical Expansion, Voice Mapping, and Semantic-Relational Pre-Valida.pdf; p.9; project candidate FT-SEED-R1B-P-1988-11; original visible ID not available</x:v>
      </x:c>
      <x:c r="L75" s="31" t="str">
        <x:v>SUCCEEDED_REUSED_BASELINE</x:v>
      </x:c>
      <x:c r="M75" s="31" t="str">
        <x:v>extreme events</x:v>
      </x:c>
      <x:c r="N75" s="31" t="str">
        <x:v>EXACT</x:v>
      </x:c>
      <x:c r="O75" s="19" t="str">
        <x:v>1843</x:v>
      </x:c>
      <x:c r="P75" s="19" t="str">
        <x:v>2022</x:v>
      </x:c>
      <x:c r="Q75" s="34" t="n">
        <x:v>4.5903280798675894e-7</x:v>
      </x:c>
      <x:c r="R75" s="34" t="n">
        <x:v>5.5376702223775e-8</x:v>
      </x:c>
      <x:c r="S75" s="34" t="n">
        <x:v>6.501919660450995e-8</x:v>
      </x:c>
      <x:c r="T75" s="34" t="n">
        <x:v>4.5903280798675894e-7</x:v>
      </x:c>
      <x:c r="U75" s="31" t="str">
        <x:v>Candidate surface form is directly representable in the public Ngram interface. Complete 1842–2022 unsmoothed series reused from the audited quantitative-v0.1 baseline.</x:v>
      </x:c>
      <x:c r="V75" s="31" t="str">
        <x:v>NO_STANDALONE_HEADWORD</x:v>
      </x:c>
      <x:c r="W75" s="19" t="str">
        <x:v>Component lexical analysis plus anchor-source contextual meaning</x:v>
      </x:c>
      <x:c r="X75" s="31" t="str">
        <x:v>A threat, risk, harm, severity, or consequence sense in the documented source; it is not automatically an emotion.</x:v>
      </x:c>
      <x:c r="Y75" s="31" t="str">
        <x:v>Generic material, ecological, or social damage; the candidate is interpreted in its documented anchor and voice context.</x:v>
      </x:c>
      <x:c r="Z75" s="31" t="str">
        <x:v>STRONG</x:v>
      </x:c>
      <x:c r="AA75" s="19" t="str">
        <x:v>The surface form may realize multiple senses; candidate meaning remains anchored to the report-visible source context.</x:v>
      </x:c>
      <x:c r="AB75" s="31" t="str">
        <x:v>Secondary: Component headword checked: events.;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https://api.dictionaryapi.dev/api/v2/entries/en/extreme%20events; https://websters1913.timcieplowski.com/word/events/</x:v>
      </x:c>
      <x:c r="AC75" s="19" t="str">
        <x:v>INTERNET_ARCHIVE_METADATA_TEXT_ITEM_COUNT</x:v>
      </x:c>
      <x:c r="AD75" s="19" t="str">
        <x:v>"extreme events" AND mediatype:texts</x:v>
      </x:c>
      <x:c r="AE75" s="31" t="str">
        <x:v>EXACT_PHRASE</x:v>
      </x:c>
      <x:c r="AF75" s="31" t="str">
        <x:v>COMPLETED_NONZERO</x:v>
      </x:c>
      <x:c r="AG75" s="28" t="n">
        <x:v>515</x:v>
      </x:c>
      <x:c r="AH75" s="19" t="str">
        <x:v>6</x:v>
      </x:c>
      <x:c r="AI75" s="19" t="str">
        <x:v>2026-08-26</x:v>
      </x:c>
      <x:c r="AJ75" s="31" t="str">
        <x:v>Metadata text-item count; not a full-text lexical frequency. Secondary metric: NOT_RUN_OPENALEX_DAILY_BUDGET_EXHAUSTED: shared provider response retained; no count fabricated.</x:v>
      </x:c>
      <x:c r="AK75" s="31" t="str">
        <x:v>FULLY_COVERED</x:v>
      </x:c>
      <x:c r="AL75" s="19" t="str">
        <x:v>PENDING_SOURCE_REVIEW</x:v>
      </x:c>
      <x:c r="AM75" s="20" t="str">
        <x:v>MEDIUM</x:v>
      </x:c>
    </x:row>
    <x:row r="76" ht="34" customHeight="1">
      <x:c r="A76" s="25" t="str">
        <x:v>FT-SEED-R1B-P-1988-12</x:v>
      </x:c>
      <x:c r="B76" s="19" t="str">
        <x:v>1988</x:v>
      </x:c>
      <x:c r="C76" s="28" t="n">
        <x:v>12</x:v>
      </x:c>
      <x:c r="D76" s="31" t="str">
        <x:v>global climate models</x:v>
      </x:c>
      <x:c r="E76" s="31" t="str">
        <x:v>climate system</x:v>
      </x:c>
      <x:c r="F76" s="19" t="str">
        <x:v>climate</x:v>
      </x:c>
      <x:c r="G76" s="19" t="str">
        <x:v>B</x:v>
      </x:c>
      <x:c r="H76" s="19" t="str">
        <x:v>V1</x:v>
      </x:c>
      <x:c r="I76" s="19" t="str">
        <x:v>NOT_EXPOSED_IN_REPORT</x:v>
      </x:c>
      <x:c r="J76" s="19" t="str">
        <x:v>S1988-HANSEN</x:v>
      </x:c>
      <x:c r="K76" s="31" t="str">
        <x:v>RECONSTRUCTED_FROM_REPORT; Fear of Temperature_ Stratified Lexical Expansion, Voice Mapping, and Semantic-Relational Pre-Valida.pdf; p.9; project candidate FT-SEED-R1B-P-1988-12; original visible ID not available</x:v>
      </x:c>
      <x:c r="L76" s="31" t="str">
        <x:v>SUCCEEDED_REUSED_BASELINE</x:v>
      </x:c>
      <x:c r="M76" s="31" t="str">
        <x:v>global climate models</x:v>
      </x:c>
      <x:c r="N76" s="31" t="str">
        <x:v>EXACT</x:v>
      </x:c>
      <x:c r="O76" s="19" t="str">
        <x:v>1869</x:v>
      </x:c>
      <x:c r="P76" s="19" t="str">
        <x:v>1994</x:v>
      </x:c>
      <x:c r="Q76" s="34" t="n">
        <x:v>5.645689804545384e-8</x:v>
      </x:c>
      <x:c r="R76" s="34" t="n">
        <x:v>1.3785362060203532e-8</x:v>
      </x:c>
      <x:c r="S76" s="34" t="n">
        <x:v>2.040563838179299e-8</x:v>
      </x:c>
      <x:c r="T76" s="34" t="n">
        <x:v>4.237953538099859e-8</x:v>
      </x:c>
      <x:c r="U76" s="31" t="str">
        <x:v>Candidate surface form is directly representable in the public Ngram interface. Complete 1842–2022 unsmoothed series reused from the audited quantitative-v0.1 baseline.</x:v>
      </x:c>
      <x:c r="V76" s="31" t="str">
        <x:v>TECHNICAL_GLOSSARY</x:v>
      </x:c>
      <x:c r="W76" s="19" t="str">
        <x:v>IPCC climate-science glossary / assessment terminology</x:v>
      </x:c>
      <x:c r="X76" s="31" t="str">
        <x:v>A climatic, atmospheric, meteorological, or causal-science sense in the documented anchor context.</x:v>
      </x:c>
      <x:c r="Y76" s="31" t="str">
        <x:v>The coupled physical climate system; the candidate is interpreted in its documented anchor and voice context.</x:v>
      </x:c>
      <x:c r="Z76" s="31" t="str">
        <x:v>STRONG</x:v>
      </x:c>
      <x:c r="AA76" s="19" t="str">
        <x:v>The surface form may realize multiple senses; candidate meaning remains anchored to the report-visible source context.</x:v>
      </x:c>
      <x:c r="AB76" s="31" t="str">
        <x:v>Secondary: Component headword checked: models.; historical: Anchor-period research source/context; Webster 1913 stable component URL recorded but automated page retrieval was unavailable; source: https://www.ipcc.ch/site/assets/uploads/2018/02/WGIIAR5-AnnexII_FINAL.pdf; https://api.dictionaryapi.dev/api/v2/entries/en/global%20climate%20models; https://websters1913.timcieplowski.com/word/models/</x:v>
      </x:c>
      <x:c r="AC76" s="19" t="str">
        <x:v>INTERNET_ARCHIVE_METADATA_TEXT_ITEM_COUNT</x:v>
      </x:c>
      <x:c r="AD76" s="19" t="str">
        <x:v>"global climate models" AND mediatype:texts</x:v>
      </x:c>
      <x:c r="AE76" s="31" t="str">
        <x:v>EXACT_PHRASE</x:v>
      </x:c>
      <x:c r="AF76" s="31" t="str">
        <x:v>COMPLETED_NONZERO</x:v>
      </x:c>
      <x:c r="AG76" s="28" t="n">
        <x:v>180</x:v>
      </x:c>
      <x:c r="AH76" s="19" t="str">
        <x:v>3</x:v>
      </x:c>
      <x:c r="AI76" s="19" t="str">
        <x:v>2026-08-26</x:v>
      </x:c>
      <x:c r="AJ76" s="31" t="str">
        <x:v>Metadata text-item count; not a full-text lexical frequency. Secondary metric: NOT_RUN_OPENALEX_DAILY_BUDGET_EXHAUSTED: shared provider response retained; no count fabricated.</x:v>
      </x:c>
      <x:c r="AK76" s="31" t="str">
        <x:v>FULLY_COVERED</x:v>
      </x:c>
      <x:c r="AL76" s="19" t="str">
        <x:v>PENDING_SOURCE_REVIEW</x:v>
      </x:c>
      <x:c r="AM76" s="20" t="str">
        <x:v>MEDIUM</x:v>
      </x:c>
    </x:row>
    <x:row r="77" ht="34" customHeight="1">
      <x:c r="A77" s="25" t="str">
        <x:v>FT-SEED-R1B-P-1988-13</x:v>
      </x:c>
      <x:c r="B77" s="19" t="str">
        <x:v>1988</x:v>
      </x:c>
      <x:c r="C77" s="28" t="n">
        <x:v>13</x:v>
      </x:c>
      <x:c r="D77" s="31" t="str">
        <x:v>global observations</x:v>
      </x:c>
      <x:c r="E77" s="31" t="str">
        <x:v>historical climate / climatological condition</x:v>
      </x:c>
      <x:c r="F77" s="19" t="str">
        <x:v>climate</x:v>
      </x:c>
      <x:c r="G77" s="19" t="str">
        <x:v>B</x:v>
      </x:c>
      <x:c r="H77" s="19" t="str">
        <x:v>V1</x:v>
      </x:c>
      <x:c r="I77" s="19" t="str">
        <x:v>NOT_EXPOSED_IN_REPORT</x:v>
      </x:c>
      <x:c r="J77" s="19" t="str">
        <x:v>S1988-HANSEN</x:v>
      </x:c>
      <x:c r="K77" s="31" t="str">
        <x:v>RECONSTRUCTED_FROM_REPORT; Fear of Temperature_ Stratified Lexical Expansion, Voice Mapping, and Semantic-Relational Pre-Valida.pdf; p.9; project candidate FT-SEED-R1B-P-1988-13; original visible ID not available</x:v>
      </x:c>
      <x:c r="L77" s="31" t="str">
        <x:v>SUCCEEDED_REUSED_BASELINE</x:v>
      </x:c>
      <x:c r="M77" s="31" t="str">
        <x:v>global observations</x:v>
      </x:c>
      <x:c r="N77" s="31" t="str">
        <x:v>EXACT</x:v>
      </x:c>
      <x:c r="O77" s="19" t="str">
        <x:v>1869</x:v>
      </x:c>
      <x:c r="P77" s="19" t="str">
        <x:v>1984</x:v>
      </x:c>
      <x:c r="Q77" s="34" t="n">
        <x:v>2.193620524115758e-8</x:v>
      </x:c>
      <x:c r="R77" s="34" t="n">
        <x:v>1.599113318151435e-8</x:v>
      </x:c>
      <x:c r="S77" s="34" t="n">
        <x:v>1.3183894989610145e-8</x:v>
      </x:c>
      <x:c r="T77" s="34" t="n">
        <x:v>1.1900522567387384e-8</x:v>
      </x:c>
      <x:c r="U77" s="31" t="str">
        <x:v>Candidate surface form is directly representable in the public Ngram interface. Complete 1842–2022 unsmoothed series reused from the audited quantitative-v0.1 baseline.</x:v>
      </x:c>
      <x:c r="V77" s="31" t="str">
        <x:v>NO_STANDALONE_HEADWORD</x:v>
      </x:c>
      <x:c r="W77" s="19" t="str">
        <x:v>Component lexical analysis plus anchor-source contextual meaning</x:v>
      </x:c>
      <x:c r="X77" s="31" t="str">
        <x:v>A climatic, atmospheric, meteorological, or causal-science sense in the documented anchor context.</x:v>
      </x:c>
      <x:c r="Y77" s="31" t="str">
        <x:v>Climate as a historical, geographical, seasonal, or climatological condition; the candidate is interpreted in its documented anchor and voice context.</x:v>
      </x:c>
      <x:c r="Z77" s="31" t="str">
        <x:v>STRONG</x:v>
      </x:c>
      <x:c r="AA77" s="19" t="str">
        <x:v>The surface form may realize multiple senses; candidate meaning remains anchored to the report-visible source context.</x:v>
      </x:c>
      <x:c r="AB77" s="31" t="str">
        <x:v>Secondary: Component headword checked: observations.;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https://api.dictionaryapi.dev/api/v2/entries/en/global%20observations; https://websters1913.timcieplowski.com/word/observations/</x:v>
      </x:c>
      <x:c r="AC77" s="19" t="str">
        <x:v>INTERNET_ARCHIVE_METADATA_TEXT_ITEM_COUNT</x:v>
      </x:c>
      <x:c r="AD77" s="19" t="str">
        <x:v>"global observations" AND mediatype:texts</x:v>
      </x:c>
      <x:c r="AE77" s="31" t="str">
        <x:v>EXACT_PHRASE</x:v>
      </x:c>
      <x:c r="AF77" s="31" t="str">
        <x:v>COMPLETED_NONZERO</x:v>
      </x:c>
      <x:c r="AG77" s="28" t="n">
        <x:v>87</x:v>
      </x:c>
      <x:c r="AH77" s="19" t="str">
        <x:v>2</x:v>
      </x:c>
      <x:c r="AI77" s="19" t="str">
        <x:v>2026-08-26</x:v>
      </x:c>
      <x:c r="AJ77" s="31" t="str">
        <x:v>Metadata text-item count; not a full-text lexical frequency. Secondary metric: NOT_RUN_OPENALEX_DAILY_BUDGET_EXHAUSTED: shared provider response retained; no count fabricated.</x:v>
      </x:c>
      <x:c r="AK77" s="31" t="str">
        <x:v>FULLY_COVERED</x:v>
      </x:c>
      <x:c r="AL77" s="19" t="str">
        <x:v>PENDING_SOURCE_REVIEW</x:v>
      </x:c>
      <x:c r="AM77" s="20" t="str">
        <x:v>MEDIUM</x:v>
      </x:c>
    </x:row>
    <x:row r="78" ht="34" customHeight="1">
      <x:c r="A78" s="25" t="str">
        <x:v>FT-SEED-R1B-P-1988-14</x:v>
      </x:c>
      <x:c r="B78" s="19" t="str">
        <x:v>1988</x:v>
      </x:c>
      <x:c r="C78" s="28" t="n">
        <x:v>14</x:v>
      </x:c>
      <x:c r="D78" s="31" t="str">
        <x:v>warm air</x:v>
      </x:c>
      <x:c r="E78" s="31" t="str">
        <x:v>local / instrumental temperature</x:v>
      </x:c>
      <x:c r="F78" s="19" t="str">
        <x:v>temperature_threshold</x:v>
      </x:c>
      <x:c r="G78" s="19" t="str">
        <x:v>A</x:v>
      </x:c>
      <x:c r="H78" s="19" t="str">
        <x:v>V1</x:v>
      </x:c>
      <x:c r="I78" s="19" t="str">
        <x:v>NOT_EXPOSED_IN_REPORT</x:v>
      </x:c>
      <x:c r="J78" s="19" t="str">
        <x:v>S1988-HANSEN</x:v>
      </x:c>
      <x:c r="K78" s="31" t="str">
        <x:v>RECONSTRUCTED_FROM_REPORT; Fear of Temperature_ Stratified Lexical Expansion, Voice Mapping, and Semantic-Relational Pre-Valida.pdf; p.9; project candidate FT-SEED-R1B-P-1988-14; original visible ID not available</x:v>
      </x:c>
      <x:c r="L78" s="31" t="str">
        <x:v>SUCCEEDED_REUSED_BASELINE</x:v>
      </x:c>
      <x:c r="M78" s="31" t="str">
        <x:v>warm air</x:v>
      </x:c>
      <x:c r="N78" s="31" t="str">
        <x:v>EXACT</x:v>
      </x:c>
      <x:c r="O78" s="19" t="str">
        <x:v>1842</x:v>
      </x:c>
      <x:c r="P78" s="19" t="str">
        <x:v>1916</x:v>
      </x:c>
      <x:c r="Q78" s="34" t="n">
        <x:v>0.0000029105580415175747</x:v>
      </x:c>
      <x:c r="R78" s="34" t="n">
        <x:v>4.812640085269382e-7</x:v>
      </x:c>
      <x:c r="S78" s="34" t="n">
        <x:v>5.471666789776119e-7</x:v>
      </x:c>
      <x:c r="T78" s="34" t="n">
        <x:v>5.92194779214239e-7</x:v>
      </x:c>
      <x:c r="U78" s="31" t="str">
        <x:v>Candidate surface form is directly representable in the public Ngram interface. Complete 1842–2022 unsmoothed series reused from the audited quantitative-v0.1 baseline.</x:v>
      </x:c>
      <x:c r="V78" s="31" t="str">
        <x:v>NO_STANDALONE_HEADWORD</x:v>
      </x:c>
      <x:c r="W78" s="19" t="str">
        <x:v>Component lexical analysis plus anchor-source contextual meaning</x:v>
      </x:c>
      <x:c r="X78" s="31" t="str">
        <x:v>A physical temperature, warming, heat, or measurement sense in the documented anchor context.</x:v>
      </x:c>
      <x:c r="Y78" s="31" t="str">
        <x:v>A local or instrument-specific temperature reading; the candidate is interpreted in its documented anchor and voice context.</x:v>
      </x:c>
      <x:c r="Z78" s="31" t="str">
        <x:v>STRONG</x:v>
      </x:c>
      <x:c r="AA78" s="19" t="str">
        <x:v>The surface form may realize multiple senses; candidate meaning remains anchored to the report-visible source context.</x:v>
      </x:c>
      <x:c r="AB78" s="31" t="str">
        <x:v>Secondary: Component headword checked: air.; historical: Webster's Revised Unabridged Dictionary (1913 public-domain edition); source: https://websters1913.timcieplowski.com/word/air/; https://api.dictionaryapi.dev/api/v2/entries/en/warm%20air</x:v>
      </x:c>
      <x:c r="AC78" s="19" t="str">
        <x:v>INTERNET_ARCHIVE_METADATA_TEXT_ITEM_COUNT</x:v>
      </x:c>
      <x:c r="AD78" s="19" t="str">
        <x:v>"warm air" AND mediatype:texts</x:v>
      </x:c>
      <x:c r="AE78" s="31" t="str">
        <x:v>EXACT_PHRASE</x:v>
      </x:c>
      <x:c r="AF78" s="31" t="str">
        <x:v>COMPLETED_NONZERO</x:v>
      </x:c>
      <x:c r="AG78" s="28" t="n">
        <x:v>376</x:v>
      </x:c>
      <x:c r="AH78" s="19" t="str">
        <x:v>13</x:v>
      </x:c>
      <x:c r="AI78" s="19" t="str">
        <x:v>2026-08-26</x:v>
      </x:c>
      <x:c r="AJ78" s="31" t="str">
        <x:v>Metadata text-item count; not a full-text lexical frequency. Secondary metric: NOT_RUN_OPENALEX_DAILY_BUDGET_EXHAUSTED: shared provider response retained; no count fabricated.</x:v>
      </x:c>
      <x:c r="AK78" s="31" t="str">
        <x:v>FULLY_COVERED</x:v>
      </x:c>
      <x:c r="AL78" s="19" t="str">
        <x:v>PENDING_SOURCE_REVIEW</x:v>
      </x:c>
      <x:c r="AM78" s="20" t="str">
        <x:v>MEDIUM</x:v>
      </x:c>
    </x:row>
    <x:row r="79" ht="34" customHeight="1">
      <x:c r="A79" s="25" t="str">
        <x:v>FT-SEED-R1B-P-1988-15</x:v>
      </x:c>
      <x:c r="B79" s="19" t="str">
        <x:v>1988</x:v>
      </x:c>
      <x:c r="C79" s="28" t="n">
        <x:v>15</x:v>
      </x:c>
      <x:c r="D79" s="31" t="str">
        <x:v>changing atmosphere</x:v>
      </x:c>
      <x:c r="E79" s="31" t="str">
        <x:v>changing atmosphere</x:v>
      </x:c>
      <x:c r="F79" s="19" t="str">
        <x:v>climate</x:v>
      </x:c>
      <x:c r="G79" s="19" t="str">
        <x:v>B</x:v>
      </x:c>
      <x:c r="H79" s="19" t="str">
        <x:v>V2</x:v>
      </x:c>
      <x:c r="I79" s="19" t="str">
        <x:v>NOT_EXPOSED_IN_REPORT</x:v>
      </x:c>
      <x:c r="J79" s="19" t="str">
        <x:v>S1988-TORONTO</x:v>
      </x:c>
      <x:c r="K79" s="31" t="str">
        <x:v>RECONSTRUCTED_FROM_REPORT; Fear of Temperature_ Stratified Lexical Expansion, Voice Mapping, and Semantic-Relational Pre-Valida.pdf; p.9; project candidate FT-SEED-R1B-P-1988-15; original visible ID not available</x:v>
      </x:c>
      <x:c r="L79" s="31" t="str">
        <x:v>SUCCEEDED_REUSED_BASELINE</x:v>
      </x:c>
      <x:c r="M79" s="31" t="str">
        <x:v>changing atmosphere</x:v>
      </x:c>
      <x:c r="N79" s="31" t="str">
        <x:v>EXACT</x:v>
      </x:c>
      <x:c r="O79" s="19" t="str">
        <x:v>1842</x:v>
      </x:c>
      <x:c r="P79" s="19" t="str">
        <x:v>1989</x:v>
      </x:c>
      <x:c r="Q79" s="34" t="n">
        <x:v>6.209157343839422e-8</x:v>
      </x:c>
      <x:c r="R79" s="34" t="n">
        <x:v>3.622682637205443e-8</x:v>
      </x:c>
      <x:c r="S79" s="34" t="n">
        <x:v>3.301469004707291e-8</x:v>
      </x:c>
      <x:c r="T79" s="34" t="n">
        <x:v>1.0706047048891776e-8</x:v>
      </x:c>
      <x:c r="U79" s="31" t="str">
        <x:v>Candidate surface form is directly representable in the public Ngram interface. Complete 1842–2022 unsmoothed series reused from the audited quantitative-v0.1 baseline.</x:v>
      </x:c>
      <x:c r="V79" s="31" t="str">
        <x:v>TECHNICAL_GLOSSARY</x:v>
      </x:c>
      <x:c r="W79" s="19" t="str">
        <x:v>IPCC climate-science glossary / assessment terminology</x:v>
      </x:c>
      <x:c r="X79" s="31" t="str">
        <x:v>A climatic, atmospheric, meteorological, or causal-science sense in the documented anchor context.</x:v>
      </x:c>
      <x:c r="Y79" s="31" t="str">
        <x:v>Atmospheric change framed as a climatic or institutional problem; the candidate is interpreted in its documented anchor and voice context.</x:v>
      </x:c>
      <x:c r="Z79" s="31" t="str">
        <x:v>STRONG</x:v>
      </x:c>
      <x:c r="AA79" s="19" t="str">
        <x:v>The surface form may realize multiple senses; candidate meaning remains anchored to the report-visible source context.</x:v>
      </x:c>
      <x:c r="AB79" s="31" t="str">
        <x:v>Secondary: Component headword checked: atmosphere.; historical: Anchor-period research source/context; Webster 1913 stable component URL recorded but automated page retrieval was unavailable; source: https://www.ipcc.ch/site/assets/uploads/2018/02/WGIIAR5-AnnexII_FINAL.pdf; https://api.dictionaryapi.dev/api/v2/entries/en/changing%20atmosphere; https://websters1913.timcieplowski.com/word/atmosphere/</x:v>
      </x:c>
      <x:c r="AC79" s="19" t="str">
        <x:v>INTERNET_ARCHIVE_METADATA_TEXT_ITEM_COUNT</x:v>
      </x:c>
      <x:c r="AD79" s="19" t="str">
        <x:v>"changing atmosphere" AND mediatype:texts</x:v>
      </x:c>
      <x:c r="AE79" s="31" t="str">
        <x:v>EXACT_PHRASE</x:v>
      </x:c>
      <x:c r="AF79" s="31" t="str">
        <x:v>COMPLETED_NONZERO</x:v>
      </x:c>
      <x:c r="AG79" s="28" t="n">
        <x:v>37</x:v>
      </x:c>
      <x:c r="AH79" s="19" t="str">
        <x:v>8</x:v>
      </x:c>
      <x:c r="AI79" s="19" t="str">
        <x:v>2026-08-26</x:v>
      </x:c>
      <x:c r="AJ79" s="31" t="str">
        <x:v>Metadata text-item count; not a full-text lexical frequency. Secondary metric: Scholarly work discoverability count over OpenAlex search fields; not a corpus word frequency.</x:v>
      </x:c>
      <x:c r="AK79" s="31" t="str">
        <x:v>FULLY_COVERED</x:v>
      </x:c>
      <x:c r="AL79" s="19" t="str">
        <x:v>PENDING_SOURCE_REVIEW</x:v>
      </x:c>
      <x:c r="AM79" s="20" t="str">
        <x:v>MEDIUM</x:v>
      </x:c>
    </x:row>
    <x:row r="80" ht="34" customHeight="1">
      <x:c r="A80" s="25" t="str">
        <x:v>FT-SEED-R1B-P-1988-16</x:v>
      </x:c>
      <x:c r="B80" s="19" t="str">
        <x:v>1988</x:v>
      </x:c>
      <x:c r="C80" s="28" t="n">
        <x:v>16</x:v>
      </x:c>
      <x:c r="D80" s="31" t="str">
        <x:v>global security</x:v>
      </x:c>
      <x:c r="E80" s="31" t="str">
        <x:v>global security frame</x:v>
      </x:c>
      <x:c r="F80" s="19" t="str">
        <x:v>danger_threat</x:v>
      </x:c>
      <x:c r="G80" s="19" t="str">
        <x:v>D</x:v>
      </x:c>
      <x:c r="H80" s="19" t="str">
        <x:v>V2</x:v>
      </x:c>
      <x:c r="I80" s="19" t="str">
        <x:v>E1</x:v>
      </x:c>
      <x:c r="J80" s="19" t="str">
        <x:v>S1988-TORONTO</x:v>
      </x:c>
      <x:c r="K80" s="31" t="str">
        <x:v>RECONSTRUCTED_FROM_REPORT; Fear of Temperature_ Stratified Lexical Expansion, Voice Mapping, and Semantic-Relational Pre-Valida.pdf; p.9; project candidate FT-SEED-R1B-P-1988-16; original visible ID not available</x:v>
      </x:c>
      <x:c r="L80" s="31" t="str">
        <x:v>SUCCEEDED_REUSED_BASELINE</x:v>
      </x:c>
      <x:c r="M80" s="31" t="str">
        <x:v>global security</x:v>
      </x:c>
      <x:c r="N80" s="31" t="str">
        <x:v>EXACT</x:v>
      </x:c>
      <x:c r="O80" s="19" t="str">
        <x:v>1843</x:v>
      </x:c>
      <x:c r="P80" s="19" t="str">
        <x:v>2009</x:v>
      </x:c>
      <x:c r="Q80" s="34" t="n">
        <x:v>4.3955566073061725e-7</x:v>
      </x:c>
      <x:c r="R80" s="34" t="n">
        <x:v>1.6978240102716313e-7</x:v>
      </x:c>
      <x:c r="S80" s="34" t="n">
        <x:v>1.554475363096941e-7</x:v>
      </x:c>
      <x:c r="T80" s="34" t="n">
        <x:v>2.638022949807972e-7</x:v>
      </x:c>
      <x:c r="U80" s="31" t="str">
        <x:v>Candidate surface form is directly representable in the public Ngram interface. Complete 1842–2022 unsmoothed series reused from the audited quantitative-v0.1 baseline.</x:v>
      </x:c>
      <x:c r="V80" s="31" t="str">
        <x:v>NO_STANDALONE_HEADWORD</x:v>
      </x:c>
      <x:c r="W80" s="19" t="str">
        <x:v>Component lexical analysis plus anchor-source contextual meaning</x:v>
      </x:c>
      <x:c r="X80" s="31" t="str">
        <x:v>An institutional frame for threats to international stability and safety; threat without evidence of personal fear.</x:v>
      </x:c>
      <x:c r="Y80" s="31" t="str">
        <x:v>Atmospheric or climatic change framed as a global-security matter; the candidate is interpreted in its documented anchor and voice context.</x:v>
      </x:c>
      <x:c r="Z80" s="31" t="str">
        <x:v>STRONG</x:v>
      </x:c>
      <x:c r="AA80" s="19" t="str">
        <x:v>Security can denote institutions, conditions, or financial instruments; the institutional-threat sense is intended.</x:v>
      </x:c>
      <x:c r="AB80" s="31" t="str">
        <x:v>Secondary: Component headword checked: security.;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https://api.dictionaryapi.dev/api/v2/entries/en/global%20security; https://websters1913.timcieplowski.com/word/security/</x:v>
      </x:c>
      <x:c r="AC80" s="19" t="str">
        <x:v>INTERNET_ARCHIVE_METADATA_TEXT_ITEM_COUNT</x:v>
      </x:c>
      <x:c r="AD80" s="19" t="str">
        <x:v>"global security" AND mediatype:texts</x:v>
      </x:c>
      <x:c r="AE80" s="31" t="str">
        <x:v>EXACT_PHRASE</x:v>
      </x:c>
      <x:c r="AF80" s="31" t="str">
        <x:v>COMPLETED_NONZERO</x:v>
      </x:c>
      <x:c r="AG80" s="28" t="n">
        <x:v>946</x:v>
      </x:c>
      <x:c r="AH80" s="19" t="str">
        <x:v>44</x:v>
      </x:c>
      <x:c r="AI80" s="19" t="str">
        <x:v>2026-08-26</x:v>
      </x:c>
      <x:c r="AJ80" s="31" t="str">
        <x:v>Metadata text-item count; not a full-text lexical frequency. Secondary metric: NOT_RUN_OPENALEX_DAILY_BUDGET_EXHAUSTED: shared provider response retained; no count fabricated.</x:v>
      </x:c>
      <x:c r="AK80" s="31" t="str">
        <x:v>FULLY_COVERED</x:v>
      </x:c>
      <x:c r="AL80" s="19" t="str">
        <x:v>NOT_APPLICABLE</x:v>
      </x:c>
      <x:c r="AM80" s="20" t="str">
        <x:v>MEDIUM</x:v>
      </x:c>
    </x:row>
    <x:row r="81" ht="34" customHeight="1">
      <x:c r="A81" s="25" t="str">
        <x:v>FT-SEED-R1B-P-1988-17</x:v>
      </x:c>
      <x:c r="B81" s="19" t="str">
        <x:v>1988</x:v>
      </x:c>
      <x:c r="C81" s="28" t="n">
        <x:v>17</x:v>
      </x:c>
      <x:c r="D81" s="31" t="str">
        <x:v>climate warming</x:v>
      </x:c>
      <x:c r="E81" s="31" t="str">
        <x:v>climate-system warming</x:v>
      </x:c>
      <x:c r="F81" s="19" t="str">
        <x:v>warming</x:v>
      </x:c>
      <x:c r="G81" s="19" t="str">
        <x:v>A</x:v>
      </x:c>
      <x:c r="H81" s="19" t="str">
        <x:v>V2</x:v>
      </x:c>
      <x:c r="I81" s="19" t="str">
        <x:v>NOT_EXPOSED_IN_REPORT</x:v>
      </x:c>
      <x:c r="J81" s="19" t="str">
        <x:v>S1988-TORONTO</x:v>
      </x:c>
      <x:c r="K81" s="31" t="str">
        <x:v>RECONSTRUCTED_FROM_REPORT; Fear of Temperature_ Stratified Lexical Expansion, Voice Mapping, and Semantic-Relational Pre-Valida.pdf; p.9; project candidate FT-SEED-R1B-P-1988-17; original visible ID not available</x:v>
      </x:c>
      <x:c r="L81" s="31" t="str">
        <x:v>SUCCEEDED_REUSED_BASELINE</x:v>
      </x:c>
      <x:c r="M81" s="31" t="str">
        <x:v>climate warming</x:v>
      </x:c>
      <x:c r="N81" s="31" t="str">
        <x:v>EXACT</x:v>
      </x:c>
      <x:c r="O81" s="19" t="str">
        <x:v>1865</x:v>
      </x:c>
      <x:c r="P81" s="19" t="str">
        <x:v>2022</x:v>
      </x:c>
      <x:c r="Q81" s="34" t="n">
        <x:v>1.5837870587231961e-7</x:v>
      </x:c>
      <x:c r="R81" s="34" t="n">
        <x:v>3.6325536800774216e-8</x:v>
      </x:c>
      <x:c r="S81" s="34" t="n">
        <x:v>4.2775522635096766e-8</x:v>
      </x:c>
      <x:c r="T81" s="34" t="n">
        <x:v>1.5837870587231961e-7</x:v>
      </x:c>
      <x:c r="U81" s="31" t="str">
        <x:v>Candidate surface form is directly representable in the public Ngram interface. Complete 1842–2022 unsmoothed series reused from the audited quantitative-v0.1 baseline.</x:v>
      </x:c>
      <x:c r="V81" s="31" t="str">
        <x:v>TECHNICAL_GLOSSARY</x:v>
      </x:c>
      <x:c r="W81" s="19" t="str">
        <x:v>IPCC climate-science glossary / assessment terminology</x:v>
      </x:c>
      <x:c r="X81" s="31" t="str">
        <x:v>A physical temperature, warming, heat, or measurement sense in the documented anchor context.</x:v>
      </x:c>
      <x:c r="Y81" s="31" t="str">
        <x:v>Warming attributed to or observed across the climate system; the candidate is interpreted in its documented anchor and voice context.</x:v>
      </x:c>
      <x:c r="Z81" s="31" t="str">
        <x:v>STRONG</x:v>
      </x:c>
      <x:c r="AA81" s="19" t="str">
        <x:v>The surface form may realize multiple senses; candidate meaning remains anchored to the report-visible source context.</x:v>
      </x:c>
      <x:c r="AB81"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https://api.dictionaryapi.dev/api/v2/entries/en/climate%20warming; https://websters1913.timcieplowski.com/word/warming/</x:v>
      </x:c>
      <x:c r="AC81" s="19" t="str">
        <x:v>INTERNET_ARCHIVE_METADATA_TEXT_ITEM_COUNT</x:v>
      </x:c>
      <x:c r="AD81" s="19" t="str">
        <x:v>"climate warming" AND mediatype:texts</x:v>
      </x:c>
      <x:c r="AE81" s="31" t="str">
        <x:v>EXACT_PHRASE</x:v>
      </x:c>
      <x:c r="AF81" s="31" t="str">
        <x:v>COMPLETED_NONZERO</x:v>
      </x:c>
      <x:c r="AG81" s="28" t="n">
        <x:v>237</x:v>
      </x:c>
      <x:c r="AH81" s="19" t="str">
        <x:v>5</x:v>
      </x:c>
      <x:c r="AI81" s="19" t="str">
        <x:v>2026-08-26</x:v>
      </x:c>
      <x:c r="AJ81" s="31" t="str">
        <x:v>Metadata text-item count; not a full-text lexical frequency. Secondary metric: Scholarly work discoverability count over OpenAlex search fields; not a corpus word frequency.</x:v>
      </x:c>
      <x:c r="AK81" s="31" t="str">
        <x:v>FULLY_COVERED</x:v>
      </x:c>
      <x:c r="AL81" s="19" t="str">
        <x:v>PENDING_SOURCE_REVIEW</x:v>
      </x:c>
      <x:c r="AM81" s="20" t="str">
        <x:v>MEDIUM</x:v>
      </x:c>
    </x:row>
    <x:row r="82" ht="34" customHeight="1">
      <x:c r="A82" s="25" t="str">
        <x:v>FT-SEED-R1B-P-1988-18</x:v>
      </x:c>
      <x:c r="B82" s="19" t="str">
        <x:v>1988</x:v>
      </x:c>
      <x:c r="C82" s="28" t="n">
        <x:v>18</x:v>
      </x:c>
      <x:c r="D82" s="31" t="str">
        <x:v>changed climatic extremes</x:v>
      </x:c>
      <x:c r="E82" s="31" t="str">
        <x:v>generic damage</x:v>
      </x:c>
      <x:c r="F82" s="19" t="str">
        <x:v>harm_loss_consequences</x:v>
      </x:c>
      <x:c r="G82" s="19" t="str">
        <x:v>D</x:v>
      </x:c>
      <x:c r="H82" s="19" t="str">
        <x:v>V2</x:v>
      </x:c>
      <x:c r="I82" s="19" t="str">
        <x:v>NOT_EXPOSED_IN_REPORT</x:v>
      </x:c>
      <x:c r="J82" s="19" t="str">
        <x:v>S1988-TORONTO</x:v>
      </x:c>
      <x:c r="K82" s="31" t="str">
        <x:v>RECONSTRUCTED_FROM_REPORT; Fear of Temperature_ Stratified Lexical Expansion, Voice Mapping, and Semantic-Relational Pre-Valida.pdf; p.9; project candidate FT-SEED-R1B-P-1988-18; original visible ID not available</x:v>
      </x:c>
      <x:c r="L82" s="31" t="str">
        <x:v>ZERO_RESPONSE_REUSED_BASELINE</x:v>
      </x:c>
      <x:c r="M82" s="31" t="str">
        <x:v>changed climatic extremes</x:v>
      </x:c>
      <x:c r="N82" s="31" t="str">
        <x:v>EXACT</x:v>
      </x:c>
      <x:c r="O82" s="19" t="str">
        <x:v>NOT_APPLICABLE</x:v>
      </x:c>
      <x:c r="P82" s="19" t="str">
        <x:v>NOT_APPLICABLE</x:v>
      </x:c>
      <x:c r="Q82" s="34" t="str">
        <x:v>NOT_APPLICABLE</x:v>
      </x:c>
      <x:c r="R82" s="34" t="str">
        <x:v>NOT_APPLICABLE</x:v>
      </x:c>
      <x:c r="S82" s="34" t="str">
        <x:v>NOT_APPLICABLE</x:v>
      </x:c>
      <x:c r="T82" s="34" t="str">
        <x:v>NOT_APPLICABLE</x:v>
      </x:c>
      <x:c r="U82" s="31" t="str">
        <x:v>Candidate surface form is directly representable in the public Ngram interface. The audited executable rule returned an empty Ngram payload; retained as source/query zero-response evidence, not historical absence.</x:v>
      </x:c>
      <x:c r="V82" s="31" t="str">
        <x:v>NO_STANDALONE_HEADWORD</x:v>
      </x:c>
      <x:c r="W82" s="19" t="str">
        <x:v>Component lexical analysis plus anchor-source contextual meaning</x:v>
      </x:c>
      <x:c r="X82" s="31" t="str">
        <x:v>A threat, risk, harm, severity, or consequence sense in the documented source; it is not automatically an emotion.</x:v>
      </x:c>
      <x:c r="Y82" s="31" t="str">
        <x:v>Generic material, ecological, or social damage; the candidate is interpreted in its documented anchor and voice context.</x:v>
      </x:c>
      <x:c r="Z82" s="31" t="str">
        <x:v>STRONG</x:v>
      </x:c>
      <x:c r="AA82" s="19" t="str">
        <x:v>The surface form may realize multiple senses; candidate meaning remains anchored to the report-visible source context.</x:v>
      </x:c>
      <x:c r="AB82" s="31" t="str">
        <x:v>Secondary: Component headword checked: extremes.;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https://api.dictionaryapi.dev/api/v2/entries/en/changed%20climatic%20extremes; https://websters1913.timcieplowski.com/word/extremes/</x:v>
      </x:c>
      <x:c r="AC82" s="19" t="str">
        <x:v>INTERNET_ARCHIVE_METADATA_TEXT_ITEM_COUNT</x:v>
      </x:c>
      <x:c r="AD82" s="19" t="str">
        <x:v>"changed climatic extremes" AND mediatype:texts</x:v>
      </x:c>
      <x:c r="AE82" s="31" t="str">
        <x:v>EXACT_PHRASE</x:v>
      </x:c>
      <x:c r="AF82" s="31" t="str">
        <x:v>COMPLETED_ZERO</x:v>
      </x:c>
      <x:c r="AG82" s="28" t="n">
        <x:v>0</x:v>
      </x:c>
      <x:c r="AH82" s="19" t="str">
        <x:v>0</x:v>
      </x:c>
      <x:c r="AI82" s="19" t="str">
        <x:v>2026-08-26</x:v>
      </x:c>
      <x:c r="AJ82" s="31" t="str">
        <x:v>Metadata text-item count; not a full-text lexical frequency. Secondary metric: Scholarly work discoverability count over OpenAlex search fields; not a corpus word frequency.</x:v>
      </x:c>
      <x:c r="AK82" s="31" t="str">
        <x:v>FULLY_COVERED</x:v>
      </x:c>
      <x:c r="AL82" s="19" t="str">
        <x:v>PENDING_SOURCE_REVIEW</x:v>
      </x:c>
      <x:c r="AM82" s="20" t="str">
        <x:v>MEDIUM</x:v>
      </x:c>
    </x:row>
    <x:row r="83" ht="34" customHeight="1">
      <x:c r="A83" s="25" t="str">
        <x:v>FT-SEED-R1B-P-1988-19</x:v>
      </x:c>
      <x:c r="B83" s="19" t="str">
        <x:v>1988</x:v>
      </x:c>
      <x:c r="C83" s="28" t="n">
        <x:v>19</x:v>
      </x:c>
      <x:c r="D83" s="31" t="str">
        <x:v>major threat</x:v>
      </x:c>
      <x:c r="E83" s="31" t="str">
        <x:v>institutional climate threat</x:v>
      </x:c>
      <x:c r="F83" s="19" t="str">
        <x:v>danger_threat</x:v>
      </x:c>
      <x:c r="G83" s="19" t="str">
        <x:v>D</x:v>
      </x:c>
      <x:c r="H83" s="19" t="str">
        <x:v>V2</x:v>
      </x:c>
      <x:c r="I83" s="19" t="str">
        <x:v>NOT_EXPOSED_IN_REPORT</x:v>
      </x:c>
      <x:c r="J83" s="19" t="str">
        <x:v>S1988-TORONTO</x:v>
      </x:c>
      <x:c r="K83" s="31" t="str">
        <x:v>RECONSTRUCTED_FROM_REPORT; Fear of Temperature_ Stratified Lexical Expansion, Voice Mapping, and Semantic-Relational Pre-Valida.pdf; p.9; project candidate FT-SEED-R1B-P-1988-19; original visible ID not available</x:v>
      </x:c>
      <x:c r="L83" s="31" t="str">
        <x:v>SUCCEEDED_REUSED_BASELINE</x:v>
      </x:c>
      <x:c r="M83" s="31" t="str">
        <x:v>major threat</x:v>
      </x:c>
      <x:c r="N83" s="31" t="str">
        <x:v>EXACT</x:v>
      </x:c>
      <x:c r="O83" s="19" t="str">
        <x:v>1844</x:v>
      </x:c>
      <x:c r="P83" s="19" t="str">
        <x:v>2021</x:v>
      </x:c>
      <x:c r="Q83" s="34" t="n">
        <x:v>2.630044870777226e-7</x:v>
      </x:c>
      <x:c r="R83" s="34" t="n">
        <x:v>2.2550459527481692e-7</x:v>
      </x:c>
      <x:c r="S83" s="34" t="n">
        <x:v>2.1912260729783918e-7</x:v>
      </x:c>
      <x:c r="T83" s="34" t="n">
        <x:v>2.351791106303125e-7</x:v>
      </x:c>
      <x:c r="U83" s="31" t="str">
        <x:v>Candidate surface form is directly representable in the public Ngram interface. Complete 1842–2022 unsmoothed series reused from the audited quantitative-v0.1 baseline.</x:v>
      </x:c>
      <x:c r="V83" s="31" t="str">
        <x:v>NO_STANDALONE_HEADWORD</x:v>
      </x:c>
      <x:c r="W83" s="19" t="str">
        <x:v>Component lexical analysis plus anchor-source contextual meaning</x:v>
      </x:c>
      <x:c r="X83" s="31" t="str">
        <x:v>A threat, risk, harm, severity, or consequence sense in the documented source; it is not automatically an emotion.</x:v>
      </x:c>
      <x:c r="Y83" s="31" t="str">
        <x:v>Climate change framed as an institutional threat; the candidate is interpreted in its documented anchor and voice context.</x:v>
      </x:c>
      <x:c r="Z83" s="31" t="str">
        <x:v>STRONG</x:v>
      </x:c>
      <x:c r="AA83" s="19" t="str">
        <x:v>The surface form may realize multiple senses; candidate meaning remains anchored to the report-visible source context.</x:v>
      </x:c>
      <x:c r="AB83"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https://api.dictionaryapi.dev/api/v2/entries/en/major%20threat; https://websters1913.timcieplowski.com/word/threat/</x:v>
      </x:c>
      <x:c r="AC83" s="19" t="str">
        <x:v>INTERNET_ARCHIVE_METADATA_TEXT_ITEM_COUNT</x:v>
      </x:c>
      <x:c r="AD83" s="19" t="str">
        <x:v>"major threat" AND mediatype:texts</x:v>
      </x:c>
      <x:c r="AE83" s="31" t="str">
        <x:v>EXACT_PHRASE</x:v>
      </x:c>
      <x:c r="AF83" s="31" t="str">
        <x:v>COMPLETED_NONZERO</x:v>
      </x:c>
      <x:c r="AG83" s="28" t="n">
        <x:v>659</x:v>
      </x:c>
      <x:c r="AH83" s="19" t="str">
        <x:v>82</x:v>
      </x:c>
      <x:c r="AI83" s="19" t="str">
        <x:v>2026-08-26</x:v>
      </x:c>
      <x:c r="AJ83" s="31" t="str">
        <x:v>Metadata text-item count; not a full-text lexical frequency. Secondary metric: NOT_RUN_OPENALEX_DAILY_BUDGET_EXHAUSTED: shared provider response retained; no count fabricated.</x:v>
      </x:c>
      <x:c r="AK83" s="31" t="str">
        <x:v>FULLY_COVERED</x:v>
      </x:c>
      <x:c r="AL83" s="19" t="str">
        <x:v>PENDING_SOURCE_REVIEW</x:v>
      </x:c>
      <x:c r="AM83" s="20" t="str">
        <x:v>MEDIUM</x:v>
      </x:c>
    </x:row>
    <x:row r="84" ht="34" customHeight="1">
      <x:c r="A84" s="25" t="str">
        <x:v>FT-SEED-R1B-P-1988-20</x:v>
      </x:c>
      <x:c r="B84" s="19" t="str">
        <x:v>1988</x:v>
      </x:c>
      <x:c r="C84" s="28" t="n">
        <x:v>20</x:v>
      </x:c>
      <x:c r="D84" s="31" t="str">
        <x:v>harmful consequences</x:v>
      </x:c>
      <x:c r="E84" s="31" t="str">
        <x:v>generic damage</x:v>
      </x:c>
      <x:c r="F84" s="19" t="str">
        <x:v>harm_loss_consequences</x:v>
      </x:c>
      <x:c r="G84" s="19" t="str">
        <x:v>D</x:v>
      </x:c>
      <x:c r="H84" s="19" t="str">
        <x:v>V2</x:v>
      </x:c>
      <x:c r="I84" s="19" t="str">
        <x:v>NOT_EXPOSED_IN_REPORT</x:v>
      </x:c>
      <x:c r="J84" s="19" t="str">
        <x:v>S1988-TORONTO</x:v>
      </x:c>
      <x:c r="K84" s="31" t="str">
        <x:v>RECONSTRUCTED_FROM_REPORT; Fear of Temperature_ Stratified Lexical Expansion, Voice Mapping, and Semantic-Relational Pre-Valida.pdf; p.9; project candidate FT-SEED-R1B-P-1988-20; original visible ID not available</x:v>
      </x:c>
      <x:c r="L84" s="31" t="str">
        <x:v>SUCCEEDED_REUSED_BASELINE</x:v>
      </x:c>
      <x:c r="M84" s="31" t="str">
        <x:v>harmful consequences</x:v>
      </x:c>
      <x:c r="N84" s="31" t="str">
        <x:v>EXACT</x:v>
      </x:c>
      <x:c r="O84" s="19" t="str">
        <x:v>1844</x:v>
      </x:c>
      <x:c r="P84" s="19" t="str">
        <x:v>2022</x:v>
      </x:c>
      <x:c r="Q84" s="34" t="n">
        <x:v>1.4125787761720687e-7</x:v>
      </x:c>
      <x:c r="R84" s="34" t="n">
        <x:v>8.069599446991482e-8</x:v>
      </x:c>
      <x:c r="S84" s="34" t="n">
        <x:v>8.098120236471606e-8</x:v>
      </x:c>
      <x:c r="T84" s="34" t="n">
        <x:v>1.4125787761720687e-7</x:v>
      </x:c>
      <x:c r="U84" s="31" t="str">
        <x:v>Candidate surface form is directly representable in the public Ngram interface. Complete 1842–2022 unsmoothed series reused from the audited quantitative-v0.1 baseline.</x:v>
      </x:c>
      <x:c r="V84" s="31" t="str">
        <x:v>NO_STANDALONE_HEADWORD</x:v>
      </x:c>
      <x:c r="W84" s="19" t="str">
        <x:v>Component lexical analysis plus anchor-source contextual meaning</x:v>
      </x:c>
      <x:c r="X84" s="31" t="str">
        <x:v>A threat, risk, harm, severity, or consequence sense in the documented source; it is not automatically an emotion.</x:v>
      </x:c>
      <x:c r="Y84" s="31" t="str">
        <x:v>Generic material, ecological, or social damage; the candidate is interpreted in its documented anchor and voice context.</x:v>
      </x:c>
      <x:c r="Z84" s="31" t="str">
        <x:v>STRONG</x:v>
      </x:c>
      <x:c r="AA84" s="19" t="str">
        <x:v>The surface form may realize multiple senses; candidate meaning remains anchored to the report-visible source context.</x:v>
      </x:c>
      <x:c r="AB84" s="31" t="str">
        <x:v>Secondary: Component headword checked: consequences.;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https://api.dictionaryapi.dev/api/v2/entries/en/harmful%20consequences; https://websters1913.timcieplowski.com/word/consequences/</x:v>
      </x:c>
      <x:c r="AC84" s="19" t="str">
        <x:v>INTERNET_ARCHIVE_METADATA_TEXT_ITEM_COUNT</x:v>
      </x:c>
      <x:c r="AD84" s="19" t="str">
        <x:v>"harmful consequences" AND mediatype:texts</x:v>
      </x:c>
      <x:c r="AE84" s="31" t="str">
        <x:v>EXACT_PHRASE</x:v>
      </x:c>
      <x:c r="AF84" s="31" t="str">
        <x:v>COMPLETED_NONZERO</x:v>
      </x:c>
      <x:c r="AG84" s="28" t="n">
        <x:v>111</x:v>
      </x:c>
      <x:c r="AH84" s="19" t="str">
        <x:v>4</x:v>
      </x:c>
      <x:c r="AI84" s="19" t="str">
        <x:v>2026-08-26</x:v>
      </x:c>
      <x:c r="AJ84" s="31" t="str">
        <x:v>Metadata text-item count; not a full-text lexical frequency. Secondary metric: NOT_RUN_OPENALEX_DAILY_BUDGET_EXHAUSTED: shared provider response retained; no count fabricated.</x:v>
      </x:c>
      <x:c r="AK84" s="31" t="str">
        <x:v>FULLY_COVERED</x:v>
      </x:c>
      <x:c r="AL84" s="19" t="str">
        <x:v>PENDING_SOURCE_REVIEW</x:v>
      </x:c>
      <x:c r="AM84" s="20" t="str">
        <x:v>MEDIUM</x:v>
      </x:c>
    </x:row>
    <x:row r="85" ht="34" customHeight="1">
      <x:c r="A85" s="25" t="str">
        <x:v>FT-SEED-R1B-P-1988-21</x:v>
      </x:c>
      <x:c r="B85" s="19" t="str">
        <x:v>1988</x:v>
      </x:c>
      <x:c r="C85" s="28" t="n">
        <x:v>21</x:v>
      </x:c>
      <x:c r="D85" s="31" t="str">
        <x:v>grave threats</x:v>
      </x:c>
      <x:c r="E85" s="31" t="str">
        <x:v>institutional climate threat</x:v>
      </x:c>
      <x:c r="F85" s="19" t="str">
        <x:v>danger_threat</x:v>
      </x:c>
      <x:c r="G85" s="19" t="str">
        <x:v>D</x:v>
      </x:c>
      <x:c r="H85" s="19" t="str">
        <x:v>V2</x:v>
      </x:c>
      <x:c r="I85" s="19" t="str">
        <x:v>NOT_EXPOSED_IN_REPORT</x:v>
      </x:c>
      <x:c r="J85" s="19" t="str">
        <x:v>S1988-TORONTO</x:v>
      </x:c>
      <x:c r="K85" s="31" t="str">
        <x:v>RECONSTRUCTED_FROM_REPORT; Fear of Temperature_ Stratified Lexical Expansion, Voice Mapping, and Semantic-Relational Pre-Valida.pdf; p.9; project candidate FT-SEED-R1B-P-1988-21; original visible ID not available</x:v>
      </x:c>
      <x:c r="L85" s="31" t="str">
        <x:v>SUCCEEDED_REUSED_BASELINE</x:v>
      </x:c>
      <x:c r="M85" s="31" t="str">
        <x:v>grave threats</x:v>
      </x:c>
      <x:c r="N85" s="31" t="str">
        <x:v>EXACT</x:v>
      </x:c>
      <x:c r="O85" s="19" t="str">
        <x:v>1843</x:v>
      </x:c>
      <x:c r="P85" s="19" t="str">
        <x:v>2008</x:v>
      </x:c>
      <x:c r="Q85" s="34" t="n">
        <x:v>1.763470425242275e-8</x:v>
      </x:c>
      <x:c r="R85" s="34" t="n">
        <x:v>1.0710110541489737e-8</x:v>
      </x:c>
      <x:c r="S85" s="34" t="n">
        <x:v>1.2090141468523718e-8</x:v>
      </x:c>
      <x:c r="T85" s="34" t="n">
        <x:v>9.423090391313949e-9</x:v>
      </x:c>
      <x:c r="U85" s="31" t="str">
        <x:v>Candidate surface form is directly representable in the public Ngram interface. Complete 1842–2022 unsmoothed series reused from the audited quantitative-v0.1 baseline.</x:v>
      </x:c>
      <x:c r="V85" s="31" t="str">
        <x:v>NO_STANDALONE_HEADWORD</x:v>
      </x:c>
      <x:c r="W85" s="19" t="str">
        <x:v>Component lexical analysis plus anchor-source contextual meaning</x:v>
      </x:c>
      <x:c r="X85" s="31" t="str">
        <x:v>A threat, risk, harm, severity, or consequence sense in the documented source; it is not automatically an emotion.</x:v>
      </x:c>
      <x:c r="Y85" s="31" t="str">
        <x:v>Climate change framed as an institutional threat; the candidate is interpreted in its documented anchor and voice context.</x:v>
      </x:c>
      <x:c r="Z85" s="31" t="str">
        <x:v>STRONG</x:v>
      </x:c>
      <x:c r="AA85" s="19" t="str">
        <x:v>The surface form may realize multiple senses; candidate meaning remains anchored to the report-visible source context.</x:v>
      </x:c>
      <x:c r="AB85" s="31" t="str">
        <x:v>Secondary: Component headword checked: threats.;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https://api.dictionaryapi.dev/api/v2/entries/en/grave%20threats; https://websters1913.timcieplowski.com/word/threats/</x:v>
      </x:c>
      <x:c r="AC85" s="19" t="str">
        <x:v>INTERNET_ARCHIVE_METADATA_TEXT_ITEM_COUNT</x:v>
      </x:c>
      <x:c r="AD85" s="19" t="str">
        <x:v>"grave threats" AND mediatype:texts</x:v>
      </x:c>
      <x:c r="AE85" s="31" t="str">
        <x:v>EXACT_PHRASE</x:v>
      </x:c>
      <x:c r="AF85" s="31" t="str">
        <x:v>COMPLETED_NONZERO</x:v>
      </x:c>
      <x:c r="AG85" s="28" t="n">
        <x:v>21</x:v>
      </x:c>
      <x:c r="AH85" s="19" t="str">
        <x:v>1</x:v>
      </x:c>
      <x:c r="AI85" s="19" t="str">
        <x:v>2026-08-26</x:v>
      </x:c>
      <x:c r="AJ85" s="31" t="str">
        <x:v>Metadata text-item count; not a full-text lexical frequency. Secondary metric: NOT_RUN_OPENALEX_DAILY_BUDGET_EXHAUSTED: shared provider response retained; no count fabricated.</x:v>
      </x:c>
      <x:c r="AK85" s="31" t="str">
        <x:v>FULLY_COVERED</x:v>
      </x:c>
      <x:c r="AL85" s="19" t="str">
        <x:v>PENDING_SOURCE_REVIEW</x:v>
      </x:c>
      <x:c r="AM85" s="20" t="str">
        <x:v>MEDIUM</x:v>
      </x:c>
    </x:row>
    <x:row r="86" ht="34" customHeight="1">
      <x:c r="A86" s="25" t="str">
        <x:v>FT-SEED-R1B-P-1988-22</x:v>
      </x:c>
      <x:c r="B86" s="19" t="str">
        <x:v>1988</x:v>
      </x:c>
      <x:c r="C86" s="28" t="n">
        <x:v>22</x:v>
      </x:c>
      <x:c r="D86" s="31" t="str">
        <x:v>severe economic and social dislocation</x:v>
      </x:c>
      <x:c r="E86" s="31" t="str">
        <x:v>generic damage</x:v>
      </x:c>
      <x:c r="F86" s="19" t="str">
        <x:v>harm_loss_consequences</x:v>
      </x:c>
      <x:c r="G86" s="19" t="str">
        <x:v>D</x:v>
      </x:c>
      <x:c r="H86" s="19" t="str">
        <x:v>V2</x:v>
      </x:c>
      <x:c r="I86" s="19" t="str">
        <x:v>NOT_EXPOSED_IN_REPORT</x:v>
      </x:c>
      <x:c r="J86" s="19" t="str">
        <x:v>S1988-TORONTO</x:v>
      </x:c>
      <x:c r="K86" s="31" t="str">
        <x:v>RECONSTRUCTED_FROM_REPORT; Fear of Temperature_ Stratified Lexical Expansion, Voice Mapping, and Semantic-Relational Pre-Valida.pdf; p.9; project candidate FT-SEED-R1B-P-1988-22; original visible ID not available</x:v>
      </x:c>
      <x:c r="L86" s="31" t="str">
        <x:v>SUCCEEDED_NEW</x:v>
      </x:c>
      <x:c r="M86" s="31" t="str">
        <x:v>severe economic and social dislocation</x:v>
      </x:c>
      <x:c r="N86" s="31" t="str">
        <x:v>EXACT</x:v>
      </x:c>
      <x:c r="O86" s="19" t="str">
        <x:v>1939</x:v>
      </x:c>
      <x:c r="P86" s="19" t="str">
        <x:v>1989</x:v>
      </x:c>
      <x:c r="Q86" s="34" t="n">
        <x:v>1.7840144916903e-9</x:v>
      </x:c>
      <x:c r="R86" s="34" t="n">
        <x:v>1.2381732306110393e-9</x:v>
      </x:c>
      <x:c r="S86" s="34" t="n">
        <x:v>1.0982789566682527e-9</x:v>
      </x:c>
      <x:c r="T86" s="34" t="n">
        <x:v>1.630940660302116e-10</x:v>
      </x:c>
      <x:c r="U86" s="31" t="str">
        <x:v>Candidate surface form is directly representable in the public Ngram interface. New unsmoothed 1842–2022 series retrieved for the candidate audit.</x:v>
      </x:c>
      <x:c r="V86" s="31" t="str">
        <x:v>NO_STANDALONE_HEADWORD</x:v>
      </x:c>
      <x:c r="W86" s="19" t="str">
        <x:v>Component lexical analysis plus anchor-source contextual meaning</x:v>
      </x:c>
      <x:c r="X86" s="31" t="str">
        <x:v>A threat, risk, harm, severity, or consequence sense in the documented source; it is not automatically an emotion.</x:v>
      </x:c>
      <x:c r="Y86" s="31" t="str">
        <x:v>Generic material, ecological, or social damage; the candidate is interpreted in its documented anchor and voice context.</x:v>
      </x:c>
      <x:c r="Z86" s="31" t="str">
        <x:v>STRONG</x:v>
      </x:c>
      <x:c r="AA86" s="19" t="str">
        <x:v>The surface form may realize multiple senses; candidate meaning remains anchored to the report-visible source context.</x:v>
      </x:c>
      <x:c r="AB86" s="31" t="str">
        <x:v>Secondary: Component headword checked: dislocation.;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https://api.dictionaryapi.dev/api/v2/entries/en/severe%20economic%20and%20social%20dislocation; https://websters1913.timcieplowski.com/word/dislocation/</x:v>
      </x:c>
      <x:c r="AC86" s="19" t="str">
        <x:v>INTERNET_ARCHIVE_METADATA_TEXT_ITEM_COUNT</x:v>
      </x:c>
      <x:c r="AD86" s="19" t="str">
        <x:v>"severe economic and social dislocation" AND mediatype:texts</x:v>
      </x:c>
      <x:c r="AE86" s="31" t="str">
        <x:v>EXACT_PHRASE</x:v>
      </x:c>
      <x:c r="AF86" s="31" t="str">
        <x:v>COMPLETED_ZERO</x:v>
      </x:c>
      <x:c r="AG86" s="28" t="n">
        <x:v>0</x:v>
      </x:c>
      <x:c r="AH86" s="19" t="str">
        <x:v>0</x:v>
      </x:c>
      <x:c r="AI86" s="19" t="str">
        <x:v>2026-08-26</x:v>
      </x:c>
      <x:c r="AJ86" s="31" t="str">
        <x:v>Metadata text-item count; not a full-text lexical frequency. Secondary metric: NOT_RUN_OPENALEX_DAILY_BUDGET_EXHAUSTED: shared provider response retained; no count fabricated.</x:v>
      </x:c>
      <x:c r="AK86" s="31" t="str">
        <x:v>FULLY_COVERED</x:v>
      </x:c>
      <x:c r="AL86" s="19" t="str">
        <x:v>PENDING_SOURCE_REVIEW</x:v>
      </x:c>
      <x:c r="AM86" s="20" t="str">
        <x:v>MEDIUM</x:v>
      </x:c>
    </x:row>
    <x:row r="87" ht="34" customHeight="1">
      <x:c r="A87" s="25" t="str">
        <x:v>FT-SEED-R1B-P-1988-23</x:v>
      </x:c>
      <x:c r="B87" s="19" t="str">
        <x:v>1988</x:v>
      </x:c>
      <x:c r="C87" s="28" t="n">
        <x:v>23</x:v>
      </x:c>
      <x:c r="D87" s="31" t="str">
        <x:v>risk of conflicts</x:v>
      </x:c>
      <x:c r="E87" s="31" t="str">
        <x:v>administrative risk assessment</x:v>
      </x:c>
      <x:c r="F87" s="19" t="str">
        <x:v>risk</x:v>
      </x:c>
      <x:c r="G87" s="19" t="str">
        <x:v>D</x:v>
      </x:c>
      <x:c r="H87" s="19" t="str">
        <x:v>V2</x:v>
      </x:c>
      <x:c r="I87" s="19" t="str">
        <x:v>NOT_EXPOSED_IN_REPORT</x:v>
      </x:c>
      <x:c r="J87" s="19" t="str">
        <x:v>S1988-TORONTO</x:v>
      </x:c>
      <x:c r="K87" s="31" t="str">
        <x:v>RECONSTRUCTED_FROM_REPORT; Fear of Temperature_ Stratified Lexical Expansion, Voice Mapping, and Semantic-Relational Pre-Valida.pdf; p.9; project candidate FT-SEED-R1B-P-1988-23; original visible ID not available</x:v>
      </x:c>
      <x:c r="L87" s="31" t="str">
        <x:v>SUCCEEDED_NEW</x:v>
      </x:c>
      <x:c r="M87" s="31" t="str">
        <x:v>risk of conflicts</x:v>
      </x:c>
      <x:c r="N87" s="31" t="str">
        <x:v>EXACT</x:v>
      </x:c>
      <x:c r="O87" s="19" t="str">
        <x:v>1868</x:v>
      </x:c>
      <x:c r="P87" s="19" t="str">
        <x:v>2011</x:v>
      </x:c>
      <x:c r="Q87" s="34" t="n">
        <x:v>9.72769109708338e-9</x:v>
      </x:c>
      <x:c r="R87" s="34" t="n">
        <x:v>3.2436144881131668e-9</x:v>
      </x:c>
      <x:c r="S87" s="34" t="n">
        <x:v>3.07107153041386e-9</x:v>
      </x:c>
      <x:c r="T87" s="34" t="n">
        <x:v>7.3312812765014e-9</x:v>
      </x:c>
      <x:c r="U87" s="31" t="str">
        <x:v>Candidate surface form is directly representable in the public Ngram interface. New unsmoothed 1842–2022 series retrieved for the candidate audit.</x:v>
      </x:c>
      <x:c r="V87" s="31" t="str">
        <x:v>NO_STANDALONE_HEADWORD</x:v>
      </x:c>
      <x:c r="W87" s="19" t="str">
        <x:v>Component lexical analysis plus anchor-source contextual meaning</x:v>
      </x:c>
      <x:c r="X87" s="31" t="str">
        <x:v>A threat, risk, harm, severity, or consequence sense in the documented source; it is not automatically an emotion.</x:v>
      </x:c>
      <x:c r="Y87" s="31" t="str">
        <x:v>Risk managed or assessed through institutional procedure; the candidate is interpreted in its documented anchor and voice context.</x:v>
      </x:c>
      <x:c r="Z87" s="31" t="str">
        <x:v>STRONG</x:v>
      </x:c>
      <x:c r="AA87" s="19" t="str">
        <x:v>The surface form may realize multiple senses; candidate meaning remains anchored to the report-visible source context.</x:v>
      </x:c>
      <x:c r="AB87" s="31" t="str">
        <x:v>Secondary: Component headword checked: conflicts.;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https://api.dictionaryapi.dev/api/v2/entries/en/risk%20of%20conflicts; https://websters1913.timcieplowski.com/word/conflicts/</x:v>
      </x:c>
      <x:c r="AC87" s="19" t="str">
        <x:v>INTERNET_ARCHIVE_METADATA_TEXT_ITEM_COUNT</x:v>
      </x:c>
      <x:c r="AD87" s="19" t="str">
        <x:v>"risk of conflicts" AND mediatype:texts</x:v>
      </x:c>
      <x:c r="AE87" s="31" t="str">
        <x:v>EXACT_PHRASE</x:v>
      </x:c>
      <x:c r="AF87" s="31" t="str">
        <x:v>COMPLETED_NONZERO</x:v>
      </x:c>
      <x:c r="AG87" s="28" t="n">
        <x:v>4</x:v>
      </x:c>
      <x:c r="AH87" s="19" t="str">
        <x:v>0</x:v>
      </x:c>
      <x:c r="AI87" s="19" t="str">
        <x:v>2026-08-26</x:v>
      </x:c>
      <x:c r="AJ87" s="31" t="str">
        <x:v>Metadata text-item count; not a full-text lexical frequency. Secondary metric: NOT_RUN_OPENALEX_DAILY_BUDGET_EXHAUSTED: shared provider response retained; no count fabricated.</x:v>
      </x:c>
      <x:c r="AK87" s="31" t="str">
        <x:v>FULLY_COVERED</x:v>
      </x:c>
      <x:c r="AL87" s="19" t="str">
        <x:v>PENDING_SOURCE_REVIEW</x:v>
      </x:c>
      <x:c r="AM87" s="20" t="str">
        <x:v>MEDIUM</x:v>
      </x:c>
    </x:row>
    <x:row r="88" ht="34" customHeight="1">
      <x:c r="A88" s="25" t="str">
        <x:v>FT-SEED-R1B-P-1988-24</x:v>
      </x:c>
      <x:c r="B88" s="19" t="str">
        <x:v>1988</x:v>
      </x:c>
      <x:c r="C88" s="28" t="n">
        <x:v>24</x:v>
      </x:c>
      <x:c r="D88" s="31" t="str">
        <x:v>impending crisis</x:v>
      </x:c>
      <x:c r="E88" s="31" t="str">
        <x:v>severity / crisis predicate</x:v>
      </x:c>
      <x:c r="F88" s="19" t="str">
        <x:v>crisis_emergency</x:v>
      </x:c>
      <x:c r="G88" s="19" t="str">
        <x:v>D</x:v>
      </x:c>
      <x:c r="H88" s="19" t="str">
        <x:v>V2</x:v>
      </x:c>
      <x:c r="I88" s="19" t="str">
        <x:v>NOT_EXPOSED_IN_REPORT</x:v>
      </x:c>
      <x:c r="J88" s="19" t="str">
        <x:v>S1988-TORONTO</x:v>
      </x:c>
      <x:c r="K88" s="31" t="str">
        <x:v>RECONSTRUCTED_FROM_REPORT; Fear of Temperature_ Stratified Lexical Expansion, Voice Mapping, and Semantic-Relational Pre-Valida.pdf; p.9; project candidate FT-SEED-R1B-P-1988-24; original visible ID not available</x:v>
      </x:c>
      <x:c r="L88" s="31" t="str">
        <x:v>SUCCEEDED_NEW</x:v>
      </x:c>
      <x:c r="M88" s="31" t="str">
        <x:v>impending crisis</x:v>
      </x:c>
      <x:c r="N88" s="31" t="str">
        <x:v>EXACT</x:v>
      </x:c>
      <x:c r="O88" s="19" t="str">
        <x:v>1842</x:v>
      </x:c>
      <x:c r="P88" s="19" t="str">
        <x:v>1860</x:v>
      </x:c>
      <x:c r="Q88" s="34" t="n">
        <x:v>2.7402237695595133e-7</x:v>
      </x:c>
      <x:c r="R88" s="34" t="n">
        <x:v>5.004632412305976e-8</x:v>
      </x:c>
      <x:c r="S88" s="34" t="n">
        <x:v>5.116446560385346e-8</x:v>
      </x:c>
      <x:c r="T88" s="34" t="n">
        <x:v>5.18933595816673e-8</x:v>
      </x:c>
      <x:c r="U88" s="31" t="str">
        <x:v>Candidate surface form is directly representable in the public Ngram interface. New unsmoothed 1842–2022 series retrieved for the candidate audit.</x:v>
      </x:c>
      <x:c r="V88" s="31" t="str">
        <x:v>NO_STANDALONE_HEADWORD</x:v>
      </x:c>
      <x:c r="W88" s="19" t="str">
        <x:v>Component lexical analysis plus anchor-source contextual meaning</x:v>
      </x:c>
      <x:c r="X88" s="31" t="str">
        <x:v>A threat, risk, harm, severity, or consequence sense in the documented source; it is not automatically an emotion.</x:v>
      </x:c>
      <x:c r="Y88" s="31" t="str">
        <x:v>Crisis used as a severity predicate without necessarily being an established issue label; the candidate is interpreted in its documented anchor and voice context.</x:v>
      </x:c>
      <x:c r="Z88" s="31" t="str">
        <x:v>STRONG</x:v>
      </x:c>
      <x:c r="AA88" s="19" t="str">
        <x:v>The surface form may realize multiple senses; candidate meaning remains anchored to the report-visible source context.</x:v>
      </x:c>
      <x:c r="AB88" s="31" t="str">
        <x:v>Secondary: Component headword checked: crisis.;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https://api.dictionaryapi.dev/api/v2/entries/en/impending%20crisis; https://websters1913.timcieplowski.com/word/crisis/</x:v>
      </x:c>
      <x:c r="AC88" s="19" t="str">
        <x:v>INTERNET_ARCHIVE_METADATA_TEXT_ITEM_COUNT</x:v>
      </x:c>
      <x:c r="AD88" s="19" t="str">
        <x:v>"impending crisis" AND mediatype:texts</x:v>
      </x:c>
      <x:c r="AE88" s="31" t="str">
        <x:v>EXACT_PHRASE</x:v>
      </x:c>
      <x:c r="AF88" s="31" t="str">
        <x:v>COMPLETED_NONZERO</x:v>
      </x:c>
      <x:c r="AG88" s="28" t="n">
        <x:v>203</x:v>
      </x:c>
      <x:c r="AH88" s="19" t="str">
        <x:v>11</x:v>
      </x:c>
      <x:c r="AI88" s="19" t="str">
        <x:v>2026-08-26</x:v>
      </x:c>
      <x:c r="AJ88" s="31" t="str">
        <x:v>Metadata text-item count; not a full-text lexical frequency. Secondary metric: NOT_RUN_OPENALEX_DAILY_BUDGET_EXHAUSTED: shared provider response retained; no count fabricated.</x:v>
      </x:c>
      <x:c r="AK88" s="31" t="str">
        <x:v>FULLY_COVERED</x:v>
      </x:c>
      <x:c r="AL88" s="19" t="str">
        <x:v>PENDING_SOURCE_REVIEW</x:v>
      </x:c>
      <x:c r="AM88" s="20" t="str">
        <x:v>MEDIUM</x:v>
      </x:c>
    </x:row>
    <x:row r="89" ht="34" customHeight="1">
      <x:c r="A89" s="25" t="str">
        <x:v>FT-SEED-R1B-P-1988-25</x:v>
      </x:c>
      <x:c r="B89" s="19" t="str">
        <x:v>1988</x:v>
      </x:c>
      <x:c r="C89" s="28" t="n">
        <x:v>25</x:v>
      </x:c>
      <x:c r="D89" s="31" t="str">
        <x:v>degradation of the atmosphere</x:v>
      </x:c>
      <x:c r="E89" s="31" t="str">
        <x:v>generic damage</x:v>
      </x:c>
      <x:c r="F89" s="19" t="str">
        <x:v>harm_loss_consequences</x:v>
      </x:c>
      <x:c r="G89" s="19" t="str">
        <x:v>D</x:v>
      </x:c>
      <x:c r="H89" s="19" t="str">
        <x:v>V2</x:v>
      </x:c>
      <x:c r="I89" s="19" t="str">
        <x:v>NOT_EXPOSED_IN_REPORT</x:v>
      </x:c>
      <x:c r="J89" s="19" t="str">
        <x:v>S1988-TORONTO</x:v>
      </x:c>
      <x:c r="K89" s="31" t="str">
        <x:v>RECONSTRUCTED_FROM_REPORT; Fear of Temperature_ Stratified Lexical Expansion, Voice Mapping, and Semantic-Relational Pre-Valida.pdf; p.9; project candidate FT-SEED-R1B-P-1988-25; original visible ID not available</x:v>
      </x:c>
      <x:c r="L89" s="31" t="str">
        <x:v>SUCCEEDED_NEW</x:v>
      </x:c>
      <x:c r="M89" s="31" t="str">
        <x:v>degradation of the atmosphere</x:v>
      </x:c>
      <x:c r="N89" s="31" t="str">
        <x:v>EXACT</x:v>
      </x:c>
      <x:c r="O89" s="19" t="str">
        <x:v>1901</x:v>
      </x:c>
      <x:c r="P89" s="19" t="str">
        <x:v>1974</x:v>
      </x:c>
      <x:c r="Q89" s="34" t="n">
        <x:v>2.048499814222282e-9</x:v>
      </x:c>
      <x:c r="R89" s="34" t="n">
        <x:v>7.17079950973698e-10</x:v>
      </x:c>
      <x:c r="S89" s="34" t="n">
        <x:v>9.548699442252228e-10</x:v>
      </x:c>
      <x:c r="T89" s="34" t="n">
        <x:v>5.081168263920688e-10</x:v>
      </x:c>
      <x:c r="U89" s="31" t="str">
        <x:v>Candidate surface form is directly representable in the public Ngram interface. New unsmoothed 1842–2022 series retrieved for the candidate audit.</x:v>
      </x:c>
      <x:c r="V89" s="31" t="str">
        <x:v>NO_STANDALONE_HEADWORD</x:v>
      </x:c>
      <x:c r="W89" s="19" t="str">
        <x:v>Component lexical analysis plus anchor-source contextual meaning</x:v>
      </x:c>
      <x:c r="X89" s="31" t="str">
        <x:v>A threat, risk, harm, severity, or consequence sense in the documented source; it is not automatically an emotion.</x:v>
      </x:c>
      <x:c r="Y89" s="31" t="str">
        <x:v>Generic material, ecological, or social damage; the candidate is interpreted in its documented anchor and voice context.</x:v>
      </x:c>
      <x:c r="Z89" s="31" t="str">
        <x:v>STRONG</x:v>
      </x:c>
      <x:c r="AA89" s="19" t="str">
        <x:v>The surface form may realize multiple senses; candidate meaning remains anchored to the report-visible source context.</x:v>
      </x:c>
      <x:c r="AB89" s="31" t="str">
        <x:v>Secondary: Component headword checked: atmosphere.;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https://api.dictionaryapi.dev/api/v2/entries/en/degradation%20of%20the%20atmosphere; https://websters1913.timcieplowski.com/word/atmosphere/</x:v>
      </x:c>
      <x:c r="AC89" s="19" t="str">
        <x:v>INTERNET_ARCHIVE_METADATA_TEXT_ITEM_COUNT</x:v>
      </x:c>
      <x:c r="AD89" s="19" t="str">
        <x:v>"degradation of the atmosphere" AND mediatype:texts</x:v>
      </x:c>
      <x:c r="AE89" s="31" t="str">
        <x:v>EXACT_PHRASE</x:v>
      </x:c>
      <x:c r="AF89" s="31" t="str">
        <x:v>COMPLETED_ZERO</x:v>
      </x:c>
      <x:c r="AG89" s="28" t="n">
        <x:v>0</x:v>
      </x:c>
      <x:c r="AH89" s="19" t="str">
        <x:v>0</x:v>
      </x:c>
      <x:c r="AI89" s="19" t="str">
        <x:v>2026-08-26</x:v>
      </x:c>
      <x:c r="AJ89" s="31" t="str">
        <x:v>Metadata text-item count; not a full-text lexical frequency. Secondary metric: NOT_RUN_OPENALEX_DAILY_BUDGET_EXHAUSTED: shared provider response retained; no count fabricated.</x:v>
      </x:c>
      <x:c r="AK89" s="31" t="str">
        <x:v>FULLY_COVERED</x:v>
      </x:c>
      <x:c r="AL89" s="19" t="str">
        <x:v>PENDING_SOURCE_REVIEW</x:v>
      </x:c>
      <x:c r="AM89" s="20" t="str">
        <x:v>MEDIUM</x:v>
      </x:c>
    </x:row>
    <x:row r="90" ht="34" customHeight="1">
      <x:c r="A90" s="25" t="str">
        <x:v>FT-SEED-R1B-P-1988-26</x:v>
      </x:c>
      <x:c r="B90" s="19" t="str">
        <x:v>1988</x:v>
      </x:c>
      <x:c r="C90" s="28" t="n">
        <x:v>26</x:v>
      </x:c>
      <x:c r="D90" s="31" t="str">
        <x:v>atmospheric pollution</x:v>
      </x:c>
      <x:c r="E90" s="31" t="str">
        <x:v>generic damage</x:v>
      </x:c>
      <x:c r="F90" s="19" t="str">
        <x:v>harm_loss_consequences</x:v>
      </x:c>
      <x:c r="G90" s="19" t="str">
        <x:v>D</x:v>
      </x:c>
      <x:c r="H90" s="19" t="str">
        <x:v>V2</x:v>
      </x:c>
      <x:c r="I90" s="19" t="str">
        <x:v>NOT_EXPOSED_IN_REPORT</x:v>
      </x:c>
      <x:c r="J90" s="19" t="str">
        <x:v>S1988-TORONTO</x:v>
      </x:c>
      <x:c r="K90" s="31" t="str">
        <x:v>RECONSTRUCTED_FROM_REPORT; Fear of Temperature_ Stratified Lexical Expansion, Voice Mapping, and Semantic-Relational Pre-Valida.pdf; p.9; project candidate FT-SEED-R1B-P-1988-26; original visible ID not available</x:v>
      </x:c>
      <x:c r="L90" s="31" t="str">
        <x:v>SUCCEEDED_NEW</x:v>
      </x:c>
      <x:c r="M90" s="31" t="str">
        <x:v>atmospheric pollution</x:v>
      </x:c>
      <x:c r="N90" s="31" t="str">
        <x:v>EXACT</x:v>
      </x:c>
      <x:c r="O90" s="19" t="str">
        <x:v>1842</x:v>
      </x:c>
      <x:c r="P90" s="19" t="str">
        <x:v>1971</x:v>
      </x:c>
      <x:c r="Q90" s="34" t="n">
        <x:v>8.334724958536377e-7</x:v>
      </x:c>
      <x:c r="R90" s="34" t="n">
        <x:v>3.3304990159840897e-7</x:v>
      </x:c>
      <x:c r="S90" s="34" t="n">
        <x:v>3.300189624841354e-7</x:v>
      </x:c>
      <x:c r="T90" s="34" t="n">
        <x:v>1.1042269712491226e-7</x:v>
      </x:c>
      <x:c r="U90" s="31" t="str">
        <x:v>Candidate surface form is directly representable in the public Ngram interface. New unsmoothed 1842–2022 series retrieved for the candidate audit.</x:v>
      </x:c>
      <x:c r="V90" s="31" t="str">
        <x:v>NO_STANDALONE_HEADWORD</x:v>
      </x:c>
      <x:c r="W90" s="19" t="str">
        <x:v>Component lexical analysis plus anchor-source contextual meaning</x:v>
      </x:c>
      <x:c r="X90" s="31" t="str">
        <x:v>A threat, risk, harm, severity, or consequence sense in the documented source; it is not automatically an emotion.</x:v>
      </x:c>
      <x:c r="Y90" s="31" t="str">
        <x:v>Generic material, ecological, or social damage; the candidate is interpreted in its documented anchor and voice context.</x:v>
      </x:c>
      <x:c r="Z90" s="31" t="str">
        <x:v>STRONG</x:v>
      </x:c>
      <x:c r="AA90" s="19" t="str">
        <x:v>The surface form may realize multiple senses; candidate meaning remains anchored to the report-visible source context.</x:v>
      </x:c>
      <x:c r="AB90" s="31" t="str">
        <x:v>Secondary: Component headword checked: pollution.;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https://api.dictionaryapi.dev/api/v2/entries/en/atmospheric%20pollution; https://websters1913.timcieplowski.com/word/pollution/</x:v>
      </x:c>
      <x:c r="AC90" s="19" t="str">
        <x:v>INTERNET_ARCHIVE_METADATA_TEXT_ITEM_COUNT</x:v>
      </x:c>
      <x:c r="AD90" s="19" t="str">
        <x:v>"atmospheric pollution" AND mediatype:texts</x:v>
      </x:c>
      <x:c r="AE90" s="31" t="str">
        <x:v>EXACT_PHRASE</x:v>
      </x:c>
      <x:c r="AF90" s="31" t="str">
        <x:v>COMPLETED_NONZERO</x:v>
      </x:c>
      <x:c r="AG90" s="28" t="n">
        <x:v>221</x:v>
      </x:c>
      <x:c r="AH90" s="19" t="str">
        <x:v>19</x:v>
      </x:c>
      <x:c r="AI90" s="19" t="str">
        <x:v>2026-08-26</x:v>
      </x:c>
      <x:c r="AJ90" s="31" t="str">
        <x:v>Metadata text-item count; not a full-text lexical frequency. Secondary metric: Scholarly work discoverability count over OpenAlex search fields; not a corpus word frequency.</x:v>
      </x:c>
      <x:c r="AK90" s="31" t="str">
        <x:v>FULLY_COVERED</x:v>
      </x:c>
      <x:c r="AL90" s="19" t="str">
        <x:v>PENDING_SOURCE_REVIEW</x:v>
      </x:c>
      <x:c r="AM90" s="20" t="str">
        <x:v>MEDIUM</x:v>
      </x:c>
    </x:row>
    <x:row r="91" ht="34" customHeight="1">
      <x:c r="A91" s="25" t="str">
        <x:v>FT-SEED-R1B-P-1988-27</x:v>
      </x:c>
      <x:c r="B91" s="19" t="str">
        <x:v>1988</x:v>
      </x:c>
      <x:c r="C91" s="28" t="n">
        <x:v>27</x:v>
      </x:c>
      <x:c r="D91" s="31" t="str">
        <x:v>greenhouse gases</x:v>
      </x:c>
      <x:c r="E91" s="31" t="str">
        <x:v>anthropogenic greenhouse-gas emissions</x:v>
      </x:c>
      <x:c r="F91" s="19" t="str">
        <x:v>carbon_greenhouse</x:v>
      </x:c>
      <x:c r="G91" s="19" t="str">
        <x:v>B</x:v>
      </x:c>
      <x:c r="H91" s="19" t="str">
        <x:v>V2</x:v>
      </x:c>
      <x:c r="I91" s="19" t="str">
        <x:v>NOT_EXPOSED_IN_REPORT</x:v>
      </x:c>
      <x:c r="J91" s="19" t="str">
        <x:v>S1988-TORONTO</x:v>
      </x:c>
      <x:c r="K91" s="31" t="str">
        <x:v>RECONSTRUCTED_FROM_REPORT; Fear of Temperature_ Stratified Lexical Expansion, Voice Mapping, and Semantic-Relational Pre-Valida.pdf; p.9; project candidate FT-SEED-R1B-P-1988-27; original visible ID not available</x:v>
      </x:c>
      <x:c r="L91" s="31" t="str">
        <x:v>SUCCEEDED_NEW</x:v>
      </x:c>
      <x:c r="M91" s="31" t="str">
        <x:v>greenhouse gases</x:v>
      </x:c>
      <x:c r="N91" s="31" t="str">
        <x:v>EXACT</x:v>
      </x:c>
      <x:c r="O91" s="19" t="str">
        <x:v>1843</x:v>
      </x:c>
      <x:c r="P91" s="19" t="str">
        <x:v>2009</x:v>
      </x:c>
      <x:c r="Q91" s="34" t="n">
        <x:v>0.000002002253256805364</x:v>
      </x:c>
      <x:c r="R91" s="34" t="n">
        <x:v>3.0486798507922686e-7</x:v>
      </x:c>
      <x:c r="S91" s="34" t="n">
        <x:v>4.962433368921327e-7</x:v>
      </x:c>
      <x:c r="T91" s="34" t="n">
        <x:v>0.0000014560665626828229</x:v>
      </x:c>
      <x:c r="U91" s="31" t="str">
        <x:v>Candidate surface form is directly representable in the public Ngram interface. New unsmoothed 1842–2022 series retrieved for the candidate audit.</x:v>
      </x:c>
      <x:c r="V91" s="31" t="str">
        <x:v>TECHNICAL_GLOSSARY</x:v>
      </x:c>
      <x:c r="W91" s="19" t="str">
        <x:v>IPCC climate-science glossary / assessment terminology</x:v>
      </x:c>
      <x:c r="X91" s="31" t="str">
        <x:v>A climatic, atmospheric, meteorological, or causal-science sense in the documented anchor context.</x:v>
      </x:c>
      <x:c r="Y91" s="31" t="str">
        <x:v>Atmospheric gases that absorb and emit infrared radiation and thereby influence the greenhouse effect.</x:v>
      </x:c>
      <x:c r="Z91" s="31" t="str">
        <x:v>STRONG</x:v>
      </x:c>
      <x:c r="AA91" s="19" t="str">
        <x:v>The surface form may realize multiple senses; candidate meaning remains anchored to the report-visible source context.</x:v>
      </x:c>
      <x:c r="AB91" s="31" t="str">
        <x:v>Secondary: Component headword checked: gases.; historical: Anchor-period research source/context; Webster 1913 stable component URL recorded but automated page retrieval was unavailable; source: https://www.ipcc.ch/site/assets/uploads/2018/02/WGIIAR5-AnnexII_FINAL.pdf; https://api.dictionaryapi.dev/api/v2/entries/en/greenhouse%20gases; https://websters1913.timcieplowski.com/word/gases/</x:v>
      </x:c>
      <x:c r="AC91" s="19" t="str">
        <x:v>INTERNET_ARCHIVE_METADATA_TEXT_ITEM_COUNT</x:v>
      </x:c>
      <x:c r="AD91" s="19" t="str">
        <x:v>"greenhouse gases" AND mediatype:texts</x:v>
      </x:c>
      <x:c r="AE91" s="31" t="str">
        <x:v>EXACT_PHRASE</x:v>
      </x:c>
      <x:c r="AF91" s="31" t="str">
        <x:v>COMPLETED_NONZERO</x:v>
      </x:c>
      <x:c r="AG91" s="28" t="n">
        <x:v>1549</x:v>
      </x:c>
      <x:c r="AH91" s="19" t="str">
        <x:v>30</x:v>
      </x:c>
      <x:c r="AI91" s="19" t="str">
        <x:v>2026-08-26</x:v>
      </x:c>
      <x:c r="AJ91" s="31" t="str">
        <x:v>Metadata text-item count; not a full-text lexical frequency. Secondary metric: NOT_RUN_OPENALEX_DAILY_BUDGET_EXHAUSTED: shared provider response retained; no count fabricated.</x:v>
      </x:c>
      <x:c r="AK91" s="31" t="str">
        <x:v>FULLY_COVERED</x:v>
      </x:c>
      <x:c r="AL91" s="19" t="str">
        <x:v>PENDING_SOURCE_REVIEW</x:v>
      </x:c>
      <x:c r="AM91" s="20" t="str">
        <x:v>MEDIUM</x:v>
      </x:c>
    </x:row>
    <x:row r="92" ht="34" customHeight="1">
      <x:c r="A92" s="25" t="str">
        <x:v>FT-SEED-R1B-P-1988-28</x:v>
      </x:c>
      <x:c r="B92" s="19" t="str">
        <x:v>1988</x:v>
      </x:c>
      <x:c r="C92" s="28" t="n">
        <x:v>28</x:v>
      </x:c>
      <x:c r="D92" s="31" t="str">
        <x:v>Global Warming Has Begun</x:v>
      </x:c>
      <x:c r="E92" s="31" t="str">
        <x:v>global warming as issue label</x:v>
      </x:c>
      <x:c r="F92" s="19" t="str">
        <x:v>warming</x:v>
      </x:c>
      <x:c r="G92" s="19" t="str">
        <x:v>A</x:v>
      </x:c>
      <x:c r="H92" s="19" t="str">
        <x:v>V3</x:v>
      </x:c>
      <x:c r="I92" s="19" t="str">
        <x:v>NOT_EXPOSED_IN_REPORT</x:v>
      </x:c>
      <x:c r="J92" s="19" t="str">
        <x:v>S1988-NYT</x:v>
      </x:c>
      <x:c r="K92" s="31" t="str">
        <x:v>RECONSTRUCTED_FROM_REPORT; Fear of Temperature_ Stratified Lexical Expansion, Voice Mapping, and Semantic-Relational Pre-Valida.pdf; p.9; project candidate FT-SEED-R1B-P-1988-28; original visible ID not available</x:v>
      </x:c>
      <x:c r="L92" s="31" t="str">
        <x:v>SUCCEEDED_NEW</x:v>
      </x:c>
      <x:c r="M92" s="31" t="str">
        <x:v>Global Warming Has Begun</x:v>
      </x:c>
      <x:c r="N92" s="31" t="str">
        <x:v>EXACT</x:v>
      </x:c>
      <x:c r="O92" s="19" t="str">
        <x:v>1979</x:v>
      </x:c>
      <x:c r="P92" s="19" t="str">
        <x:v>1989</x:v>
      </x:c>
      <x:c r="Q92" s="34" t="n">
        <x:v>2.5948427573307953e-9</x:v>
      </x:c>
      <x:c r="R92" s="34" t="n">
        <x:v>2.27075322434267e-9</x:v>
      </x:c>
      <x:c r="S92" s="34" t="n">
        <x:v>1.3878436400105442e-9</x:v>
      </x:c>
      <x:c r="T92" s="34" t="n">
        <x:v>2.591395681372788e-9</x:v>
      </x:c>
      <x:c r="U92" s="31" t="str">
        <x:v>Candidate surface form is directly representable in the public Ngram interface. New unsmoothed 1842–2022 series retrieved for the candidate audit.</x:v>
      </x:c>
      <x:c r="V92" s="31" t="str">
        <x:v>NO_STANDALONE_HEADWORD</x:v>
      </x:c>
      <x:c r="W92" s="19" t="str">
        <x:v>Component lexical analysis plus anchor-source contextual meaning</x:v>
      </x:c>
      <x:c r="X92" s="31" t="str">
        <x:v>A physical temperature, warming, heat, or measurement sense in the documented anchor context.</x:v>
      </x:c>
      <x:c r="Y92" s="31" t="str">
        <x:v>Global warming used as an established public, scientific, or policy issue label; the candidate is interpreted in its documented anchor and voice context.</x:v>
      </x:c>
      <x:c r="Z92" s="31" t="str">
        <x:v>STRONG</x:v>
      </x:c>
      <x:c r="AA92" s="19" t="str">
        <x:v>The surface form may realize multiple senses; candidate meaning remains anchored to the report-visible source context.</x:v>
      </x:c>
      <x:c r="AB92" s="31" t="str">
        <x:v>Secondary: Component headword checked: begun.;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https://api.dictionaryapi.dev/api/v2/entries/en/Global%20Warming%20Has%20Begun; https://websters1913.timcieplowski.com/word/begun/</x:v>
      </x:c>
      <x:c r="AC92" s="19" t="str">
        <x:v>INTERNET_ARCHIVE_METADATA_TEXT_ITEM_COUNT</x:v>
      </x:c>
      <x:c r="AD92" s="19" t="str">
        <x:v>"Global Warming Has Begun" AND mediatype:texts</x:v>
      </x:c>
      <x:c r="AE92" s="31" t="str">
        <x:v>EXACT_PHRASE</x:v>
      </x:c>
      <x:c r="AF92" s="31" t="str">
        <x:v>COMPLETED_ZERO</x:v>
      </x:c>
      <x:c r="AG92" s="28" t="n">
        <x:v>0</x:v>
      </x:c>
      <x:c r="AH92" s="19" t="str">
        <x:v>0</x:v>
      </x:c>
      <x:c r="AI92" s="19" t="str">
        <x:v>2026-08-26</x:v>
      </x:c>
      <x:c r="AJ92" s="31" t="str">
        <x:v>Metadata text-item count; not a full-text lexical frequency. Secondary metric: NOT_RUN_OPENALEX_DAILY_BUDGET_EXHAUSTED: shared provider response retained; no count fabricated.</x:v>
      </x:c>
      <x:c r="AK92" s="31" t="str">
        <x:v>FULLY_COVERED</x:v>
      </x:c>
      <x:c r="AL92" s="19" t="str">
        <x:v>PENDING_SOURCE_REVIEW</x:v>
      </x:c>
      <x:c r="AM92" s="20" t="str">
        <x:v>MEDIUM</x:v>
      </x:c>
    </x:row>
    <x:row r="93" ht="34" customHeight="1">
      <x:c r="A93" s="25" t="str">
        <x:v>FT-SEED-R1B-P-1988-29</x:v>
      </x:c>
      <x:c r="B93" s="19" t="str">
        <x:v>1988</x:v>
      </x:c>
      <x:c r="C93" s="28" t="n">
        <x:v>29</x:v>
      </x:c>
      <x:c r="D93" s="31" t="str">
        <x:v>evidence is pretty strong</x:v>
      </x:c>
      <x:c r="E93" s="31" t="str">
        <x:v>personal concern</x:v>
      </x:c>
      <x:c r="F93" s="19" t="str">
        <x:v>concern_alarm</x:v>
      </x:c>
      <x:c r="G93" s="19" t="str">
        <x:v>C</x:v>
      </x:c>
      <x:c r="H93" s="19" t="str">
        <x:v>V3</x:v>
      </x:c>
      <x:c r="I93" s="19" t="str">
        <x:v>NOT_EXPOSED_IN_REPORT</x:v>
      </x:c>
      <x:c r="J93" s="19" t="str">
        <x:v>S1988-NYT</x:v>
      </x:c>
      <x:c r="K93" s="31" t="str">
        <x:v>RECONSTRUCTED_FROM_REPORT; Fear of Temperature_ Stratified Lexical Expansion, Voice Mapping, and Semantic-Relational Pre-Valida.pdf; p.9; project candidate FT-SEED-R1B-P-1988-29; original visible ID not available</x:v>
      </x:c>
      <x:c r="L93" s="31" t="str">
        <x:v>SUCCEEDED_NEW</x:v>
      </x:c>
      <x:c r="M93" s="31" t="str">
        <x:v>evidence is pretty strong</x:v>
      </x:c>
      <x:c r="N93" s="31" t="str">
        <x:v>EXACT</x:v>
      </x:c>
      <x:c r="O93" s="19" t="str">
        <x:v>1842</x:v>
      </x:c>
      <x:c r="P93" s="19" t="str">
        <x:v>1864</x:v>
      </x:c>
      <x:c r="Q93" s="34" t="n">
        <x:v>5.380066170346254e-9</x:v>
      </x:c>
      <x:c r="R93" s="34" t="n">
        <x:v>2.3902666512753967e-9</x:v>
      </x:c>
      <x:c r="S93" s="34" t="n">
        <x:v>1.0665741734250389e-9</x:v>
      </x:c>
      <x:c r="T93" s="34" t="n">
        <x:v>1.2194802945231231e-9</x:v>
      </x:c>
      <x:c r="U93" s="31" t="str">
        <x:v>Candidate surface form is directly representable in the public Ngram interface. New unsmoothed 1842–2022 series retrieved for the candidate audit.</x:v>
      </x:c>
      <x:c r="V93" s="31" t="str">
        <x:v>NO_STANDALONE_HEADWORD</x:v>
      </x:c>
      <x:c r="W93" s="19" t="str">
        <x:v>Component lexical analysis plus anchor-source contextual meaning</x:v>
      </x:c>
      <x:c r="X93" s="31" t="str">
        <x:v>The candidate's affective or evaluative sense as used by the documented speaker/instrument/research voice at the anchor.</x:v>
      </x:c>
      <x:c r="Y93" s="31" t="str">
        <x:v>Concern expressed or endorsed by an identifiable person about a climate or heat object; the candidate is interpreted in its documented anchor and voice context.</x:v>
      </x:c>
      <x:c r="Z93" s="31" t="str">
        <x:v>STRONG</x:v>
      </x:c>
      <x:c r="AA93" s="19" t="str">
        <x:v>The surface form may realize multiple senses; candidate meaning remains anchored to the report-visible source context.</x:v>
      </x:c>
      <x:c r="AB93" s="31" t="str">
        <x:v>Secondary: Component headword checked: strong.;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https://api.dictionaryapi.dev/api/v2/entries/en/evidence%20is%20pretty%20strong; https://websters1913.timcieplowski.com/word/strong/</x:v>
      </x:c>
      <x:c r="AC93" s="19" t="str">
        <x:v>INTERNET_ARCHIVE_METADATA_TEXT_ITEM_COUNT</x:v>
      </x:c>
      <x:c r="AD93" s="19" t="str">
        <x:v>"evidence is pretty strong" AND mediatype:texts</x:v>
      </x:c>
      <x:c r="AE93" s="31" t="str">
        <x:v>EXACT_PHRASE</x:v>
      </x:c>
      <x:c r="AF93" s="31" t="str">
        <x:v>COMPLETED_ZERO</x:v>
      </x:c>
      <x:c r="AG93" s="28" t="n">
        <x:v>0</x:v>
      </x:c>
      <x:c r="AH93" s="19" t="str">
        <x:v>0</x:v>
      </x:c>
      <x:c r="AI93" s="19" t="str">
        <x:v>2026-08-26</x:v>
      </x:c>
      <x:c r="AJ93" s="31" t="str">
        <x:v>Metadata text-item count; not a full-text lexical frequency. Secondary metric: NOT_RUN_OPENALEX_DAILY_BUDGET_EXHAUSTED: shared provider response retained; no count fabricated.</x:v>
      </x:c>
      <x:c r="AK93" s="31" t="str">
        <x:v>FULLY_COVERED</x:v>
      </x:c>
      <x:c r="AL93" s="19" t="str">
        <x:v>PENDING_SOURCE_REVIEW</x:v>
      </x:c>
      <x:c r="AM93" s="20" t="str">
        <x:v>MEDIUM</x:v>
      </x:c>
    </x:row>
    <x:row r="94" ht="34" customHeight="1">
      <x:c r="A94" s="25" t="str">
        <x:v>FT-SEED-R1B-P-1988-30</x:v>
      </x:c>
      <x:c r="B94" s="19" t="str">
        <x:v>1988</x:v>
      </x:c>
      <x:c r="C94" s="28" t="n">
        <x:v>30</x:v>
      </x:c>
      <x:c r="D94" s="31" t="str">
        <x:v>too much carbon dioxide is dangerous</x:v>
      </x:c>
      <x:c r="E94" s="31" t="str">
        <x:v>atmospheric carbon dioxide</x:v>
      </x:c>
      <x:c r="F94" s="19" t="str">
        <x:v>carbon_greenhouse</x:v>
      </x:c>
      <x:c r="G94" s="19" t="str">
        <x:v>D</x:v>
      </x:c>
      <x:c r="H94" s="19" t="str">
        <x:v>V3</x:v>
      </x:c>
      <x:c r="I94" s="19" t="str">
        <x:v>NOT_EXPOSED_IN_REPORT</x:v>
      </x:c>
      <x:c r="J94" s="19" t="str">
        <x:v>S1988-EVENINGSTANDARD</x:v>
      </x:c>
      <x:c r="K94" s="31" t="str">
        <x:v>RECONSTRUCTED_FROM_REPORT; Fear of Temperature_ Stratified Lexical Expansion, Voice Mapping, and Semantic-Relational Pre-Valida.pdf; p.9; project candidate FT-SEED-R1B-P-1988-30; original visible ID not available</x:v>
      </x:c>
      <x:c r="L94" s="31" t="str">
        <x:v>ZERO_RESPONSE_NEW</x:v>
      </x:c>
      <x:c r="M94" s="31" t="str">
        <x:v>too much carbon dioxide is dangerous</x:v>
      </x:c>
      <x:c r="N94" s="31" t="str">
        <x:v>EXACT</x:v>
      </x:c>
      <x:c r="O94" s="19" t="str">
        <x:v>NOT_APPLICABLE</x:v>
      </x:c>
      <x:c r="P94" s="19" t="str">
        <x:v>NOT_APPLICABLE</x:v>
      </x:c>
      <x:c r="Q94" s="34" t="str">
        <x:v>NOT_APPLICABLE</x:v>
      </x:c>
      <x:c r="R94" s="34" t="str">
        <x:v>NOT_APPLICABLE</x:v>
      </x:c>
      <x:c r="S94" s="34" t="str">
        <x:v>NOT_APPLICABLE</x:v>
      </x:c>
      <x:c r="T94" s="34" t="str">
        <x:v>NOT_APPLICABLE</x:v>
      </x:c>
      <x:c r="U94" s="31" t="str">
        <x:v>Candidate surface form is directly representable in the public Ngram interface. The public Ngram endpoint returned an empty list; retained without fabricating annual zero frequencies.</x:v>
      </x:c>
      <x:c r="V94" s="31" t="str">
        <x:v>NO_STANDALONE_HEADWORD</x:v>
      </x:c>
      <x:c r="W94" s="19" t="str">
        <x:v>Component lexical analysis plus anchor-source contextual meaning</x:v>
      </x:c>
      <x:c r="X94" s="31" t="str">
        <x:v>A threat, risk, harm, severity, or consequence sense in the documented source; it is not automatically an emotion.</x:v>
      </x:c>
      <x:c r="Y94" s="31" t="str">
        <x:v>Carbon dioxide as an atmospheric constituent; the candidate is interpreted in its documented anchor and voice context.</x:v>
      </x:c>
      <x:c r="Z94" s="31" t="str">
        <x:v>STRONG</x:v>
      </x:c>
      <x:c r="AA94" s="19" t="str">
        <x:v>The surface form may realize multiple senses; candidate meaning remains anchored to the report-visible source context.</x:v>
      </x:c>
      <x:c r="AB94" s="31" t="str">
        <x:v>Secondary: Component headword checked: dangerous.; historical: Anchor-period research source/context; Webster 1913 stable component URL recorded but automated page retrieval was unavailable; source: Fear of Temperature_ Stratified Lexical Expansion, Voice Mapping, and Semantic-Relational Pre-Valida.pdf#page=9; https://api.dictionaryapi.dev/api/v2/entries/en/too%20much%20carbon%20dioxide%20is%20dangerous; https://websters1913.timcieplowski.com/word/dangerous/</x:v>
      </x:c>
      <x:c r="AC94" s="19" t="str">
        <x:v>INTERNET_ARCHIVE_METADATA_TEXT_ITEM_COUNT</x:v>
      </x:c>
      <x:c r="AD94" s="19" t="str">
        <x:v>"too much carbon dioxide is dangerous" AND mediatype:texts</x:v>
      </x:c>
      <x:c r="AE94" s="31" t="str">
        <x:v>EXACT_PHRASE</x:v>
      </x:c>
      <x:c r="AF94" s="31" t="str">
        <x:v>COMPLETED_ZERO</x:v>
      </x:c>
      <x:c r="AG94" s="28" t="n">
        <x:v>0</x:v>
      </x:c>
      <x:c r="AH94" s="19" t="str">
        <x:v>0</x:v>
      </x:c>
      <x:c r="AI94" s="19" t="str">
        <x:v>2026-08-26</x:v>
      </x:c>
      <x:c r="AJ94" s="31" t="str">
        <x:v>Metadata text-item count; not a full-text lexical frequency. Secondary metric: NOT_RUN_OPENALEX_DAILY_BUDGET_EXHAUSTED: shared provider response retained; no count fabricated.</x:v>
      </x:c>
      <x:c r="AK94" s="31" t="str">
        <x:v>FULLY_COVERED</x:v>
      </x:c>
      <x:c r="AL94" s="19" t="str">
        <x:v>PENDING_SOURCE_REVIEW</x:v>
      </x:c>
      <x:c r="AM94" s="20" t="str">
        <x:v>MEDIUM</x:v>
      </x:c>
    </x:row>
    <x:row r="95" ht="34" customHeight="1">
      <x:c r="A95" s="25" t="str">
        <x:v>FT-SEED-R1B-P-0607-01</x:v>
      </x:c>
      <x:c r="B95" s="19" t="str">
        <x:v>2006–2007</x:v>
      </x:c>
      <x:c r="C95" s="28" t="n">
        <x:v>1</x:v>
      </x:c>
      <x:c r="D95" s="31" t="str">
        <x:v>warming of the climate system</x:v>
      </x:c>
      <x:c r="E95" s="31" t="str">
        <x:v>climate-system warming</x:v>
      </x:c>
      <x:c r="F95" s="19" t="str">
        <x:v>warming</x:v>
      </x:c>
      <x:c r="G95" s="19" t="str">
        <x:v>A</x:v>
      </x:c>
      <x:c r="H95" s="19" t="str">
        <x:v>V1</x:v>
      </x:c>
      <x:c r="I95" s="19" t="str">
        <x:v>NOT_EXPOSED_IN_REPORT</x:v>
      </x:c>
      <x:c r="J95" s="19" t="str">
        <x:v>S0607-IPCC</x:v>
      </x:c>
      <x:c r="K95" s="31" t="str">
        <x:v>RECONSTRUCTED_FROM_REPORT; Fear of Temperature_ Stratified Lexical Expansion, Voice Mapping, and Semantic-Relational Pre-Valida.pdf; p.10; project candidate FT-SEED-R1B-P-0607-01; original visible ID not available</x:v>
      </x:c>
      <x:c r="L95" s="31" t="str">
        <x:v>SUCCEEDED_REUSED_BASELINE</x:v>
      </x:c>
      <x:c r="M95" s="31" t="str">
        <x:v>warming of the climate system</x:v>
      </x:c>
      <x:c r="N95" s="31" t="str">
        <x:v>EXACT</x:v>
      </x:c>
      <x:c r="O95" s="19" t="str">
        <x:v>1949</x:v>
      </x:c>
      <x:c r="P95" s="19" t="str">
        <x:v>2008</x:v>
      </x:c>
      <x:c r="Q95" s="34" t="n">
        <x:v>1.7286482467682163e-8</x:v>
      </x:c>
      <x:c r="R95" s="34" t="n">
        <x:v>4.110638524013055e-9</x:v>
      </x:c>
      <x:c r="S95" s="34" t="n">
        <x:v>6.480305066863812e-9</x:v>
      </x:c>
      <x:c r="T95" s="34" t="n">
        <x:v>4.8928221474398015e-9</x:v>
      </x:c>
      <x:c r="U95" s="31" t="str">
        <x:v>Candidate surface form is directly representable in the public Ngram interface. Complete 1842–2022 unsmoothed series reused from the audited quantitative-v0.1 baseline.</x:v>
      </x:c>
      <x:c r="V95" s="31" t="str">
        <x:v>TECHNICAL_GLOSSARY</x:v>
      </x:c>
      <x:c r="W95" s="19" t="str">
        <x:v>IPCC climate-science glossary / assessment terminology</x:v>
      </x:c>
      <x:c r="X95" s="31" t="str">
        <x:v>A physical temperature, warming, heat, or measurement sense in the documented anchor context.</x:v>
      </x:c>
      <x:c r="Y95" s="31" t="str">
        <x:v>Warming attributed to or observed across the climate system; the candidate is interpreted in its documented anchor and voice context.</x:v>
      </x:c>
      <x:c r="Z95" s="31" t="str">
        <x:v>STRONG</x:v>
      </x:c>
      <x:c r="AA95" s="19" t="str">
        <x:v>The surface form may realize multiple senses; candidate meaning remains anchored to the report-visible source context.</x:v>
      </x:c>
      <x:c r="AB95" s="31" t="str">
        <x:v>Secondary: Component headword checked: system.; historical: Anchor-period research source/context; Webster 1913 stable component URL recorded but automated page retrieval was unavailable; source: https://www.ipcc.ch/site/assets/uploads/2018/02/WGIIAR5-AnnexII_FINAL.pdf; https://api.dictionaryapi.dev/api/v2/entries/en/warming%20of%20the%20climate%20system; https://websters1913.timcieplowski.com/word/system/</x:v>
      </x:c>
      <x:c r="AC95" s="19" t="str">
        <x:v>INTERNET_ARCHIVE_METADATA_TEXT_ITEM_COUNT</x:v>
      </x:c>
      <x:c r="AD95" s="19" t="str">
        <x:v>"warming of the climate system" AND mediatype:texts</x:v>
      </x:c>
      <x:c r="AE95" s="31" t="str">
        <x:v>EXACT_PHRASE</x:v>
      </x:c>
      <x:c r="AF95" s="31" t="str">
        <x:v>COMPLETED_NONZERO</x:v>
      </x:c>
      <x:c r="AG95" s="28" t="n">
        <x:v>3</x:v>
      </x:c>
      <x:c r="AH95" s="19" t="str">
        <x:v>0</x:v>
      </x:c>
      <x:c r="AI95" s="19" t="str">
        <x:v>2026-08-26</x:v>
      </x:c>
      <x:c r="AJ95" s="31" t="str">
        <x:v>Metadata text-item count; not a full-text lexical frequency. Secondary metric: NOT_RUN_OPENALEX_DAILY_BUDGET_EXHAUSTED: shared provider response retained; no count fabricated.</x:v>
      </x:c>
      <x:c r="AK95" s="31" t="str">
        <x:v>FULLY_COVERED</x:v>
      </x:c>
      <x:c r="AL95" s="19" t="str">
        <x:v>PENDING_SOURCE_REVIEW</x:v>
      </x:c>
      <x:c r="AM95" s="20" t="str">
        <x:v>MEDIUM</x:v>
      </x:c>
    </x:row>
    <x:row r="96" ht="34" customHeight="1">
      <x:c r="A96" s="25" t="str">
        <x:v>FT-SEED-R1B-P-0607-02</x:v>
      </x:c>
      <x:c r="B96" s="19" t="str">
        <x:v>2006–2007</x:v>
      </x:c>
      <x:c r="C96" s="28" t="n">
        <x:v>2</x:v>
      </x:c>
      <x:c r="D96" s="31" t="str">
        <x:v>unequivocal</x:v>
      </x:c>
      <x:c r="E96" s="31" t="str">
        <x:v>historical climate / climatological condition</x:v>
      </x:c>
      <x:c r="F96" s="19" t="str">
        <x:v>climate</x:v>
      </x:c>
      <x:c r="G96" s="19" t="str">
        <x:v>B</x:v>
      </x:c>
      <x:c r="H96" s="19" t="str">
        <x:v>V1</x:v>
      </x:c>
      <x:c r="I96" s="19" t="str">
        <x:v>NOT_EXPOSED_IN_REPORT</x:v>
      </x:c>
      <x:c r="J96" s="19" t="str">
        <x:v>S0607-IPCC</x:v>
      </x:c>
      <x:c r="K96" s="31" t="str">
        <x:v>RECONSTRUCTED_FROM_REPORT; Fear of Temperature_ Stratified Lexical Expansion, Voice Mapping, and Semantic-Relational Pre-Valida.pdf; p.10; project candidate FT-SEED-R1B-P-0607-02; original visible ID not available</x:v>
      </x:c>
      <x:c r="L96" s="31" t="str">
        <x:v>SUCCEEDED_REUSED_BASELINE</x:v>
      </x:c>
      <x:c r="M96" s="31" t="str">
        <x:v>unequivocal</x:v>
      </x:c>
      <x:c r="N96" s="31" t="str">
        <x:v>EXACT</x:v>
      </x:c>
      <x:c r="O96" s="19" t="str">
        <x:v>1842</x:v>
      </x:c>
      <x:c r="P96" s="19" t="str">
        <x:v>1844</x:v>
      </x:c>
      <x:c r="Q96" s="34" t="n">
        <x:v>0.000002493547962445497</x:v>
      </x:c>
      <x:c r="R96" s="34" t="n">
        <x:v>0.0000011813608685184995</x:v>
      </x:c>
      <x:c r="S96" s="34" t="n">
        <x:v>0.0000011878409533205847</x:v>
      </x:c>
      <x:c r="T96" s="34" t="n">
        <x:v>9.735799887389263e-7</x:v>
      </x:c>
      <x:c r="U96" s="31" t="str">
        <x:v>Candidate surface form is directly representable in the public Ngram interface. Complete 1842–2022 unsmoothed series reused from the audited quantitative-v0.1 baseline.</x:v>
      </x:c>
      <x:c r="V96" s="31" t="str">
        <x:v>DIRECT_HEADWORD</x:v>
      </x:c>
      <x:c r="W96" s="19" t="str">
        <x:v>Webster's Revised Unabridged Dictionary (1913 public-domain headword index)</x:v>
      </x:c>
      <x:c r="X96" s="31" t="str">
        <x:v>A climatic, atmospheric, meteorological, or causal-science sense in the documented anchor context.</x:v>
      </x:c>
      <x:c r="Y96" s="31" t="str">
        <x:v>Climate as a historical, geographical, seasonal, or climatological condition; the candidate is interpreted in its documented anchor and voice context.</x:v>
      </x:c>
      <x:c r="Z96" s="31" t="str">
        <x:v>STRONG</x:v>
      </x:c>
      <x:c r="AA96" s="19" t="str">
        <x:v>The surface form may realize multiple senses; candidate meaning remains anchored to the report-visible source context.</x:v>
      </x:c>
      <x:c r="AB96" s="31" t="str">
        <x:v>Secondary: Component headword checked: unequivocal.; historical: Anchor-period research source/context; Webster 1913 stable component URL recorded but automated page retrieval was unavailable; source: https://websters1913.timcieplowski.com/word/unequivocal/; https://api.dictionaryapi.dev/api/v2/entries/en/unequivocal</x:v>
      </x:c>
      <x:c r="AC96" s="19" t="str">
        <x:v>INTERNET_ARCHIVE_METADATA_TEXT_ITEM_COUNT</x:v>
      </x:c>
      <x:c r="AD96" s="19" t="str">
        <x:v>"unequivocal" AND mediatype:texts</x:v>
      </x:c>
      <x:c r="AE96" s="31" t="str">
        <x:v>EXACT_PHRASE</x:v>
      </x:c>
      <x:c r="AF96" s="31" t="str">
        <x:v>COMPLETED_NONZERO</x:v>
      </x:c>
      <x:c r="AG96" s="28" t="n">
        <x:v>919</x:v>
      </x:c>
      <x:c r="AH96" s="19" t="str">
        <x:v>58</x:v>
      </x:c>
      <x:c r="AI96" s="19" t="str">
        <x:v>2026-08-26</x:v>
      </x:c>
      <x:c r="AJ96" s="31" t="str">
        <x:v>Metadata text-item count; not a full-text lexical frequency. Secondary metric: NOT_RUN_OPENALEX_DAILY_BUDGET_EXHAUSTED: shared provider response retained; no count fabricated.</x:v>
      </x:c>
      <x:c r="AK96" s="31" t="str">
        <x:v>FULLY_COVERED</x:v>
      </x:c>
      <x:c r="AL96" s="19" t="str">
        <x:v>PENDING_SOURCE_REVIEW</x:v>
      </x:c>
      <x:c r="AM96" s="20" t="str">
        <x:v>MEDIUM</x:v>
      </x:c>
    </x:row>
    <x:row r="97" ht="34" customHeight="1">
      <x:c r="A97" s="25" t="str">
        <x:v>FT-SEED-R1B-P-0607-03</x:v>
      </x:c>
      <x:c r="B97" s="19" t="str">
        <x:v>2006–2007</x:v>
      </x:c>
      <x:c r="C97" s="28" t="n">
        <x:v>3</x:v>
      </x:c>
      <x:c r="D97" s="31" t="str">
        <x:v>global average air and ocean temperatures</x:v>
      </x:c>
      <x:c r="E97" s="31" t="str">
        <x:v>global aggregate temperature</x:v>
      </x:c>
      <x:c r="F97" s="19" t="str">
        <x:v>temperature_threshold</x:v>
      </x:c>
      <x:c r="G97" s="19" t="str">
        <x:v>A</x:v>
      </x:c>
      <x:c r="H97" s="19" t="str">
        <x:v>V1</x:v>
      </x:c>
      <x:c r="I97" s="19" t="str">
        <x:v>NOT_EXPOSED_IN_REPORT</x:v>
      </x:c>
      <x:c r="J97" s="19" t="str">
        <x:v>S0607-IPCC</x:v>
      </x:c>
      <x:c r="K97" s="31" t="str">
        <x:v>RECONSTRUCTED_FROM_REPORT; Fear of Temperature_ Stratified Lexical Expansion, Voice Mapping, and Semantic-Relational Pre-Valida.pdf; p.10; project candidate FT-SEED-R1B-P-0607-03; original visible ID not available</x:v>
      </x:c>
      <x:c r="L97" s="31" t="str">
        <x:v>SUCCEEDED_REUSED_BASELINE</x:v>
      </x:c>
      <x:c r="M97" s="31" t="str">
        <x:v>global average air and ocean temperatures</x:v>
      </x:c>
      <x:c r="N97" s="31" t="str">
        <x:v>EXACT</x:v>
      </x:c>
      <x:c r="O97" s="19" t="str">
        <x:v>1949</x:v>
      </x:c>
      <x:c r="P97" s="19" t="str">
        <x:v>2010</x:v>
      </x:c>
      <x:c r="Q97" s="34" t="n">
        <x:v>9.683230217660821e-9</x:v>
      </x:c>
      <x:c r="R97" s="34" t="n">
        <x:v>2.0195753541729644e-9</x:v>
      </x:c>
      <x:c r="S97" s="34" t="n">
        <x:v>3.239182859438028e-9</x:v>
      </x:c>
      <x:c r="T97" s="34" t="n">
        <x:v>9.299532255369058e-10</x:v>
      </x:c>
      <x:c r="U97" s="31" t="str">
        <x:v>Candidate surface form is directly representable in the public Ngram interface. Complete 1842–2022 unsmoothed series reused from the audited quantitative-v0.1 baseline.</x:v>
      </x:c>
      <x:c r="V97" s="31" t="str">
        <x:v>TECHNICAL_GLOSSARY</x:v>
      </x:c>
      <x:c r="W97" s="19" t="str">
        <x:v>IPCC climate-science glossary / assessment terminology</x:v>
      </x:c>
      <x:c r="X97" s="31" t="str">
        <x:v>A physical temperature, warming, heat, or measurement sense in the documented anchor context.</x:v>
      </x:c>
      <x:c r="Y97" s="31" t="str">
        <x:v>A global-scale aggregate temperature metric; the candidate is interpreted in its documented anchor and voice context.</x:v>
      </x:c>
      <x:c r="Z97" s="31" t="str">
        <x:v>STRONG</x:v>
      </x:c>
      <x:c r="AA97" s="19" t="str">
        <x:v>The surface form may realize multiple senses; candidate meaning remains anchored to the report-visible source context.</x:v>
      </x:c>
      <x:c r="AB97" s="31" t="str">
        <x:v>Secondary: Component headword checked: temperatures.; historical: Anchor-period research source/context; Webster 1913 stable component URL recorded but automated page retrieval was unavailable; source: https://www.ipcc.ch/site/assets/uploads/2018/02/WGIIAR5-AnnexII_FINAL.pdf; https://api.dictionaryapi.dev/api/v2/entries/en/global%20average%20air%20and%20ocean%20temperatures; https://websters1913.timcieplowski.com/word/temperatures/</x:v>
      </x:c>
      <x:c r="AC97" s="19" t="str">
        <x:v>INTERNET_ARCHIVE_METADATA_TEXT_ITEM_COUNT</x:v>
      </x:c>
      <x:c r="AD97" s="19" t="str">
        <x:v>"global average air and ocean temperatures" AND mediatype:texts</x:v>
      </x:c>
      <x:c r="AE97" s="31" t="str">
        <x:v>EXACT_PHRASE</x:v>
      </x:c>
      <x:c r="AF97" s="31" t="str">
        <x:v>COMPLETED_ZERO</x:v>
      </x:c>
      <x:c r="AG97" s="28" t="n">
        <x:v>0</x:v>
      </x:c>
      <x:c r="AH97" s="19" t="str">
        <x:v>0</x:v>
      </x:c>
      <x:c r="AI97" s="19" t="str">
        <x:v>2026-08-26</x:v>
      </x:c>
      <x:c r="AJ97" s="31" t="str">
        <x:v>Metadata text-item count; not a full-text lexical frequency. Secondary metric: NOT_RUN_OPENALEX_DAILY_BUDGET_EXHAUSTED: shared provider response retained; no count fabricated.</x:v>
      </x:c>
      <x:c r="AK97" s="31" t="str">
        <x:v>FULLY_COVERED</x:v>
      </x:c>
      <x:c r="AL97" s="19" t="str">
        <x:v>PENDING_SOURCE_REVIEW</x:v>
      </x:c>
      <x:c r="AM97" s="20" t="str">
        <x:v>MEDIUM</x:v>
      </x:c>
    </x:row>
    <x:row r="98" ht="34" customHeight="1">
      <x:c r="A98" s="25" t="str">
        <x:v>FT-SEED-R1B-P-0607-04</x:v>
      </x:c>
      <x:c r="B98" s="19" t="str">
        <x:v>2006–2007</x:v>
      </x:c>
      <x:c r="C98" s="28" t="n">
        <x:v>4</x:v>
      </x:c>
      <x:c r="D98" s="31" t="str">
        <x:v>global surface temperature</x:v>
      </x:c>
      <x:c r="E98" s="31" t="str">
        <x:v>global aggregate temperature</x:v>
      </x:c>
      <x:c r="F98" s="19" t="str">
        <x:v>temperature_threshold</x:v>
      </x:c>
      <x:c r="G98" s="19" t="str">
        <x:v>A</x:v>
      </x:c>
      <x:c r="H98" s="19" t="str">
        <x:v>V1</x:v>
      </x:c>
      <x:c r="I98" s="19" t="str">
        <x:v>NOT_EXPOSED_IN_REPORT</x:v>
      </x:c>
      <x:c r="J98" s="19" t="str">
        <x:v>S0607-IPCC</x:v>
      </x:c>
      <x:c r="K98" s="31" t="str">
        <x:v>RECONSTRUCTED_FROM_REPORT; Fear of Temperature_ Stratified Lexical Expansion, Voice Mapping, and Semantic-Relational Pre-Valida.pdf; p.10; project candidate FT-SEED-R1B-P-0607-04; original visible ID not available</x:v>
      </x:c>
      <x:c r="L98" s="31" t="str">
        <x:v>SUCCEEDED_REUSED_BASELINE</x:v>
      </x:c>
      <x:c r="M98" s="31" t="str">
        <x:v>global surface temperature</x:v>
      </x:c>
      <x:c r="N98" s="31" t="str">
        <x:v>EXACT</x:v>
      </x:c>
      <x:c r="O98" s="19" t="str">
        <x:v>1869</x:v>
      </x:c>
      <x:c r="P98" s="19" t="str">
        <x:v>2022</x:v>
      </x:c>
      <x:c r="Q98" s="34" t="n">
        <x:v>3.419688007766375e-8</x:v>
      </x:c>
      <x:c r="R98" s="34" t="n">
        <x:v>1.4327226731392084e-8</x:v>
      </x:c>
      <x:c r="S98" s="34" t="n">
        <x:v>1.659791600341909e-8</x:v>
      </x:c>
      <x:c r="T98" s="34" t="n">
        <x:v>3.419688007766375e-8</x:v>
      </x:c>
      <x:c r="U98" s="31" t="str">
        <x:v>Candidate surface form is directly representable in the public Ngram interface. Complete 1842–2022 unsmoothed series reused from the audited quantitative-v0.1 baseline.</x:v>
      </x:c>
      <x:c r="V98" s="31" t="str">
        <x:v>TECHNICAL_GLOSSARY</x:v>
      </x:c>
      <x:c r="W98" s="19" t="str">
        <x:v>IPCC climate-science glossary / assessment terminology</x:v>
      </x:c>
      <x:c r="X98" s="31" t="str">
        <x:v>A physical temperature, warming, heat, or measurement sense in the documented anchor context.</x:v>
      </x:c>
      <x:c r="Y98" s="31" t="str">
        <x:v>A global-scale aggregate temperature metric; the candidate is interpreted in its documented anchor and voice context.</x:v>
      </x:c>
      <x:c r="Z98" s="31" t="str">
        <x:v>STRONG</x:v>
      </x:c>
      <x:c r="AA98" s="19" t="str">
        <x:v>The surface form may realize multiple senses; candidate meaning remains anchored to the report-visible source context.</x:v>
      </x:c>
      <x:c r="AB98"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https://api.dictionaryapi.dev/api/v2/entries/en/global%20surface%20temperature; https://websters1913.timcieplowski.com/word/temperature/</x:v>
      </x:c>
      <x:c r="AC98" s="19" t="str">
        <x:v>INTERNET_ARCHIVE_METADATA_TEXT_ITEM_COUNT</x:v>
      </x:c>
      <x:c r="AD98" s="19" t="str">
        <x:v>"global surface temperature" AND mediatype:texts</x:v>
      </x:c>
      <x:c r="AE98" s="31" t="str">
        <x:v>EXACT_PHRASE</x:v>
      </x:c>
      <x:c r="AF98" s="31" t="str">
        <x:v>COMPLETED_NONZERO</x:v>
      </x:c>
      <x:c r="AG98" s="28" t="n">
        <x:v>34</x:v>
      </x:c>
      <x:c r="AH98" s="19" t="str">
        <x:v>2</x:v>
      </x:c>
      <x:c r="AI98" s="19" t="str">
        <x:v>2026-08-26</x:v>
      </x:c>
      <x:c r="AJ98" s="31" t="str">
        <x:v>Metadata text-item count; not a full-text lexical frequency. Secondary metric: NOT_RUN_OPENALEX_DAILY_BUDGET_EXHAUSTED: shared provider response retained; no count fabricated.</x:v>
      </x:c>
      <x:c r="AK98" s="31" t="str">
        <x:v>FULLY_COVERED</x:v>
      </x:c>
      <x:c r="AL98" s="19" t="str">
        <x:v>PENDING_SOURCE_REVIEW</x:v>
      </x:c>
      <x:c r="AM98" s="20" t="str">
        <x:v>MEDIUM</x:v>
      </x:c>
    </x:row>
    <x:row r="99" ht="34" customHeight="1">
      <x:c r="A99" s="25" t="str">
        <x:v>FT-SEED-R1B-P-0607-05</x:v>
      </x:c>
      <x:c r="B99" s="19" t="str">
        <x:v>2006–2007</x:v>
      </x:c>
      <x:c r="C99" s="28" t="n">
        <x:v>5</x:v>
      </x:c>
      <x:c r="D99" s="31" t="str">
        <x:v>temperature increase</x:v>
      </x:c>
      <x:c r="E99" s="31" t="str">
        <x:v>temperature increase</x:v>
      </x:c>
      <x:c r="F99" s="19" t="str">
        <x:v>warming</x:v>
      </x:c>
      <x:c r="G99" s="19" t="str">
        <x:v>A</x:v>
      </x:c>
      <x:c r="H99" s="19" t="str">
        <x:v>V1</x:v>
      </x:c>
      <x:c r="I99" s="19" t="str">
        <x:v>NOT_EXPOSED_IN_REPORT</x:v>
      </x:c>
      <x:c r="J99" s="19" t="str">
        <x:v>S0607-IPCC</x:v>
      </x:c>
      <x:c r="K99" s="31" t="str">
        <x:v>RECONSTRUCTED_FROM_REPORT; Fear of Temperature_ Stratified Lexical Expansion, Voice Mapping, and Semantic-Relational Pre-Valida.pdf; p.10; project candidate FT-SEED-R1B-P-0607-05; original visible ID not available</x:v>
      </x:c>
      <x:c r="L99" s="31" t="str">
        <x:v>SUCCEEDED_REUSED_BASELINE</x:v>
      </x:c>
      <x:c r="M99" s="31" t="str">
        <x:v>temperature increase</x:v>
      </x:c>
      <x:c r="N99" s="31" t="str">
        <x:v>EXACT</x:v>
      </x:c>
      <x:c r="O99" s="19" t="str">
        <x:v>1842</x:v>
      </x:c>
      <x:c r="P99" s="19" t="str">
        <x:v>2012</x:v>
      </x:c>
      <x:c r="Q99" s="34" t="n">
        <x:v>4.5873130977147625e-7</x:v>
      </x:c>
      <x:c r="R99" s="34" t="n">
        <x:v>3.1799401488397105e-7</x:v>
      </x:c>
      <x:c r="S99" s="34" t="n">
        <x:v>3.186941229353646e-7</x:v>
      </x:c>
      <x:c r="T99" s="34" t="n">
        <x:v>3.5537879566893693e-7</x:v>
      </x:c>
      <x:c r="U99" s="31" t="str">
        <x:v>Candidate surface form is directly representable in the public Ngram interface. Complete 1842–2022 unsmoothed series reused from the audited quantitative-v0.1 baseline.</x:v>
      </x:c>
      <x:c r="V99" s="31" t="str">
        <x:v>TECHNICAL_GLOSSARY</x:v>
      </x:c>
      <x:c r="W99" s="19" t="str">
        <x:v>IPCC climate-science glossary / assessment terminology</x:v>
      </x:c>
      <x:c r="X99" s="31" t="str">
        <x:v>A physical temperature, warming, heat, or measurement sense in the documented anchor context.</x:v>
      </x:c>
      <x:c r="Y99" s="31" t="str">
        <x:v>An observed, estimated, or projected increase in temperature; the candidate is interpreted in its documented anchor and voice context.</x:v>
      </x:c>
      <x:c r="Z99" s="31" t="str">
        <x:v>STRONG</x:v>
      </x:c>
      <x:c r="AA99" s="19" t="str">
        <x:v>The surface form may realize multiple senses; candidate meaning remains anchored to the report-visible source context.</x:v>
      </x:c>
      <x:c r="AB99" s="31" t="str">
        <x:v>Secondary: Component headword checked: increase.; historical: Anchor-period research source/context; Webster 1913 stable component URL recorded but automated page retrieval was unavailable; source: https://www.ipcc.ch/site/assets/uploads/2018/02/WGIIAR5-AnnexII_FINAL.pdf; https://api.dictionaryapi.dev/api/v2/entries/en/temperature%20increase; https://websters1913.timcieplowski.com/word/increase/</x:v>
      </x:c>
      <x:c r="AC99" s="19" t="str">
        <x:v>INTERNET_ARCHIVE_METADATA_TEXT_ITEM_COUNT</x:v>
      </x:c>
      <x:c r="AD99" s="19" t="str">
        <x:v>"temperature increase" AND mediatype:texts</x:v>
      </x:c>
      <x:c r="AE99" s="31" t="str">
        <x:v>EXACT_PHRASE</x:v>
      </x:c>
      <x:c r="AF99" s="31" t="str">
        <x:v>COMPLETED_NONZERO</x:v>
      </x:c>
      <x:c r="AG99" s="28" t="n">
        <x:v>442</x:v>
      </x:c>
      <x:c r="AH99" s="19" t="str">
        <x:v>29</x:v>
      </x:c>
      <x:c r="AI99" s="19" t="str">
        <x:v>2026-08-26</x:v>
      </x:c>
      <x:c r="AJ99" s="31" t="str">
        <x:v>Metadata text-item count; not a full-text lexical frequency. Secondary metric: NOT_RUN_OPENALEX_DAILY_BUDGET_EXHAUSTED: shared provider response retained; no count fabricated.</x:v>
      </x:c>
      <x:c r="AK99" s="31" t="str">
        <x:v>FULLY_COVERED</x:v>
      </x:c>
      <x:c r="AL99" s="19" t="str">
        <x:v>PENDING_SOURCE_REVIEW</x:v>
      </x:c>
      <x:c r="AM99" s="20" t="str">
        <x:v>MEDIUM</x:v>
      </x:c>
    </x:row>
    <x:row r="100" ht="34" customHeight="1">
      <x:c r="A100" s="25" t="str">
        <x:v>FT-SEED-R1B-P-0607-06</x:v>
      </x:c>
      <x:c r="B100" s="19" t="str">
        <x:v>2006–2007</x:v>
      </x:c>
      <x:c r="C100" s="28" t="n">
        <x:v>6</x:v>
      </x:c>
      <x:c r="D100" s="31" t="str">
        <x:v>rising global average sea level</x:v>
      </x:c>
      <x:c r="E100" s="31" t="str">
        <x:v>generic damage</x:v>
      </x:c>
      <x:c r="F100" s="19" t="str">
        <x:v>harm_loss_consequences</x:v>
      </x:c>
      <x:c r="G100" s="19" t="str">
        <x:v>D</x:v>
      </x:c>
      <x:c r="H100" s="19" t="str">
        <x:v>V1</x:v>
      </x:c>
      <x:c r="I100" s="19" t="str">
        <x:v>NOT_EXPOSED_IN_REPORT</x:v>
      </x:c>
      <x:c r="J100" s="19" t="str">
        <x:v>S0607-IPCC</x:v>
      </x:c>
      <x:c r="K100" s="31" t="str">
        <x:v>RECONSTRUCTED_FROM_REPORT; Fear of Temperature_ Stratified Lexical Expansion, Voice Mapping, and Semantic-Relational Pre-Valida.pdf; p.10; project candidate FT-SEED-R1B-P-0607-06; original visible ID not available</x:v>
      </x:c>
      <x:c r="L100" s="31" t="str">
        <x:v>SUCCEEDED_REUSED_BASELINE</x:v>
      </x:c>
      <x:c r="M100" s="31" t="str">
        <x:v>rising global average sea level</x:v>
      </x:c>
      <x:c r="N100" s="31" t="str">
        <x:v>EXACT</x:v>
      </x:c>
      <x:c r="O100" s="19" t="str">
        <x:v>1953</x:v>
      </x:c>
      <x:c r="P100" s="19" t="str">
        <x:v>2008</x:v>
      </x:c>
      <x:c r="Q100" s="34" t="n">
        <x:v>6.8787042728502e-9</x:v>
      </x:c>
      <x:c r="R100" s="34" t="n">
        <x:v>1.1101318753148348e-9</x:v>
      </x:c>
      <x:c r="S100" s="34" t="n">
        <x:v>2.2895084612895023e-9</x:v>
      </x:c>
      <x:c r="T100" s="34" t="n">
        <x:v>6.523762641208464e-10</x:v>
      </x:c>
      <x:c r="U100" s="31" t="str">
        <x:v>Candidate surface form is directly representable in the public Ngram interface. Complete 1842–2022 unsmoothed series reused from the audited quantitative-v0.1 baseline.</x:v>
      </x:c>
      <x:c r="V100" s="31" t="str">
        <x:v>TECHNICAL_GLOSSARY</x:v>
      </x:c>
      <x:c r="W100" s="19" t="str">
        <x:v>IPCC climate-science glossary / assessment terminology</x:v>
      </x:c>
      <x:c r="X100" s="31" t="str">
        <x:v>A threat, risk, harm, severity, or consequence sense in the documented source; it is not automatically an emotion.</x:v>
      </x:c>
      <x:c r="Y100" s="31" t="str">
        <x:v>Generic material, ecological, or social damage; the candidate is interpreted in its documented anchor and voice context.</x:v>
      </x:c>
      <x:c r="Z100" s="31" t="str">
        <x:v>STRONG</x:v>
      </x:c>
      <x:c r="AA100" s="19" t="str">
        <x:v>The surface form may realize multiple senses; candidate meaning remains anchored to the report-visible source context.</x:v>
      </x:c>
      <x:c r="AB100" s="31" t="str">
        <x:v>Secondary: Component headword checked: level.; historical: Anchor-period research source/context; Webster 1913 stable component URL recorded but automated page retrieval was unavailable; source: https://www.ipcc.ch/site/assets/uploads/2018/02/WGIIAR5-AnnexII_FINAL.pdf; https://api.dictionaryapi.dev/api/v2/entries/en/rising%20global%20average%20sea%20level; https://websters1913.timcieplowski.com/word/level/</x:v>
      </x:c>
      <x:c r="AC100" s="19" t="str">
        <x:v>INTERNET_ARCHIVE_METADATA_TEXT_ITEM_COUNT</x:v>
      </x:c>
      <x:c r="AD100" s="19" t="str">
        <x:v>"rising global average sea level" AND mediatype:texts</x:v>
      </x:c>
      <x:c r="AE100" s="31" t="str">
        <x:v>EXACT_PHRASE</x:v>
      </x:c>
      <x:c r="AF100" s="31" t="str">
        <x:v>COMPLETED_ZERO</x:v>
      </x:c>
      <x:c r="AG100" s="28" t="n">
        <x:v>0</x:v>
      </x:c>
      <x:c r="AH100" s="19" t="str">
        <x:v>0</x:v>
      </x:c>
      <x:c r="AI100" s="19" t="str">
        <x:v>2026-08-26</x:v>
      </x:c>
      <x:c r="AJ100" s="31" t="str">
        <x:v>Metadata text-item count; not a full-text lexical frequency. Secondary metric: NOT_RUN_OPENALEX_DAILY_BUDGET_EXHAUSTED: shared provider response retained; no count fabricated.</x:v>
      </x:c>
      <x:c r="AK100" s="31" t="str">
        <x:v>FULLY_COVERED</x:v>
      </x:c>
      <x:c r="AL100" s="19" t="str">
        <x:v>PENDING_SOURCE_REVIEW</x:v>
      </x:c>
      <x:c r="AM100" s="20" t="str">
        <x:v>MEDIUM</x:v>
      </x:c>
    </x:row>
    <x:row r="101" ht="34" customHeight="1">
      <x:c r="A101" s="25" t="str">
        <x:v>FT-SEED-R1B-P-0607-07</x:v>
      </x:c>
      <x:c r="B101" s="19" t="str">
        <x:v>2006–2007</x:v>
      </x:c>
      <x:c r="C101" s="28" t="n">
        <x:v>7</x:v>
      </x:c>
      <x:c r="D101" s="31" t="str">
        <x:v>widespread melting of snow and ice</x:v>
      </x:c>
      <x:c r="E101" s="31" t="str">
        <x:v>generic damage</x:v>
      </x:c>
      <x:c r="F101" s="19" t="str">
        <x:v>harm_loss_consequences</x:v>
      </x:c>
      <x:c r="G101" s="19" t="str">
        <x:v>D</x:v>
      </x:c>
      <x:c r="H101" s="19" t="str">
        <x:v>V1</x:v>
      </x:c>
      <x:c r="I101" s="19" t="str">
        <x:v>NOT_EXPOSED_IN_REPORT</x:v>
      </x:c>
      <x:c r="J101" s="19" t="str">
        <x:v>S0607-IPCC</x:v>
      </x:c>
      <x:c r="K101" s="31" t="str">
        <x:v>RECONSTRUCTED_FROM_REPORT; Fear of Temperature_ Stratified Lexical Expansion, Voice Mapping, and Semantic-Relational Pre-Valida.pdf; p.10; project candidate FT-SEED-R1B-P-0607-07; original visible ID not available</x:v>
      </x:c>
      <x:c r="L101" s="31" t="str">
        <x:v>SUCCEEDED_REUSED_BASELINE</x:v>
      </x:c>
      <x:c r="M101" s="31" t="str">
        <x:v>widespread melting of snow and ice</x:v>
      </x:c>
      <x:c r="N101" s="31" t="str">
        <x:v>EXACT</x:v>
      </x:c>
      <x:c r="O101" s="19" t="str">
        <x:v>1949</x:v>
      </x:c>
      <x:c r="P101" s="19" t="str">
        <x:v>2008</x:v>
      </x:c>
      <x:c r="Q101" s="34" t="n">
        <x:v>1.1227990981410585e-8</x:v>
      </x:c>
      <x:c r="R101" s="34" t="n">
        <x:v>2.6622005572241036e-9</x:v>
      </x:c>
      <x:c r="S101" s="34" t="n">
        <x:v>4.169851873514485e-9</x:v>
      </x:c>
      <x:c r="T101" s="34" t="n">
        <x:v>1.1043194136917123e-9</x:v>
      </x:c>
      <x:c r="U101" s="31" t="str">
        <x:v>Candidate surface form is directly representable in the public Ngram interface. Complete 1842–2022 unsmoothed series reused from the audited quantitative-v0.1 baseline.</x:v>
      </x:c>
      <x:c r="V101" s="31" t="str">
        <x:v>TECHNICAL_GLOSSARY</x:v>
      </x:c>
      <x:c r="W101" s="19" t="str">
        <x:v>IPCC climate-science glossary / assessment terminology</x:v>
      </x:c>
      <x:c r="X101" s="31" t="str">
        <x:v>A threat, risk, harm, severity, or consequence sense in the documented source; it is not automatically an emotion.</x:v>
      </x:c>
      <x:c r="Y101" s="31" t="str">
        <x:v>Generic material, ecological, or social damage; the candidate is interpreted in its documented anchor and voice context.</x:v>
      </x:c>
      <x:c r="Z101" s="31" t="str">
        <x:v>STRONG</x:v>
      </x:c>
      <x:c r="AA101" s="19" t="str">
        <x:v>The surface form may realize multiple senses; candidate meaning remains anchored to the report-visible source context.</x:v>
      </x:c>
      <x:c r="AB101" s="31" t="str">
        <x:v>Secondary: Component headword checked: ice.; historical: Anchor-period research source/context; Webster 1913 stable component URL recorded but automated page retrieval was unavailable; source: https://www.ipcc.ch/site/assets/uploads/2018/02/WGIIAR5-AnnexII_FINAL.pdf; https://api.dictionaryapi.dev/api/v2/entries/en/widespread%20melting%20of%20snow%20and%20ice; https://websters1913.timcieplowski.com/word/ice/</x:v>
      </x:c>
      <x:c r="AC101" s="19" t="str">
        <x:v>INTERNET_ARCHIVE_METADATA_TEXT_ITEM_COUNT</x:v>
      </x:c>
      <x:c r="AD101" s="19" t="str">
        <x:v>"widespread melting of snow and ice" AND mediatype:texts</x:v>
      </x:c>
      <x:c r="AE101" s="31" t="str">
        <x:v>EXACT_PHRASE</x:v>
      </x:c>
      <x:c r="AF101" s="31" t="str">
        <x:v>COMPLETED_ZERO</x:v>
      </x:c>
      <x:c r="AG101" s="28" t="n">
        <x:v>0</x:v>
      </x:c>
      <x:c r="AH101" s="19" t="str">
        <x:v>0</x:v>
      </x:c>
      <x:c r="AI101" s="19" t="str">
        <x:v>2026-08-26</x:v>
      </x:c>
      <x:c r="AJ101" s="31" t="str">
        <x:v>Metadata text-item count; not a full-text lexical frequency. Secondary metric: NOT_RUN_OPENALEX_DAILY_BUDGET_EXHAUSTED: shared provider response retained; no count fabricated.</x:v>
      </x:c>
      <x:c r="AK101" s="31" t="str">
        <x:v>FULLY_COVERED</x:v>
      </x:c>
      <x:c r="AL101" s="19" t="str">
        <x:v>PENDING_SOURCE_REVIEW</x:v>
      </x:c>
      <x:c r="AM101" s="20" t="str">
        <x:v>MEDIUM</x:v>
      </x:c>
    </x:row>
    <x:row r="102" ht="34" customHeight="1">
      <x:c r="A102" s="25" t="str">
        <x:v>FT-SEED-R1B-P-0607-08</x:v>
      </x:c>
      <x:c r="B102" s="19" t="str">
        <x:v>2006–2007</x:v>
      </x:c>
      <x:c r="C102" s="28" t="n">
        <x:v>8</x:v>
      </x:c>
      <x:c r="D102" s="31" t="str">
        <x:v>anthropogenic CO₂</x:v>
      </x:c>
      <x:c r="E102" s="31" t="str">
        <x:v>anthropogenic carbon-dioxide production</x:v>
      </x:c>
      <x:c r="F102" s="19" t="str">
        <x:v>carbon_greenhouse</x:v>
      </x:c>
      <x:c r="G102" s="19" t="str">
        <x:v>B</x:v>
      </x:c>
      <x:c r="H102" s="19" t="str">
        <x:v>V1</x:v>
      </x:c>
      <x:c r="I102" s="19" t="str">
        <x:v>NOT_EXPOSED_IN_REPORT</x:v>
      </x:c>
      <x:c r="J102" s="19" t="str">
        <x:v>S0607-IPCC</x:v>
      </x:c>
      <x:c r="K102" s="31" t="str">
        <x:v>RECONSTRUCTED_FROM_REPORT; Fear of Temperature_ Stratified Lexical Expansion, Voice Mapping, and Semantic-Relational Pre-Valida.pdf; p.10; project candidate FT-SEED-R1B-P-0607-08; original visible ID not available</x:v>
      </x:c>
      <x:c r="L102" s="31" t="str">
        <x:v>SUCCEEDED_NEW</x:v>
      </x:c>
      <x:c r="M102" s="31" t="str">
        <x:v>anthropogenic carbon dioxide</x:v>
      </x:c>
      <x:c r="N102" s="31" t="str">
        <x:v>VALIDATED_ALIAS</x:v>
      </x:c>
      <x:c r="O102" s="19" t="str">
        <x:v>1869</x:v>
      </x:c>
      <x:c r="P102" s="19" t="str">
        <x:v>2018</x:v>
      </x:c>
      <x:c r="Q102" s="34" t="n">
        <x:v>1.3785233732299673e-8</x:v>
      </x:c>
      <x:c r="R102" s="34" t="n">
        <x:v>8.282402000348021e-9</x:v>
      </x:c>
      <x:c r="S102" s="34" t="n">
        <x:v>8.289992976806548e-9</x:v>
      </x:c>
      <x:c r="T102" s="34" t="n">
        <x:v>1.2155737000307809e-8</x:v>
      </x:c>
      <x:c r="U102" s="31" t="str">
        <x:v>CO₂ is expanded to its standard full lexical form; referent and historical sense are unchanged. New unsmoothed 1842–2022 series retrieved for the candidate audit.</x:v>
      </x:c>
      <x:c r="V102" s="31" t="str">
        <x:v>TECHNICAL_GLOSSARY</x:v>
      </x:c>
      <x:c r="W102" s="19" t="str">
        <x:v>IPCC climate-science glossary / assessment terminology</x:v>
      </x:c>
      <x:c r="X102" s="31" t="str">
        <x:v>A climatic, atmospheric, meteorological, or causal-science sense in the documented anchor context.</x:v>
      </x:c>
      <x:c r="Y102" s="31" t="str">
        <x:v>Human production of carbon dioxide as a climatic cause; the candidate is interpreted in its documented anchor and voice context.</x:v>
      </x:c>
      <x:c r="Z102" s="31" t="str">
        <x:v>STRONG</x:v>
      </x:c>
      <x:c r="AA102" s="19" t="str">
        <x:v>The surface form may realize multiple senses; candidate meaning remains anchored to the report-visible source context.</x:v>
      </x:c>
      <x:c r="AB102" s="31" t="str">
        <x:v>Secondary: Component headword checked: co.; historical: Anchor-period research source/context; Webster 1913 stable component URL recorded but automated page retrieval was unavailable; source: https://www.ipcc.ch/site/assets/uploads/2018/02/WGIIAR5-AnnexII_FINAL.pdf; https://api.dictionaryapi.dev/api/v2/entries/en/anthropogenic%20CO%E2%82%82; https://websters1913.timcieplowski.com/word/co/</x:v>
      </x:c>
      <x:c r="AC102" s="19" t="str">
        <x:v>INTERNET_ARCHIVE_METADATA_TEXT_ITEM_COUNT</x:v>
      </x:c>
      <x:c r="AD102" s="19" t="str">
        <x:v>"anthropogenic CO₂" AND mediatype:texts</x:v>
      </x:c>
      <x:c r="AE102" s="31" t="str">
        <x:v>EXACT_PHRASE</x:v>
      </x:c>
      <x:c r="AF102" s="31" t="str">
        <x:v>COMPLETED_NONZERO</x:v>
      </x:c>
      <x:c r="AG102" s="28" t="n">
        <x:v>8</x:v>
      </x:c>
      <x:c r="AH102" s="19" t="str">
        <x:v>0</x:v>
      </x:c>
      <x:c r="AI102" s="19" t="str">
        <x:v>2026-08-26</x:v>
      </x:c>
      <x:c r="AJ102" s="31" t="str">
        <x:v>Metadata text-item count; not a full-text lexical frequency. Secondary metric: Scholarly work discoverability count over OpenAlex search fields; not a corpus word frequency.</x:v>
      </x:c>
      <x:c r="AK102" s="31" t="str">
        <x:v>FULLY_ACCOUNTED_WITH_NGRAM_ALIAS</x:v>
      </x:c>
      <x:c r="AL102" s="19" t="str">
        <x:v>PENDING_SOURCE_REVIEW</x:v>
      </x:c>
      <x:c r="AM102" s="20" t="str">
        <x:v>MEDIUM</x:v>
      </x:c>
    </x:row>
    <x:row r="103" ht="34" customHeight="1">
      <x:c r="A103" s="25" t="str">
        <x:v>FT-SEED-R1B-P-0607-09</x:v>
      </x:c>
      <x:c r="B103" s="19" t="str">
        <x:v>2006–2007</x:v>
      </x:c>
      <x:c r="C103" s="28" t="n">
        <x:v>9</x:v>
      </x:c>
      <x:c r="D103" s="31" t="str">
        <x:v>anthropogenic GHG emissions</x:v>
      </x:c>
      <x:c r="E103" s="31" t="str">
        <x:v>anthropogenic greenhouse-gas emissions</x:v>
      </x:c>
      <x:c r="F103" s="19" t="str">
        <x:v>carbon_greenhouse</x:v>
      </x:c>
      <x:c r="G103" s="19" t="str">
        <x:v>B</x:v>
      </x:c>
      <x:c r="H103" s="19" t="str">
        <x:v>V1</x:v>
      </x:c>
      <x:c r="I103" s="19" t="str">
        <x:v>NOT_EXPOSED_IN_REPORT</x:v>
      </x:c>
      <x:c r="J103" s="19" t="str">
        <x:v>S0607-IPCC</x:v>
      </x:c>
      <x:c r="K103" s="31" t="str">
        <x:v>RECONSTRUCTED_FROM_REPORT; Fear of Temperature_ Stratified Lexical Expansion, Voice Mapping, and Semantic-Relational Pre-Valida.pdf; p.10; project candidate FT-SEED-R1B-P-0607-09; original visible ID not available</x:v>
      </x:c>
      <x:c r="L103" s="31" t="str">
        <x:v>SUCCEEDED_REUSED_BASELINE</x:v>
      </x:c>
      <x:c r="M103" s="31" t="str">
        <x:v>anthropogenic GHG emissions</x:v>
      </x:c>
      <x:c r="N103" s="31" t="str">
        <x:v>EXACT</x:v>
      </x:c>
      <x:c r="O103" s="19" t="str">
        <x:v>1901</x:v>
      </x:c>
      <x:c r="P103" s="19" t="str">
        <x:v>2022</x:v>
      </x:c>
      <x:c r="Q103" s="34" t="n">
        <x:v>1.6223415388871842e-8</x:v>
      </x:c>
      <x:c r="R103" s="34" t="n">
        <x:v>2.250436378914422e-9</x:v>
      </x:c>
      <x:c r="S103" s="34" t="n">
        <x:v>2.7409669048350516e-9</x:v>
      </x:c>
      <x:c r="T103" s="34" t="n">
        <x:v>1.6223415388871842e-8</x:v>
      </x:c>
      <x:c r="U103" s="31" t="str">
        <x:v>Candidate surface form is directly representable in the public Ngram interface. Complete 1842–2022 unsmoothed series reused from the audited quantitative-v0.1 baseline.</x:v>
      </x:c>
      <x:c r="V103" s="31" t="str">
        <x:v>TECHNICAL_GLOSSARY</x:v>
      </x:c>
      <x:c r="W103" s="19" t="str">
        <x:v>IPCC climate-science glossary / assessment terminology</x:v>
      </x:c>
      <x:c r="X103" s="31" t="str">
        <x:v>A climatic, atmospheric, meteorological, or causal-science sense in the documented anchor context.</x:v>
      </x:c>
      <x:c r="Y103" s="31" t="str">
        <x:v>Human-caused releases of greenhouse gases into the atmosphere.</x:v>
      </x:c>
      <x:c r="Z103" s="31" t="str">
        <x:v>STRONG</x:v>
      </x:c>
      <x:c r="AA103" s="19" t="str">
        <x:v>The surface form may realize multiple senses; candidate meaning remains anchored to the report-visible source context.</x:v>
      </x:c>
      <x:c r="AB103"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https://api.dictionaryapi.dev/api/v2/entries/en/anthropogenic%20GHG%20emissions; https://websters1913.timcieplowski.com/word/emissions/</x:v>
      </x:c>
      <x:c r="AC103" s="19" t="str">
        <x:v>INTERNET_ARCHIVE_METADATA_TEXT_ITEM_COUNT</x:v>
      </x:c>
      <x:c r="AD103" s="19" t="str">
        <x:v>"anthropogenic GHG emissions" AND mediatype:texts</x:v>
      </x:c>
      <x:c r="AE103" s="31" t="str">
        <x:v>EXACT_PHRASE</x:v>
      </x:c>
      <x:c r="AF103" s="31" t="str">
        <x:v>COMPLETED_NONZERO</x:v>
      </x:c>
      <x:c r="AG103" s="28" t="n">
        <x:v>4</x:v>
      </x:c>
      <x:c r="AH103" s="19" t="str">
        <x:v>0</x:v>
      </x:c>
      <x:c r="AI103" s="19" t="str">
        <x:v>2026-08-26</x:v>
      </x:c>
      <x:c r="AJ103" s="31" t="str">
        <x:v>Metadata text-item count; not a full-text lexical frequency. Secondary metric: Scholarly work discoverability count over OpenAlex search fields; not a corpus word frequency.</x:v>
      </x:c>
      <x:c r="AK103" s="31" t="str">
        <x:v>FULLY_COVERED</x:v>
      </x:c>
      <x:c r="AL103" s="19" t="str">
        <x:v>PENDING_SOURCE_REVIEW</x:v>
      </x:c>
      <x:c r="AM103" s="20" t="str">
        <x:v>MEDIUM</x:v>
      </x:c>
    </x:row>
    <x:row r="104" ht="34" customHeight="1">
      <x:c r="A104" s="25" t="str">
        <x:v>FT-SEED-R1B-P-0607-10</x:v>
      </x:c>
      <x:c r="B104" s="19" t="str">
        <x:v>2006–2007</x:v>
      </x:c>
      <x:c r="C104" s="28" t="n">
        <x:v>10</x:v>
      </x:c>
      <x:c r="D104" s="31" t="str">
        <x:v>climate change</x:v>
      </x:c>
      <x:c r="E104" s="31" t="str">
        <x:v>modern climate change</x:v>
      </x:c>
      <x:c r="F104" s="19" t="str">
        <x:v>climate</x:v>
      </x:c>
      <x:c r="G104" s="19" t="str">
        <x:v>B</x:v>
      </x:c>
      <x:c r="H104" s="19" t="str">
        <x:v>V2</x:v>
      </x:c>
      <x:c r="I104" s="19" t="str">
        <x:v>NOT_EXPOSED_IN_REPORT</x:v>
      </x:c>
      <x:c r="J104" s="19" t="str">
        <x:v>S0607-STERN</x:v>
      </x:c>
      <x:c r="K104" s="31" t="str">
        <x:v>RECONSTRUCTED_FROM_REPORT; Fear of Temperature_ Stratified Lexical Expansion, Voice Mapping, and Semantic-Relational Pre-Valida.pdf; p.10; project candidate FT-SEED-R1B-P-0607-10; original visible ID not available</x:v>
      </x:c>
      <x:c r="L104" s="31" t="str">
        <x:v>SUCCEEDED_REUSED_BASELINE</x:v>
      </x:c>
      <x:c r="M104" s="31" t="str">
        <x:v>climate change</x:v>
      </x:c>
      <x:c r="N104" s="31" t="str">
        <x:v>EXACT</x:v>
      </x:c>
      <x:c r="O104" s="19" t="str">
        <x:v>1842</x:v>
      </x:c>
      <x:c r="P104" s="19" t="str">
        <x:v>2022</x:v>
      </x:c>
      <x:c r="Q104" s="34" t="n">
        <x:v>0.00002890008815206735</x:v>
      </x:c>
      <x:c r="R104" s="34" t="n">
        <x:v>0.00001095392866206149</x:v>
      </x:c>
      <x:c r="S104" s="34" t="n">
        <x:v>0.000011502200587204872</x:v>
      </x:c>
      <x:c r="T104" s="34" t="n">
        <x:v>0.00002890008815206735</x:v>
      </x:c>
      <x:c r="U104" s="31" t="str">
        <x:v>Candidate surface form is directly representable in the public Ngram interface. Complete 1842–2022 unsmoothed series reused from the audited quantitative-v0.1 baseline.</x:v>
      </x:c>
      <x:c r="V104" s="31" t="str">
        <x:v>TECHNICAL_GLOSSARY</x:v>
      </x:c>
      <x:c r="W104" s="19" t="str">
        <x:v>IPCC climate-science glossary / assessment terminology</x:v>
      </x:c>
      <x:c r="X104" s="31" t="str">
        <x:v>The established modern issue label for sustained climatic change, used in institutional, scientific, or public contexts depending on voice.</x:v>
      </x:c>
      <x:c r="Y104" s="31" t="str">
        <x:v>A persistent change in the state or variability of climate; institutional definitions differ on whether human attribution is required.</x:v>
      </x:c>
      <x:c r="Z104" s="31" t="str">
        <x:v>STRONG</x:v>
      </x:c>
      <x:c r="AA104" s="19" t="str">
        <x:v>The modern issue label must still be distinguished from generic change and historical climatic variability.</x:v>
      </x:c>
      <x:c r="AB104"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04" s="19" t="str">
        <x:v>INTERNET_ARCHIVE_METADATA_TEXT_ITEM_COUNT</x:v>
      </x:c>
      <x:c r="AD104" s="19" t="str">
        <x:v>"climate change" AND mediatype:texts</x:v>
      </x:c>
      <x:c r="AE104" s="31" t="str">
        <x:v>EXACT_PHRASE</x:v>
      </x:c>
      <x:c r="AF104" s="31" t="str">
        <x:v>COMPLETED_NONZERO</x:v>
      </x:c>
      <x:c r="AG104" s="28" t="n">
        <x:v>30525</x:v>
      </x:c>
      <x:c r="AH104" s="19" t="str">
        <x:v>1334</x:v>
      </x:c>
      <x:c r="AI104" s="19" t="str">
        <x:v>2026-08-26</x:v>
      </x:c>
      <x:c r="AJ104" s="31" t="str">
        <x:v>Metadata text-item count; not a full-text lexical frequency. Secondary metric: Scholarly work discoverability count over OpenAlex search fields; not a corpus word frequency.</x:v>
      </x:c>
      <x:c r="AK104" s="31" t="str">
        <x:v>FULLY_COVERED</x:v>
      </x:c>
      <x:c r="AL104" s="19" t="str">
        <x:v>PENDING_SOURCE_REVIEW</x:v>
      </x:c>
      <x:c r="AM104" s="20" t="str">
        <x:v>MEDIUM</x:v>
      </x:c>
    </x:row>
    <x:row r="105" ht="34" customHeight="1">
      <x:c r="A105" s="25" t="str">
        <x:v>FT-SEED-R1B-P-0607-11</x:v>
      </x:c>
      <x:c r="B105" s="19" t="str">
        <x:v>2006–2007</x:v>
      </x:c>
      <x:c r="C105" s="28" t="n">
        <x:v>11</x:v>
      </x:c>
      <x:c r="D105" s="31" t="str">
        <x:v>global warming</x:v>
      </x:c>
      <x:c r="E105" s="31" t="str">
        <x:v>global warming as issue label</x:v>
      </x:c>
      <x:c r="F105" s="19" t="str">
        <x:v>warming</x:v>
      </x:c>
      <x:c r="G105" s="19" t="str">
        <x:v>A</x:v>
      </x:c>
      <x:c r="H105" s="19" t="str">
        <x:v>V3</x:v>
      </x:c>
      <x:c r="I105" s="19" t="str">
        <x:v>NOT_EXPOSED_IN_REPORT</x:v>
      </x:c>
      <x:c r="J105" s="19" t="str">
        <x:v>S0607-TIME</x:v>
      </x:c>
      <x:c r="K105" s="31" t="str">
        <x:v>RECONSTRUCTED_FROM_REPORT; Fear of Temperature_ Stratified Lexical Expansion, Voice Mapping, and Semantic-Relational Pre-Valida.pdf; p.10; project candidate FT-SEED-R1B-P-0607-11; original visible ID not available</x:v>
      </x:c>
      <x:c r="L105" s="31" t="str">
        <x:v>SUCCEEDED_REUSED_BASELINE</x:v>
      </x:c>
      <x:c r="M105" s="31" t="str">
        <x:v>global warming</x:v>
      </x:c>
      <x:c r="N105" s="31" t="str">
        <x:v>EXACT</x:v>
      </x:c>
      <x:c r="O105" s="19" t="str">
        <x:v>1843</x:v>
      </x:c>
      <x:c r="P105" s="19" t="str">
        <x:v>2009</x:v>
      </x:c>
      <x:c r="Q105" s="34" t="n">
        <x:v>0.000005445639571555194</x:v>
      </x:c>
      <x:c r="R105" s="34" t="n">
        <x:v>0.00000417779036841065</x:v>
      </x:c>
      <x:c r="S105" s="34" t="n">
        <x:v>0.000004173465091666245</x:v>
      </x:c>
      <x:c r="T105" s="34" t="n">
        <x:v>0.000003963670369644401</x:v>
      </x:c>
      <x:c r="U105" s="31" t="str">
        <x:v>Candidate surface form is directly representable in the public Ngram interface. Complete 1842–2022 unsmoothed series reused from the audited quantitative-v0.1 baseline.</x:v>
      </x:c>
      <x:c r="V105" s="31" t="str">
        <x:v>TECHNICAL_GLOSSARY</x:v>
      </x:c>
      <x:c r="W105" s="19" t="str">
        <x:v>IPCC climate-science glossary / assessment terminology</x:v>
      </x:c>
      <x:c r="X105" s="31" t="str">
        <x:v>A physical temperature, warming, heat, or measurement sense in the documented anchor context.</x:v>
      </x:c>
      <x:c r="Y105" s="31" t="str">
        <x:v>The long-term rise in global mean surface temperature, commonly used as an established issue label in modern climate discourse.</x:v>
      </x:c>
      <x:c r="Z105" s="31" t="str">
        <x:v>STRONG</x:v>
      </x:c>
      <x:c r="AA105" s="19" t="str">
        <x:v>The surface form may realize multiple senses; candidate meaning remains anchored to the report-visible source context.</x:v>
      </x:c>
      <x:c r="AB105"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05" s="19" t="str">
        <x:v>INTERNET_ARCHIVE_METADATA_TEXT_ITEM_COUNT</x:v>
      </x:c>
      <x:c r="AD105" s="19" t="str">
        <x:v>"global warming" AND mediatype:texts</x:v>
      </x:c>
      <x:c r="AE105" s="31" t="str">
        <x:v>EXACT_PHRASE</x:v>
      </x:c>
      <x:c r="AF105" s="31" t="str">
        <x:v>COMPLETED_NONZERO</x:v>
      </x:c>
      <x:c r="AG105" s="28" t="n">
        <x:v>5619</x:v>
      </x:c>
      <x:c r="AH105" s="19" t="str">
        <x:v>123</x:v>
      </x:c>
      <x:c r="AI105" s="19" t="str">
        <x:v>2026-08-26</x:v>
      </x:c>
      <x:c r="AJ105" s="31" t="str">
        <x:v>Metadata text-item count; not a full-text lexical frequency. Secondary metric: NOT_RUN_OPENALEX_DAILY_BUDGET_EXHAUSTED: shared provider response retained; no count fabricated.</x:v>
      </x:c>
      <x:c r="AK105" s="31" t="str">
        <x:v>FULLY_COVERED</x:v>
      </x:c>
      <x:c r="AL105" s="19" t="str">
        <x:v>PENDING_SOURCE_REVIEW</x:v>
      </x:c>
      <x:c r="AM105" s="20" t="str">
        <x:v>MEDIUM</x:v>
      </x:c>
    </x:row>
    <x:row r="106" ht="34" customHeight="1">
      <x:c r="A106" s="25" t="str">
        <x:v>FT-SEED-R1B-P-0607-12</x:v>
      </x:c>
      <x:c r="B106" s="19" t="str">
        <x:v>2006–2007</x:v>
      </x:c>
      <x:c r="C106" s="28" t="n">
        <x:v>12</x:v>
      </x:c>
      <x:c r="D106" s="31" t="str">
        <x:v>serious global threat</x:v>
      </x:c>
      <x:c r="E106" s="31" t="str">
        <x:v>institutional climate threat</x:v>
      </x:c>
      <x:c r="F106" s="19" t="str">
        <x:v>danger_threat</x:v>
      </x:c>
      <x:c r="G106" s="19" t="str">
        <x:v>D</x:v>
      </x:c>
      <x:c r="H106" s="19" t="str">
        <x:v>V2</x:v>
      </x:c>
      <x:c r="I106" s="19" t="str">
        <x:v>NOT_EXPOSED_IN_REPORT</x:v>
      </x:c>
      <x:c r="J106" s="19" t="str">
        <x:v>S0607-STERN</x:v>
      </x:c>
      <x:c r="K106" s="31" t="str">
        <x:v>RECONSTRUCTED_FROM_REPORT; Fear of Temperature_ Stratified Lexical Expansion, Voice Mapping, and Semantic-Relational Pre-Valida.pdf; p.10; project candidate FT-SEED-R1B-P-0607-12; original visible ID not available</x:v>
      </x:c>
      <x:c r="L106" s="31" t="str">
        <x:v>SUCCEEDED_REUSED_BASELINE</x:v>
      </x:c>
      <x:c r="M106" s="31" t="str">
        <x:v>serious global threat</x:v>
      </x:c>
      <x:c r="N106" s="31" t="str">
        <x:v>EXACT</x:v>
      </x:c>
      <x:c r="O106" s="19" t="str">
        <x:v>1946</x:v>
      </x:c>
      <x:c r="P106" s="19" t="str">
        <x:v>2022</x:v>
      </x:c>
      <x:c r="Q106" s="34" t="n">
        <x:v>2.3176307539785057e-9</x:v>
      </x:c>
      <x:c r="R106" s="34" t="n">
        <x:v>1.2957637740562689e-9</x:v>
      </x:c>
      <x:c r="S106" s="34" t="n">
        <x:v>1.16850794318335e-9</x:v>
      </x:c>
      <x:c r="T106" s="34" t="n">
        <x:v>2.3176307539785057e-9</x:v>
      </x:c>
      <x:c r="U106" s="31" t="str">
        <x:v>Candidate surface form is directly representable in the public Ngram interface. Complete 1842–2022 unsmoothed series reused from the audited quantitative-v0.1 baseline.</x:v>
      </x:c>
      <x:c r="V106" s="31" t="str">
        <x:v>NO_STANDALONE_HEADWORD</x:v>
      </x:c>
      <x:c r="W106" s="19" t="str">
        <x:v>Component lexical analysis plus anchor-source contextual meaning</x:v>
      </x:c>
      <x:c r="X106" s="31" t="str">
        <x:v>A threat, risk, harm, severity, or consequence sense in the documented source; it is not automatically an emotion.</x:v>
      </x:c>
      <x:c r="Y106" s="31" t="str">
        <x:v>Climate change framed as an institutional threat; the candidate is interpreted in its documented anchor and voice context.</x:v>
      </x:c>
      <x:c r="Z106" s="31" t="str">
        <x:v>STRONG</x:v>
      </x:c>
      <x:c r="AA106" s="19" t="str">
        <x:v>The surface form may realize multiple senses; candidate meaning remains anchored to the report-visible source context.</x:v>
      </x:c>
      <x:c r="AB106"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https://api.dictionaryapi.dev/api/v2/entries/en/serious%20global%20threat; https://websters1913.timcieplowski.com/word/threat/</x:v>
      </x:c>
      <x:c r="AC106" s="19" t="str">
        <x:v>INTERNET_ARCHIVE_METADATA_TEXT_ITEM_COUNT</x:v>
      </x:c>
      <x:c r="AD106" s="19" t="str">
        <x:v>"serious global threat" AND mediatype:texts</x:v>
      </x:c>
      <x:c r="AE106" s="31" t="str">
        <x:v>EXACT_PHRASE</x:v>
      </x:c>
      <x:c r="AF106" s="31" t="str">
        <x:v>COMPLETED_NONZERO</x:v>
      </x:c>
      <x:c r="AG106" s="28" t="n">
        <x:v>3</x:v>
      </x:c>
      <x:c r="AH106" s="19" t="str">
        <x:v>1</x:v>
      </x:c>
      <x:c r="AI106" s="19" t="str">
        <x:v>2026-08-26</x:v>
      </x:c>
      <x:c r="AJ106" s="31" t="str">
        <x:v>Metadata text-item count; not a full-text lexical frequency. Secondary metric: NOT_RUN_OPENALEX_DAILY_BUDGET_EXHAUSTED: shared provider response retained; no count fabricated.</x:v>
      </x:c>
      <x:c r="AK106" s="31" t="str">
        <x:v>FULLY_COVERED</x:v>
      </x:c>
      <x:c r="AL106" s="19" t="str">
        <x:v>PENDING_SOURCE_REVIEW</x:v>
      </x:c>
      <x:c r="AM106" s="20" t="str">
        <x:v>MEDIUM</x:v>
      </x:c>
    </x:row>
    <x:row r="107" ht="34" customHeight="1">
      <x:c r="A107" s="25" t="str">
        <x:v>FT-SEED-R1B-P-0607-13</x:v>
      </x:c>
      <x:c r="B107" s="19" t="str">
        <x:v>2006–2007</x:v>
      </x:c>
      <x:c r="C107" s="28" t="n">
        <x:v>13</x:v>
      </x:c>
      <x:c r="D107" s="31" t="str">
        <x:v>urgent global response</x:v>
      </x:c>
      <x:c r="E107" s="31" t="str">
        <x:v>generic damage</x:v>
      </x:c>
      <x:c r="F107" s="19" t="str">
        <x:v>harm_loss_consequences</x:v>
      </x:c>
      <x:c r="G107" s="19" t="str">
        <x:v>D</x:v>
      </x:c>
      <x:c r="H107" s="19" t="str">
        <x:v>V2</x:v>
      </x:c>
      <x:c r="I107" s="19" t="str">
        <x:v>NOT_EXPOSED_IN_REPORT</x:v>
      </x:c>
      <x:c r="J107" s="19" t="str">
        <x:v>S0607-STERN</x:v>
      </x:c>
      <x:c r="K107" s="31" t="str">
        <x:v>RECONSTRUCTED_FROM_REPORT; Fear of Temperature_ Stratified Lexical Expansion, Voice Mapping, and Semantic-Relational Pre-Valida.pdf; p.10; project candidate FT-SEED-R1B-P-0607-13; original visible ID not available</x:v>
      </x:c>
      <x:c r="L107" s="31" t="str">
        <x:v>SUCCEEDED_REUSED_BASELINE</x:v>
      </x:c>
      <x:c r="M107" s="31" t="str">
        <x:v>urgent global response</x:v>
      </x:c>
      <x:c r="N107" s="31" t="str">
        <x:v>EXACT</x:v>
      </x:c>
      <x:c r="O107" s="19" t="str">
        <x:v>1946</x:v>
      </x:c>
      <x:c r="P107" s="19" t="str">
        <x:v>2007</x:v>
      </x:c>
      <x:c r="Q107" s="34" t="n">
        <x:v>1.6521017887072276e-9</x:v>
      </x:c>
      <x:c r="R107" s="34" t="n">
        <x:v>1.1480850992118263e-9</x:v>
      </x:c>
      <x:c r="S107" s="34" t="n">
        <x:v>9.44838009914184e-10</x:v>
      </x:c>
      <x:c r="T107" s="34" t="n">
        <x:v>3.7838870925455126e-10</x:v>
      </x:c>
      <x:c r="U107" s="31" t="str">
        <x:v>Candidate surface form is directly representable in the public Ngram interface. Complete 1842–2022 unsmoothed series reused from the audited quantitative-v0.1 baseline.</x:v>
      </x:c>
      <x:c r="V107" s="31" t="str">
        <x:v>NO_STANDALONE_HEADWORD</x:v>
      </x:c>
      <x:c r="W107" s="19" t="str">
        <x:v>Component lexical analysis plus anchor-source contextual meaning</x:v>
      </x:c>
      <x:c r="X107" s="31" t="str">
        <x:v>A threat, risk, harm, severity, or consequence sense in the documented source; it is not automatically an emotion.</x:v>
      </x:c>
      <x:c r="Y107" s="31" t="str">
        <x:v>Generic material, ecological, or social damage; the candidate is interpreted in its documented anchor and voice context.</x:v>
      </x:c>
      <x:c r="Z107" s="31" t="str">
        <x:v>STRONG</x:v>
      </x:c>
      <x:c r="AA107" s="19" t="str">
        <x:v>The surface form may realize multiple senses; candidate meaning remains anchored to the report-visible source context.</x:v>
      </x:c>
      <x:c r="AB107" s="31" t="str">
        <x:v>Secondary: Component headword checked: response.;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https://api.dictionaryapi.dev/api/v2/entries/en/urgent%20global%20response; https://websters1913.timcieplowski.com/word/response/</x:v>
      </x:c>
      <x:c r="AC107" s="19" t="str">
        <x:v>INTERNET_ARCHIVE_METADATA_TEXT_ITEM_COUNT</x:v>
      </x:c>
      <x:c r="AD107" s="19" t="str">
        <x:v>"urgent global response" AND mediatype:texts</x:v>
      </x:c>
      <x:c r="AE107" s="31" t="str">
        <x:v>EXACT_PHRASE</x:v>
      </x:c>
      <x:c r="AF107" s="31" t="str">
        <x:v>COMPLETED_ZERO</x:v>
      </x:c>
      <x:c r="AG107" s="28" t="n">
        <x:v>0</x:v>
      </x:c>
      <x:c r="AH107" s="19" t="str">
        <x:v>0</x:v>
      </x:c>
      <x:c r="AI107" s="19" t="str">
        <x:v>2026-08-26</x:v>
      </x:c>
      <x:c r="AJ107" s="31" t="str">
        <x:v>Metadata text-item count; not a full-text lexical frequency. Secondary metric: NOT_RUN_OPENALEX_DAILY_BUDGET_EXHAUSTED: shared provider response retained; no count fabricated.</x:v>
      </x:c>
      <x:c r="AK107" s="31" t="str">
        <x:v>FULLY_COVERED</x:v>
      </x:c>
      <x:c r="AL107" s="19" t="str">
        <x:v>PENDING_SOURCE_REVIEW</x:v>
      </x:c>
      <x:c r="AM107" s="20" t="str">
        <x:v>MEDIUM</x:v>
      </x:c>
    </x:row>
    <x:row r="108" ht="34" customHeight="1">
      <x:c r="A108" s="25" t="str">
        <x:v>FT-SEED-R1B-P-0607-14</x:v>
      </x:c>
      <x:c r="B108" s="19" t="str">
        <x:v>2006–2007</x:v>
      </x:c>
      <x:c r="C108" s="28" t="n">
        <x:v>14</x:v>
      </x:c>
      <x:c r="D108" s="31" t="str">
        <x:v>costs and risks of climate change</x:v>
      </x:c>
      <x:c r="E108" s="31" t="str">
        <x:v>modern climate change</x:v>
      </x:c>
      <x:c r="F108" s="19" t="str">
        <x:v>climate</x:v>
      </x:c>
      <x:c r="G108" s="19" t="str">
        <x:v>D</x:v>
      </x:c>
      <x:c r="H108" s="19" t="str">
        <x:v>V2</x:v>
      </x:c>
      <x:c r="I108" s="19" t="str">
        <x:v>NOT_EXPOSED_IN_REPORT</x:v>
      </x:c>
      <x:c r="J108" s="19" t="str">
        <x:v>S0607-STERN</x:v>
      </x:c>
      <x:c r="K108" s="31" t="str">
        <x:v>RECONSTRUCTED_FROM_REPORT; Fear of Temperature_ Stratified Lexical Expansion, Voice Mapping, and Semantic-Relational Pre-Valida.pdf; p.10; project candidate FT-SEED-R1B-P-0607-14; original visible ID not available</x:v>
      </x:c>
      <x:c r="L108" s="31" t="str">
        <x:v>SUCCEEDED_REUSED_BASELINE</x:v>
      </x:c>
      <x:c r="M108" s="31" t="str">
        <x:v>costs and risks of climate change</x:v>
      </x:c>
      <x:c r="N108" s="31" t="str">
        <x:v>EXACT</x:v>
      </x:c>
      <x:c r="O108" s="19" t="str">
        <x:v>1986</x:v>
      </x:c>
      <x:c r="P108" s="19" t="str">
        <x:v>2009</x:v>
      </x:c>
      <x:c r="Q108" s="34" t="n">
        <x:v>2.4810227206018e-9</x:v>
      </x:c>
      <x:c r="R108" s="34" t="n">
        <x:v>1.2008179450795353e-9</x:v>
      </x:c>
      <x:c r="S108" s="34" t="n">
        <x:v>1.2094392848327473e-9</x:v>
      </x:c>
      <x:c r="T108" s="34" t="n">
        <x:v>8.137091001003682e-10</x:v>
      </x:c>
      <x:c r="U108" s="31" t="str">
        <x:v>Candidate surface form is directly representable in the public Ngram interface. Complete 1842–2022 unsmoothed series reused from the audited quantitative-v0.1 baseline.</x:v>
      </x:c>
      <x:c r="V108" s="31" t="str">
        <x:v>NO_STANDALONE_HEADWORD</x:v>
      </x:c>
      <x:c r="W108" s="19" t="str">
        <x:v>Component lexical analysis plus anchor-source contextual meaning</x:v>
      </x:c>
      <x:c r="X108" s="31" t="str">
        <x:v>A threat, risk, harm, severity, or consequence sense in the documented source; it is not automatically an emotion.</x:v>
      </x:c>
      <x:c r="Y108" s="31" t="str">
        <x:v>Modern climate change as an anthropogenic scientific, public, or governance problem; the candidate is interpreted in its documented anchor and voice context.</x:v>
      </x:c>
      <x:c r="Z108" s="31" t="str">
        <x:v>STRONG</x:v>
      </x:c>
      <x:c r="AA108" s="19" t="str">
        <x:v>The surface form may realize multiple senses; candidate meaning remains anchored to the report-visible source context.</x:v>
      </x:c>
      <x:c r="AB108"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https://api.dictionaryapi.dev/api/v2/entries/en/costs%20and%20risks%20of%20climate%20change; https://websters1913.timcieplowski.com/word/change/</x:v>
      </x:c>
      <x:c r="AC108" s="19" t="str">
        <x:v>INTERNET_ARCHIVE_METADATA_TEXT_ITEM_COUNT</x:v>
      </x:c>
      <x:c r="AD108" s="19" t="str">
        <x:v>"costs and risks of climate change" AND mediatype:texts</x:v>
      </x:c>
      <x:c r="AE108" s="31" t="str">
        <x:v>EXACT_PHRASE</x:v>
      </x:c>
      <x:c r="AF108" s="31" t="str">
        <x:v>COMPLETED_ZERO</x:v>
      </x:c>
      <x:c r="AG108" s="28" t="n">
        <x:v>0</x:v>
      </x:c>
      <x:c r="AH108" s="19" t="str">
        <x:v>0</x:v>
      </x:c>
      <x:c r="AI108" s="19" t="str">
        <x:v>2026-08-26</x:v>
      </x:c>
      <x:c r="AJ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AK108" s="31" t="str">
        <x:v>FULLY_COVERED</x:v>
      </x:c>
      <x:c r="AL108" s="19" t="str">
        <x:v>PENDING_SOURCE_REVIEW</x:v>
      </x:c>
      <x:c r="AM108" s="20" t="str">
        <x:v>MEDIUM</x:v>
      </x:c>
    </x:row>
    <x:row r="109" ht="34" customHeight="1">
      <x:c r="A109" s="25" t="str">
        <x:v>FT-SEED-R1B-P-0607-15</x:v>
      </x:c>
      <x:c r="B109" s="19" t="str">
        <x:v>2006–2007</x:v>
      </x:c>
      <x:c r="C109" s="28" t="n">
        <x:v>15</x:v>
      </x:c>
      <x:c r="D109" s="31" t="str">
        <x:v>impacts of climate change</x:v>
      </x:c>
      <x:c r="E109" s="31" t="str">
        <x:v>modern climate change</x:v>
      </x:c>
      <x:c r="F109" s="19" t="str">
        <x:v>climate</x:v>
      </x:c>
      <x:c r="G109" s="19" t="str">
        <x:v>D</x:v>
      </x:c>
      <x:c r="H109" s="19" t="str">
        <x:v>V2</x:v>
      </x:c>
      <x:c r="I109" s="19" t="str">
        <x:v>NOT_EXPOSED_IN_REPORT</x:v>
      </x:c>
      <x:c r="J109" s="19" t="str">
        <x:v>S0607-STERN</x:v>
      </x:c>
      <x:c r="K109" s="31" t="str">
        <x:v>RECONSTRUCTED_FROM_REPORT; Fear of Temperature_ Stratified Lexical Expansion, Voice Mapping, and Semantic-Relational Pre-Valida.pdf; p.10; project candidate FT-SEED-R1B-P-0607-15; original visible ID not available</x:v>
      </x:c>
      <x:c r="L109" s="31" t="str">
        <x:v>SUCCEEDED_REUSED_BASELINE</x:v>
      </x:c>
      <x:c r="M109" s="31" t="str">
        <x:v>impacts of climate change</x:v>
      </x:c>
      <x:c r="N109" s="31" t="str">
        <x:v>EXACT</x:v>
      </x:c>
      <x:c r="O109" s="19" t="str">
        <x:v>1881</x:v>
      </x:c>
      <x:c r="P109" s="19" t="str">
        <x:v>2022</x:v>
      </x:c>
      <x:c r="Q109" s="34" t="n">
        <x:v>7.144630615740777e-7</x:v>
      </x:c>
      <x:c r="R109" s="34" t="n">
        <x:v>2.670266320836667e-7</x:v>
      </x:c>
      <x:c r="S109" s="34" t="n">
        <x:v>2.8205449021170836e-7</x:v>
      </x:c>
      <x:c r="T109" s="34" t="n">
        <x:v>7.144630615740777e-7</x:v>
      </x:c>
      <x:c r="U109" s="31" t="str">
        <x:v>Candidate surface form is directly representable in the public Ngram interface. Complete 1842–2022 unsmoothed series reused from the audited quantitative-v0.1 baseline.</x:v>
      </x:c>
      <x:c r="V109" s="31" t="str">
        <x:v>NO_STANDALONE_HEADWORD</x:v>
      </x:c>
      <x:c r="W109" s="19" t="str">
        <x:v>Component lexical analysis plus anchor-source contextual meaning</x:v>
      </x:c>
      <x:c r="X109" s="31" t="str">
        <x:v>A threat, risk, harm, severity, or consequence sense in the documented source; it is not automatically an emotion.</x:v>
      </x:c>
      <x:c r="Y109" s="31" t="str">
        <x:v>Modern climate change as an anthropogenic scientific, public, or governance problem; the candidate is interpreted in its documented anchor and voice context.</x:v>
      </x:c>
      <x:c r="Z109" s="31" t="str">
        <x:v>STRONG</x:v>
      </x:c>
      <x:c r="AA109" s="19" t="str">
        <x:v>The surface form may realize multiple senses; candidate meaning remains anchored to the report-visible source context.</x:v>
      </x:c>
      <x:c r="AB109"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https://api.dictionaryapi.dev/api/v2/entries/en/impacts%20of%20climate%20change; https://websters1913.timcieplowski.com/word/change/</x:v>
      </x:c>
      <x:c r="AC109" s="19" t="str">
        <x:v>INTERNET_ARCHIVE_METADATA_TEXT_ITEM_COUNT</x:v>
      </x:c>
      <x:c r="AD109" s="19" t="str">
        <x:v>"impacts of climate change" AND mediatype:texts</x:v>
      </x:c>
      <x:c r="AE109" s="31" t="str">
        <x:v>EXACT_PHRASE</x:v>
      </x:c>
      <x:c r="AF109" s="31" t="str">
        <x:v>COMPLETED_NONZERO</x:v>
      </x:c>
      <x:c r="AG109" s="28" t="n">
        <x:v>656</x:v>
      </x:c>
      <x:c r="AH109" s="19" t="str">
        <x:v>33</x:v>
      </x:c>
      <x:c r="AI109" s="19" t="str">
        <x:v>2026-08-26</x:v>
      </x:c>
      <x:c r="AJ109" s="31" t="str">
        <x:v>Metadata text-item count; not a full-text lexical frequency. Secondary metric: NOT_RUN_OPENALEX_DAILY_BUDGET_EXHAUSTED: shared provider response retained; no count fabricated.</x:v>
      </x:c>
      <x:c r="AK109" s="31" t="str">
        <x:v>FULLY_COVERED</x:v>
      </x:c>
      <x:c r="AL109" s="19" t="str">
        <x:v>PENDING_SOURCE_REVIEW</x:v>
      </x:c>
      <x:c r="AM109" s="20" t="str">
        <x:v>MEDIUM</x:v>
      </x:c>
    </x:row>
    <x:row r="110" ht="34" customHeight="1">
      <x:c r="A110" s="25" t="str">
        <x:v>FT-SEED-R1B-P-0607-16</x:v>
      </x:c>
      <x:c r="B110" s="19" t="str">
        <x:v>2006–2007</x:v>
      </x:c>
      <x:c r="C110" s="28" t="n">
        <x:v>16</x:v>
      </x:c>
      <x:c r="D110" s="31" t="str">
        <x:v>damage</x:v>
      </x:c>
      <x:c r="E110" s="31" t="str">
        <x:v>generic damage</x:v>
      </x:c>
      <x:c r="F110" s="19" t="str">
        <x:v>harm_loss_consequences</x:v>
      </x:c>
      <x:c r="G110" s="19" t="str">
        <x:v>D</x:v>
      </x:c>
      <x:c r="H110" s="19" t="str">
        <x:v>V2</x:v>
      </x:c>
      <x:c r="I110" s="19" t="str">
        <x:v>NOT_EXPOSED_IN_REPORT</x:v>
      </x:c>
      <x:c r="J110" s="19" t="str">
        <x:v>S0607-STERN</x:v>
      </x:c>
      <x:c r="K110" s="31" t="str">
        <x:v>RECONSTRUCTED_FROM_REPORT; Fear of Temperature_ Stratified Lexical Expansion, Voice Mapping, and Semantic-Relational Pre-Valida.pdf; p.10; project candidate FT-SEED-R1B-P-0607-16; original visible ID not available</x:v>
      </x:c>
      <x:c r="L110" s="31" t="str">
        <x:v>SUCCEEDED_REUSED_BASELINE</x:v>
      </x:c>
      <x:c r="M110" s="31" t="str">
        <x:v>damage</x:v>
      </x:c>
      <x:c r="N110" s="31" t="str">
        <x:v>EXACT</x:v>
      </x:c>
      <x:c r="O110" s="19" t="str">
        <x:v>1842</x:v>
      </x:c>
      <x:c r="P110" s="19" t="str">
        <x:v>1986</x:v>
      </x:c>
      <x:c r="Q110" s="34" t="n">
        <x:v>0.000057598560955232636</x:v>
      </x:c>
      <x:c r="R110" s="34" t="n">
        <x:v>0.00004829082256977389</x:v>
      </x:c>
      <x:c r="S110" s="34" t="n">
        <x:v>0.00004876599097426628</x:v>
      </x:c>
      <x:c r="T110" s="34" t="n">
        <x:v>0.00004813777670335459</x:v>
      </x:c>
      <x:c r="U110" s="31" t="str">
        <x:v>Candidate surface form is directly representable in the public Ngram interface. Complete 1842–2022 unsmoothed series reused from the audited quantitative-v0.1 baseline.</x:v>
      </x:c>
      <x:c r="V110" s="31" t="str">
        <x:v>DIRECT_HEADWORD</x:v>
      </x:c>
      <x:c r="W110" s="19" t="str">
        <x:v>Webster's Revised Unabridged Dictionary (1913 public-domain headword index)</x:v>
      </x:c>
      <x:c r="X110" s="31" t="str">
        <x:v>A threat, risk, harm, severity, or consequence sense in the documented source; it is not automatically an emotion.</x:v>
      </x:c>
      <x:c r="Y110" s="31" t="str">
        <x:v>Generic material, ecological, or social damage; the candidate is interpreted in its documented anchor and voice context.</x:v>
      </x:c>
      <x:c r="Z110" s="31" t="str">
        <x:v>STRONG</x:v>
      </x:c>
      <x:c r="AA110" s="19" t="str">
        <x:v>The surface form may realize multiple senses; candidate meaning remains anchored to the report-visible source context.</x:v>
      </x:c>
      <x:c r="AB110" s="31" t="str">
        <x:v>Secondary: Component headword checked: damage.; historical: Anchor-period research source/context; Webster 1913 stable component URL recorded but automated page retrieval was unavailable; source: https://websters1913.timcieplowski.com/word/damage/; https://api.dictionaryapi.dev/api/v2/entries/en/damage</x:v>
      </x:c>
      <x:c r="AC110" s="19" t="str">
        <x:v>INTERNET_ARCHIVE_METADATA_TEXT_ITEM_COUNT</x:v>
      </x:c>
      <x:c r="AD110" s="19" t="str">
        <x:v>"damage" AND mediatype:texts</x:v>
      </x:c>
      <x:c r="AE110" s="31" t="str">
        <x:v>EXACT_PHRASE</x:v>
      </x:c>
      <x:c r="AF110" s="31" t="str">
        <x:v>COMPLETED_NONZERO</x:v>
      </x:c>
      <x:c r="AG110" s="28" t="n">
        <x:v>71319</x:v>
      </x:c>
      <x:c r="AH110" s="19" t="str">
        <x:v>3470</x:v>
      </x:c>
      <x:c r="AI110" s="19" t="str">
        <x:v>2026-08-26</x:v>
      </x:c>
      <x:c r="AJ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AK110" s="31" t="str">
        <x:v>FULLY_COVERED</x:v>
      </x:c>
      <x:c r="AL110" s="19" t="str">
        <x:v>PENDING_SOURCE_REVIEW</x:v>
      </x:c>
      <x:c r="AM110" s="20" t="str">
        <x:v>MEDIUM</x:v>
      </x:c>
    </x:row>
    <x:row r="111" ht="34" customHeight="1">
      <x:c r="A111" s="25" t="str">
        <x:v>FT-SEED-R1B-P-0607-17</x:v>
      </x:c>
      <x:c r="B111" s="19" t="str">
        <x:v>2006–2007</x:v>
      </x:c>
      <x:c r="C111" s="28" t="n">
        <x:v>17</x:v>
      </x:c>
      <x:c r="D111" s="31" t="str">
        <x:v>hunger</x:v>
      </x:c>
      <x:c r="E111" s="31" t="str">
        <x:v>generic damage</x:v>
      </x:c>
      <x:c r="F111" s="19" t="str">
        <x:v>harm_loss_consequences</x:v>
      </x:c>
      <x:c r="G111" s="19" t="str">
        <x:v>D</x:v>
      </x:c>
      <x:c r="H111" s="19" t="str">
        <x:v>V2</x:v>
      </x:c>
      <x:c r="I111" s="19" t="str">
        <x:v>NOT_EXPOSED_IN_REPORT</x:v>
      </x:c>
      <x:c r="J111" s="19" t="str">
        <x:v>S0607-STERN</x:v>
      </x:c>
      <x:c r="K111" s="31" t="str">
        <x:v>RECONSTRUCTED_FROM_REPORT; Fear of Temperature_ Stratified Lexical Expansion, Voice Mapping, and Semantic-Relational Pre-Valida.pdf; p.10; project candidate FT-SEED-R1B-P-0607-17; original visible ID not available</x:v>
      </x:c>
      <x:c r="L111" s="31" t="str">
        <x:v>SUCCEEDED_REUSED_BASELINE</x:v>
      </x:c>
      <x:c r="M111" s="31" t="str">
        <x:v>hunger</x:v>
      </x:c>
      <x:c r="N111" s="31" t="str">
        <x:v>EXACT</x:v>
      </x:c>
      <x:c r="O111" s="19" t="str">
        <x:v>1842</x:v>
      </x:c>
      <x:c r="P111" s="19" t="str">
        <x:v>2015</x:v>
      </x:c>
      <x:c r="Q111" s="34" t="n">
        <x:v>0.000011913927409068492</x:v>
      </x:c>
      <x:c r="R111" s="34" t="n">
        <x:v>0.000007730505573771279</x:v>
      </x:c>
      <x:c r="S111" s="34" t="n">
        <x:v>0.00000781596456063318</x:v>
      </x:c>
      <x:c r="T111" s="34" t="n">
        <x:v>0.000011471040437527336</x:v>
      </x:c>
      <x:c r="U111" s="31" t="str">
        <x:v>Candidate surface form is directly representable in the public Ngram interface. Complete 1842–2022 unsmoothed series reused from the audited quantitative-v0.1 baseline.</x:v>
      </x:c>
      <x:c r="V111" s="31" t="str">
        <x:v>DIRECT_HEADWORD</x:v>
      </x:c>
      <x:c r="W111" s="19" t="str">
        <x:v>Webster's Revised Unabridged Dictionary (1913 public-domain headword index)</x:v>
      </x:c>
      <x:c r="X111" s="31" t="str">
        <x:v>A threat, risk, harm, severity, or consequence sense in the documented source; it is not automatically an emotion.</x:v>
      </x:c>
      <x:c r="Y111" s="31" t="str">
        <x:v>Generic material, ecological, or social damage; the candidate is interpreted in its documented anchor and voice context.</x:v>
      </x:c>
      <x:c r="Z111" s="31" t="str">
        <x:v>STRONG</x:v>
      </x:c>
      <x:c r="AA111" s="19" t="str">
        <x:v>The surface form may realize multiple senses; candidate meaning remains anchored to the report-visible source context.</x:v>
      </x:c>
      <x:c r="AB111" s="31" t="str">
        <x:v>Secondary: Component headword checked: hunger.; historical: Anchor-period research source/context; Webster 1913 stable component URL recorded but automated page retrieval was unavailable; source: https://websters1913.timcieplowski.com/word/hunger/; https://api.dictionaryapi.dev/api/v2/entries/en/hunger</x:v>
      </x:c>
      <x:c r="AC111" s="19" t="str">
        <x:v>INTERNET_ARCHIVE_METADATA_TEXT_ITEM_COUNT</x:v>
      </x:c>
      <x:c r="AD111" s="19" t="str">
        <x:v>"hunger" AND mediatype:texts</x:v>
      </x:c>
      <x:c r="AE111" s="31" t="str">
        <x:v>EXACT_PHRASE</x:v>
      </x:c>
      <x:c r="AF111" s="31" t="str">
        <x:v>COMPLETED_NONZERO</x:v>
      </x:c>
      <x:c r="AG111" s="28" t="n">
        <x:v>8913</x:v>
      </x:c>
      <x:c r="AH111" s="19" t="str">
        <x:v>544</x:v>
      </x:c>
      <x:c r="AI111" s="19" t="str">
        <x:v>2026-08-26</x:v>
      </x:c>
      <x:c r="AJ111" s="31" t="str">
        <x:v>Metadata text-item count; not a full-text lexical frequency. Secondary metric: NOT_RUN_OPENALEX_DAILY_BUDGET_EXHAUSTED: shared provider response retained; no count fabricated.</x:v>
      </x:c>
      <x:c r="AK111" s="31" t="str">
        <x:v>FULLY_COVERED</x:v>
      </x:c>
      <x:c r="AL111" s="19" t="str">
        <x:v>PENDING_SOURCE_REVIEW</x:v>
      </x:c>
      <x:c r="AM111" s="20" t="str">
        <x:v>MEDIUM</x:v>
      </x:c>
    </x:row>
    <x:row r="112" ht="34" customHeight="1">
      <x:c r="A112" s="25" t="str">
        <x:v>FT-SEED-R1B-P-0607-18</x:v>
      </x:c>
      <x:c r="B112" s="19" t="str">
        <x:v>2006–2007</x:v>
      </x:c>
      <x:c r="C112" s="28" t="n">
        <x:v>18</x:v>
      </x:c>
      <x:c r="D112" s="31" t="str">
        <x:v>water shortages</x:v>
      </x:c>
      <x:c r="E112" s="31" t="str">
        <x:v>generic damage</x:v>
      </x:c>
      <x:c r="F112" s="19" t="str">
        <x:v>harm_loss_consequences</x:v>
      </x:c>
      <x:c r="G112" s="19" t="str">
        <x:v>D</x:v>
      </x:c>
      <x:c r="H112" s="19" t="str">
        <x:v>V2</x:v>
      </x:c>
      <x:c r="I112" s="19" t="str">
        <x:v>NOT_EXPOSED_IN_REPORT</x:v>
      </x:c>
      <x:c r="J112" s="19" t="str">
        <x:v>S0607-STERN</x:v>
      </x:c>
      <x:c r="K112" s="31" t="str">
        <x:v>RECONSTRUCTED_FROM_REPORT; Fear of Temperature_ Stratified Lexical Expansion, Voice Mapping, and Semantic-Relational Pre-Valida.pdf; p.10; project candidate FT-SEED-R1B-P-0607-18; original visible ID not available</x:v>
      </x:c>
      <x:c r="L112" s="31" t="str">
        <x:v>SUCCEEDED_REUSED_BASELINE</x:v>
      </x:c>
      <x:c r="M112" s="31" t="str">
        <x:v>water shortages</x:v>
      </x:c>
      <x:c r="N112" s="31" t="str">
        <x:v>EXACT</x:v>
      </x:c>
      <x:c r="O112" s="19" t="str">
        <x:v>1843</x:v>
      </x:c>
      <x:c r="P112" s="19" t="str">
        <x:v>2009</x:v>
      </x:c>
      <x:c r="Q112" s="34" t="n">
        <x:v>2.6262098024032454e-7</x:v>
      </x:c>
      <x:c r="R112" s="34" t="n">
        <x:v>2.0904360503726238e-7</x:v>
      </x:c>
      <x:c r="S112" s="34" t="n">
        <x:v>2.1109862891055542e-7</x:v>
      </x:c>
      <x:c r="T112" s="34" t="n">
        <x:v>1.7408386068784587e-7</x:v>
      </x:c>
      <x:c r="U112" s="31" t="str">
        <x:v>Candidate surface form is directly representable in the public Ngram interface. Complete 1842–2022 unsmoothed series reused from the audited quantitative-v0.1 baseline.</x:v>
      </x:c>
      <x:c r="V112" s="31" t="str">
        <x:v>NO_STANDALONE_HEADWORD</x:v>
      </x:c>
      <x:c r="W112" s="19" t="str">
        <x:v>Component lexical analysis plus anchor-source contextual meaning</x:v>
      </x:c>
      <x:c r="X112" s="31" t="str">
        <x:v>A threat, risk, harm, severity, or consequence sense in the documented source; it is not automatically an emotion.</x:v>
      </x:c>
      <x:c r="Y112" s="31" t="str">
        <x:v>Generic material, ecological, or social damage; the candidate is interpreted in its documented anchor and voice context.</x:v>
      </x:c>
      <x:c r="Z112" s="31" t="str">
        <x:v>STRONG</x:v>
      </x:c>
      <x:c r="AA112" s="19" t="str">
        <x:v>The surface form may realize multiple senses; candidate meaning remains anchored to the report-visible source context.</x:v>
      </x:c>
      <x:c r="AB112"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https://api.dictionaryapi.dev/api/v2/entries/en/water%20shortages; https://websters1913.timcieplowski.com/word/shortages/</x:v>
      </x:c>
      <x:c r="AC112" s="19" t="str">
        <x:v>INTERNET_ARCHIVE_METADATA_TEXT_ITEM_COUNT</x:v>
      </x:c>
      <x:c r="AD112" s="19" t="str">
        <x:v>"water shortages" AND mediatype:texts</x:v>
      </x:c>
      <x:c r="AE112" s="31" t="str">
        <x:v>EXACT_PHRASE</x:v>
      </x:c>
      <x:c r="AF112" s="31" t="str">
        <x:v>COMPLETED_NONZERO</x:v>
      </x:c>
      <x:c r="AG112" s="28" t="n">
        <x:v>223</x:v>
      </x:c>
      <x:c r="AH112" s="19" t="str">
        <x:v>10</x:v>
      </x:c>
      <x:c r="AI112" s="19" t="str">
        <x:v>2026-08-26</x:v>
      </x:c>
      <x:c r="AJ112" s="31" t="str">
        <x:v>Metadata text-item count; not a full-text lexical frequency. Secondary metric: NOT_RUN_OPENALEX_DAILY_BUDGET_EXHAUSTED: shared provider response retained; no count fabricated.</x:v>
      </x:c>
      <x:c r="AK112" s="31" t="str">
        <x:v>FULLY_COVERED</x:v>
      </x:c>
      <x:c r="AL112" s="19" t="str">
        <x:v>PENDING_SOURCE_REVIEW</x:v>
      </x:c>
      <x:c r="AM112" s="20" t="str">
        <x:v>MEDIUM</x:v>
      </x:c>
    </x:row>
    <x:row r="113" ht="34" customHeight="1">
      <x:c r="A113" s="25" t="str">
        <x:v>FT-SEED-R1B-P-0607-19</x:v>
      </x:c>
      <x:c r="B113" s="19" t="str">
        <x:v>2006–2007</x:v>
      </x:c>
      <x:c r="C113" s="28" t="n">
        <x:v>19</x:v>
      </x:c>
      <x:c r="D113" s="31" t="str">
        <x:v>coastal flooding</x:v>
      </x:c>
      <x:c r="E113" s="31" t="str">
        <x:v>generic damage</x:v>
      </x:c>
      <x:c r="F113" s="19" t="str">
        <x:v>harm_loss_consequences</x:v>
      </x:c>
      <x:c r="G113" s="19" t="str">
        <x:v>D</x:v>
      </x:c>
      <x:c r="H113" s="19" t="str">
        <x:v>V2</x:v>
      </x:c>
      <x:c r="I113" s="19" t="str">
        <x:v>NOT_EXPOSED_IN_REPORT</x:v>
      </x:c>
      <x:c r="J113" s="19" t="str">
        <x:v>S0607-STERN</x:v>
      </x:c>
      <x:c r="K113" s="31" t="str">
        <x:v>RECONSTRUCTED_FROM_REPORT; Fear of Temperature_ Stratified Lexical Expansion, Voice Mapping, and Semantic-Relational Pre-Valida.pdf; p.10; project candidate FT-SEED-R1B-P-0607-19; original visible ID not available</x:v>
      </x:c>
      <x:c r="L113" s="31" t="str">
        <x:v>SUCCEEDED_REUSED_BASELINE</x:v>
      </x:c>
      <x:c r="M113" s="31" t="str">
        <x:v>coastal flooding</x:v>
      </x:c>
      <x:c r="N113" s="31" t="str">
        <x:v>EXACT</x:v>
      </x:c>
      <x:c r="O113" s="19" t="str">
        <x:v>1843</x:v>
      </x:c>
      <x:c r="P113" s="19" t="str">
        <x:v>2022</x:v>
      </x:c>
      <x:c r="Q113" s="34" t="n">
        <x:v>1.0343279566171759e-7</x:v>
      </x:c>
      <x:c r="R113" s="34" t="n">
        <x:v>4.927007213849366e-8</x:v>
      </x:c>
      <x:c r="S113" s="34" t="n">
        <x:v>4.964529571032522e-8</x:v>
      </x:c>
      <x:c r="T113" s="34" t="n">
        <x:v>1.0343279566171759e-7</x:v>
      </x:c>
      <x:c r="U113" s="31" t="str">
        <x:v>Candidate surface form is directly representable in the public Ngram interface. Complete 1842–2022 unsmoothed series reused from the audited quantitative-v0.1 baseline.</x:v>
      </x:c>
      <x:c r="V113" s="31" t="str">
        <x:v>NO_STANDALONE_HEADWORD</x:v>
      </x:c>
      <x:c r="W113" s="19" t="str">
        <x:v>Component lexical analysis plus anchor-source contextual meaning</x:v>
      </x:c>
      <x:c r="X113" s="31" t="str">
        <x:v>A threat, risk, harm, severity, or consequence sense in the documented source; it is not automatically an emotion.</x:v>
      </x:c>
      <x:c r="Y113" s="31" t="str">
        <x:v>Generic material, ecological, or social damage; the candidate is interpreted in its documented anchor and voice context.</x:v>
      </x:c>
      <x:c r="Z113" s="31" t="str">
        <x:v>STRONG</x:v>
      </x:c>
      <x:c r="AA113" s="19" t="str">
        <x:v>The surface form may realize multiple senses; candidate meaning remains anchored to the report-visible source context.</x:v>
      </x:c>
      <x:c r="AB113" s="31" t="str">
        <x:v>Secondary: Component headword checked: flooding.;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https://api.dictionaryapi.dev/api/v2/entries/en/coastal%20flooding; https://websters1913.timcieplowski.com/word/flooding/</x:v>
      </x:c>
      <x:c r="AC113" s="19" t="str">
        <x:v>INTERNET_ARCHIVE_METADATA_TEXT_ITEM_COUNT</x:v>
      </x:c>
      <x:c r="AD113" s="19" t="str">
        <x:v>"coastal flooding" AND mediatype:texts</x:v>
      </x:c>
      <x:c r="AE113" s="31" t="str">
        <x:v>EXACT_PHRASE</x:v>
      </x:c>
      <x:c r="AF113" s="31" t="str">
        <x:v>COMPLETED_NONZERO</x:v>
      </x:c>
      <x:c r="AG113" s="28" t="n">
        <x:v>87</x:v>
      </x:c>
      <x:c r="AH113" s="19" t="str">
        <x:v>4</x:v>
      </x:c>
      <x:c r="AI113" s="19" t="str">
        <x:v>2026-08-26</x:v>
      </x:c>
      <x:c r="AJ113" s="31" t="str">
        <x:v>Metadata text-item count; not a full-text lexical frequency. Secondary metric: Scholarly work discoverability count over OpenAlex search fields; not a corpus word frequency.</x:v>
      </x:c>
      <x:c r="AK113" s="31" t="str">
        <x:v>FULLY_COVERED</x:v>
      </x:c>
      <x:c r="AL113" s="19" t="str">
        <x:v>PENDING_SOURCE_REVIEW</x:v>
      </x:c>
      <x:c r="AM113" s="20" t="str">
        <x:v>MEDIUM</x:v>
      </x:c>
    </x:row>
    <x:row r="114" ht="34" customHeight="1">
      <x:c r="A114" s="25" t="str">
        <x:v>FT-SEED-R1B-P-0607-20</x:v>
      </x:c>
      <x:c r="B114" s="19" t="str">
        <x:v>2006–2007</x:v>
      </x:c>
      <x:c r="C114" s="28" t="n">
        <x:v>20</x:v>
      </x:c>
      <x:c r="D114" s="31" t="str">
        <x:v>worst impacts</x:v>
      </x:c>
      <x:c r="E114" s="31" t="str">
        <x:v>generic damage</x:v>
      </x:c>
      <x:c r="F114" s="19" t="str">
        <x:v>harm_loss_consequences</x:v>
      </x:c>
      <x:c r="G114" s="19" t="str">
        <x:v>D</x:v>
      </x:c>
      <x:c r="H114" s="19" t="str">
        <x:v>V2</x:v>
      </x:c>
      <x:c r="I114" s="19" t="str">
        <x:v>NOT_EXPOSED_IN_REPORT</x:v>
      </x:c>
      <x:c r="J114" s="19" t="str">
        <x:v>S0607-STERN</x:v>
      </x:c>
      <x:c r="K114" s="31" t="str">
        <x:v>RECONSTRUCTED_FROM_REPORT; Fear of Temperature_ Stratified Lexical Expansion, Voice Mapping, and Semantic-Relational Pre-Valida.pdf; p.10; project candidate FT-SEED-R1B-P-0607-20; original visible ID not available</x:v>
      </x:c>
      <x:c r="L114" s="31" t="str">
        <x:v>SUCCEEDED_REUSED_BASELINE</x:v>
      </x:c>
      <x:c r="M114" s="31" t="str">
        <x:v>worst impacts</x:v>
      </x:c>
      <x:c r="N114" s="31" t="str">
        <x:v>EXACT</x:v>
      </x:c>
      <x:c r="O114" s="19" t="str">
        <x:v>1906</x:v>
      </x:c>
      <x:c r="P114" s="19" t="str">
        <x:v>2022</x:v>
      </x:c>
      <x:c r="Q114" s="34" t="n">
        <x:v>1.9288579872211997e-8</x:v>
      </x:c>
      <x:c r="R114" s="34" t="n">
        <x:v>7.893453371835002e-9</x:v>
      </x:c>
      <x:c r="S114" s="34" t="n">
        <x:v>7.610180590734983e-9</x:v>
      </x:c>
      <x:c r="T114" s="34" t="n">
        <x:v>1.9288579872211997e-8</x:v>
      </x:c>
      <x:c r="U114" s="31" t="str">
        <x:v>Candidate surface form is directly representable in the public Ngram interface. Complete 1842–2022 unsmoothed series reused from the audited quantitative-v0.1 baseline.</x:v>
      </x:c>
      <x:c r="V114" s="31" t="str">
        <x:v>NO_STANDALONE_HEADWORD</x:v>
      </x:c>
      <x:c r="W114" s="19" t="str">
        <x:v>Component lexical analysis plus anchor-source contextual meaning</x:v>
      </x:c>
      <x:c r="X114" s="31" t="str">
        <x:v>A threat, risk, harm, severity, or consequence sense in the documented source; it is not automatically an emotion.</x:v>
      </x:c>
      <x:c r="Y114" s="31" t="str">
        <x:v>Generic material, ecological, or social damage; the candidate is interpreted in its documented anchor and voice context.</x:v>
      </x:c>
      <x:c r="Z114" s="31" t="str">
        <x:v>STRONG</x:v>
      </x:c>
      <x:c r="AA114" s="19" t="str">
        <x:v>The surface form may realize multiple senses; candidate meaning remains anchored to the report-visible source context.</x:v>
      </x:c>
      <x:c r="AB114"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https://api.dictionaryapi.dev/api/v2/entries/en/worst%20impacts; https://websters1913.timcieplowski.com/word/impacts/</x:v>
      </x:c>
      <x:c r="AC114" s="19" t="str">
        <x:v>INTERNET_ARCHIVE_METADATA_TEXT_ITEM_COUNT</x:v>
      </x:c>
      <x:c r="AD114" s="19" t="str">
        <x:v>"worst impacts" AND mediatype:texts</x:v>
      </x:c>
      <x:c r="AE114" s="31" t="str">
        <x:v>EXACT_PHRASE</x:v>
      </x:c>
      <x:c r="AF114" s="31" t="str">
        <x:v>COMPLETED_NONZERO</x:v>
      </x:c>
      <x:c r="AG114" s="28" t="n">
        <x:v>13</x:v>
      </x:c>
      <x:c r="AH114" s="19" t="str">
        <x:v>1</x:v>
      </x:c>
      <x:c r="AI114" s="19" t="str">
        <x:v>2026-08-26</x:v>
      </x:c>
      <x:c r="AJ114" s="31" t="str">
        <x:v>Metadata text-item count; not a full-text lexical frequency. Secondary metric: NOT_RUN_OPENALEX_DAILY_BUDGET_EXHAUSTED: shared provider response retained; no count fabricated.</x:v>
      </x:c>
      <x:c r="AK114" s="31" t="str">
        <x:v>FULLY_COVERED</x:v>
      </x:c>
      <x:c r="AL114" s="19" t="str">
        <x:v>PENDING_SOURCE_REVIEW</x:v>
      </x:c>
      <x:c r="AM114" s="20" t="str">
        <x:v>MEDIUM</x:v>
      </x:c>
    </x:row>
    <x:row r="115" ht="34" customHeight="1">
      <x:c r="A115" s="25" t="str">
        <x:v>FT-SEED-R1B-P-0607-21</x:v>
      </x:c>
      <x:c r="B115" s="19" t="str">
        <x:v>2006–2007</x:v>
      </x:c>
      <x:c r="C115" s="28" t="n">
        <x:v>21</x:v>
      </x:c>
      <x:c r="D115" s="31" t="str">
        <x:v>Be Worried. Be Very Worried.</x:v>
      </x:c>
      <x:c r="E115" s="31" t="str">
        <x:v>prescribed worry</x:v>
      </x:c>
      <x:c r="F115" s="19" t="str">
        <x:v>worry</x:v>
      </x:c>
      <x:c r="G115" s="19" t="str">
        <x:v>C</x:v>
      </x:c>
      <x:c r="H115" s="19" t="str">
        <x:v>V3</x:v>
      </x:c>
      <x:c r="I115" s="19" t="str">
        <x:v>E1</x:v>
      </x:c>
      <x:c r="J115" s="19" t="str">
        <x:v>S0607-TIME</x:v>
      </x:c>
      <x:c r="K115" s="31" t="str">
        <x:v>RECONSTRUCTED_FROM_REPORT; Fear of Temperature_ Stratified Lexical Expansion, Voice Mapping, and Semantic-Relational Pre-Valida.pdf; p.10; project candidate FT-SEED-R1B-P-0607-21; original visible ID not available</x:v>
      </x:c>
      <x:c r="L115" s="31" t="str">
        <x:v>ZERO_RESPONSE_NEW</x:v>
      </x:c>
      <x:c r="M115" s="31" t="str">
        <x:v>be worried be very worried</x:v>
      </x:c>
      <x:c r="N115" s="31" t="str">
        <x:v>NORMALIZED_VARIANT</x:v>
      </x:c>
      <x:c r="O115" s="19" t="str">
        <x:v>NOT_APPLICABLE</x:v>
      </x:c>
      <x:c r="P115" s="19" t="str">
        <x:v>NOT_APPLICABLE</x:v>
      </x:c>
      <x:c r="Q115" s="34" t="str">
        <x:v>NOT_APPLICABLE</x:v>
      </x:c>
      <x:c r="R115" s="34" t="str">
        <x:v>NOT_APPLICABLE</x:v>
      </x:c>
      <x:c r="S115" s="34" t="str">
        <x:v>NOT_APPLICABLE</x:v>
      </x:c>
      <x:c r="T115" s="34" t="str">
        <x:v>NOT_APPLICABLE</x:v>
      </x:c>
      <x:c r="U115" s="31" t="str">
        <x:v>Sentence punctuation and capitalization are removed while the complete wording is preserved. The public Ngram endpoint returned an empty list; retained without fabricating annual zero frequencies.</x:v>
      </x:c>
      <x:c r="V115" s="31" t="str">
        <x:v>NO_STANDALONE_HEADWORD</x:v>
      </x:c>
      <x:c r="W115" s="19" t="str">
        <x:v>Component lexical analysis plus anchor-source contextual meaning</x:v>
      </x:c>
      <x:c r="X115" s="31" t="str">
        <x:v>A mediated-public imperative prescribing worry to readers; it does not establish that readers experienced the prescribed emotion.</x:v>
      </x:c>
      <x:c r="Y115" s="31" t="str">
        <x:v>A modern media imperative prescribing worry to an audience; it is not evidence that the audience experienced or endorsed the emotion.</x:v>
      </x:c>
      <x:c r="Z115" s="31" t="str">
        <x:v>STRONG</x:v>
      </x:c>
      <x:c r="AA115" s="19" t="str">
        <x:v>Imperative wording must be separated from audience reception and participant-generated affect.</x:v>
      </x:c>
      <x:c r="AB115"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https://api.dictionaryapi.dev/api/v2/entries/en/Be%20Worried.%20Be%20Very%20Worried.; https://websters1913.timcieplowski.com/word/worried/</x:v>
      </x:c>
      <x:c r="AC115" s="19" t="str">
        <x:v>INTERNET_ARCHIVE_METADATA_TEXT_ITEM_COUNT</x:v>
      </x:c>
      <x:c r="AD115" s="19" t="str">
        <x:v>"Be Worried. Be Very Worried." AND mediatype:texts</x:v>
      </x:c>
      <x:c r="AE115" s="31" t="str">
        <x:v>EXACT_PHRASE</x:v>
      </x:c>
      <x:c r="AF115" s="31" t="str">
        <x:v>COMPLETED_ZERO</x:v>
      </x:c>
      <x:c r="AG115" s="28" t="n">
        <x:v>0</x:v>
      </x:c>
      <x:c r="AH115" s="19" t="str">
        <x:v>0</x:v>
      </x:c>
      <x:c r="AI115" s="19" t="str">
        <x:v>2026-08-26</x:v>
      </x:c>
      <x:c r="AJ115" s="31" t="str">
        <x:v>Metadata text-item count; not a full-text lexical frequency. Secondary metric: Scholarly work discoverability count over OpenAlex search fields; not a corpus word frequency.</x:v>
      </x:c>
      <x:c r="AK115" s="31" t="str">
        <x:v>FULLY_ACCOUNTED_WITH_NGRAM_ALIAS</x:v>
      </x:c>
      <x:c r="AL115" s="19" t="str">
        <x:v>NOT_APPLICABLE</x:v>
      </x:c>
      <x:c r="AM115" s="20" t="str">
        <x:v>MEDIUM</x:v>
      </x:c>
    </x:row>
    <x:row r="116" ht="34" customHeight="1">
      <x:c r="A116" s="25" t="str">
        <x:v>FT-SEED-R1B-P-0607-22</x:v>
      </x:c>
      <x:c r="B116" s="19" t="str">
        <x:v>2006–2007</x:v>
      </x:c>
      <x:c r="C116" s="28" t="n">
        <x:v>22</x:v>
      </x:c>
      <x:c r="D116" s="31" t="str">
        <x:v>personally worry</x:v>
      </x:c>
      <x:c r="E116" s="31" t="str">
        <x:v>elicited worry category</x:v>
      </x:c>
      <x:c r="F116" s="19" t="str">
        <x:v>worry</x:v>
      </x:c>
      <x:c r="G116" s="19" t="str">
        <x:v>C</x:v>
      </x:c>
      <x:c r="H116" s="19" t="str">
        <x:v>V5</x:v>
      </x:c>
      <x:c r="I116" s="19" t="str">
        <x:v>E3</x:v>
      </x:c>
      <x:c r="J116" s="19" t="str">
        <x:v>S0607-GALLUP</x:v>
      </x:c>
      <x:c r="K116" s="31" t="str">
        <x:v>RECONSTRUCTED_FROM_REPORT; Fear of Temperature_ Stratified Lexical Expansion, Voice Mapping, and Semantic-Relational Pre-Valida.pdf; p.10; project candidate FT-SEED-R1B-P-0607-22; original visible ID not available</x:v>
      </x:c>
      <x:c r="L116" s="31" t="str">
        <x:v>SUCCEEDED_NEW</x:v>
      </x:c>
      <x:c r="M116" s="31" t="str">
        <x:v>personally worry</x:v>
      </x:c>
      <x:c r="N116" s="31" t="str">
        <x:v>EXACT</x:v>
      </x:c>
      <x:c r="O116" s="19" t="str">
        <x:v>1910</x:v>
      </x:c>
      <x:c r="P116" s="19" t="str">
        <x:v>1981</x:v>
      </x:c>
      <x:c r="Q116" s="34" t="n">
        <x:v>8.570305354282937e-9</x:v>
      </x:c>
      <x:c r="R116" s="34" t="n">
        <x:v>1.9994793598598903e-9</x:v>
      </x:c>
      <x:c r="S116" s="34" t="n">
        <x:v>1.2942071372923358e-9</x:v>
      </x:c>
      <x:c r="T116" s="34" t="n">
        <x:v>4.866385072688217e-10</x:v>
      </x:c>
      <x:c r="U116" s="31" t="str">
        <x:v>Candidate surface form is directly representable in the public Ngram interface. New unsmoothed 1842–2022 series retrieved for the candidate audit.</x:v>
      </x:c>
      <x:c r="V116" s="31" t="str">
        <x:v>NO_STANDALONE_HEADWORD</x:v>
      </x:c>
      <x:c r="W116" s="19" t="str">
        <x:v>Component lexical analysis plus anchor-source contextual meaning</x:v>
      </x:c>
      <x:c r="X116" s="31" t="str">
        <x:v>Survey or instrument wording used to elicit and classify participant endorsement; the response may be participant evidence, but the lexical wording is supplied.</x:v>
      </x:c>
      <x:c r="Y116" s="31" t="str">
        <x:v>Contemporary worry wording may describe affect, but in the cited survey setting it is instrument-supplied and participant endorsement is elicited rather than spontaneous.</x:v>
      </x:c>
      <x:c r="Z116" s="31" t="str">
        <x:v>STRONG</x:v>
      </x:c>
      <x:c r="AA116" s="19" t="str">
        <x:v>Elicited endorsement, question wording, and spontaneous participant vocabulary are distinct provenance states.</x:v>
      </x:c>
      <x:c r="AB116" s="31" t="str">
        <x:v>Secondary: Component headword checked: worry.;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https://api.dictionaryapi.dev/api/v2/entries/en/personally%20worry; https://websters1913.timcieplowski.com/word/worry/</x:v>
      </x:c>
      <x:c r="AC116" s="19" t="str">
        <x:v>INTERNET_ARCHIVE_METADATA_TEXT_ITEM_COUNT</x:v>
      </x:c>
      <x:c r="AD116" s="19" t="str">
        <x:v>"personally worry" AND mediatype:texts</x:v>
      </x:c>
      <x:c r="AE116" s="31" t="str">
        <x:v>EXACT_PHRASE</x:v>
      </x:c>
      <x:c r="AF116" s="31" t="str">
        <x:v>COMPLETED_ZERO</x:v>
      </x:c>
      <x:c r="AG116" s="28" t="n">
        <x:v>0</x:v>
      </x:c>
      <x:c r="AH116" s="19" t="str">
        <x:v>0</x:v>
      </x:c>
      <x:c r="AI116" s="19" t="str">
        <x:v>2026-08-26</x:v>
      </x:c>
      <x:c r="AJ116" s="31" t="str">
        <x:v>Metadata text-item count; not a full-text lexical frequency. Secondary metric: NOT_RUN_OPENALEX_DAILY_BUDGET_EXHAUSTED: shared provider response retained; no count fabricated.</x:v>
      </x:c>
      <x:c r="AK116" s="31" t="str">
        <x:v>FULLY_COVERED</x:v>
      </x:c>
      <x:c r="AL116" s="19" t="str">
        <x:v>NOT_APPLICABLE</x:v>
      </x:c>
      <x:c r="AM116" s="20" t="str">
        <x:v>MEDIUM</x:v>
      </x:c>
    </x:row>
    <x:row r="117" ht="34" customHeight="1">
      <x:c r="A117" s="25" t="str">
        <x:v>FT-SEED-R1B-P-0607-23</x:v>
      </x:c>
      <x:c r="B117" s="19" t="str">
        <x:v>2006–2007</x:v>
      </x:c>
      <x:c r="C117" s="28" t="n">
        <x:v>23</x:v>
      </x:c>
      <x:c r="D117" s="31" t="str">
        <x:v>worry a great deal</x:v>
      </x:c>
      <x:c r="E117" s="31" t="str">
        <x:v>elicited worry category</x:v>
      </x:c>
      <x:c r="F117" s="19" t="str">
        <x:v>worry</x:v>
      </x:c>
      <x:c r="G117" s="19" t="str">
        <x:v>C</x:v>
      </x:c>
      <x:c r="H117" s="19" t="str">
        <x:v>V5</x:v>
      </x:c>
      <x:c r="I117" s="19" t="str">
        <x:v>NOT_EXPOSED_IN_REPORT</x:v>
      </x:c>
      <x:c r="J117" s="19" t="str">
        <x:v>S0607-GALLUP</x:v>
      </x:c>
      <x:c r="K117" s="31" t="str">
        <x:v>RECONSTRUCTED_FROM_REPORT; Fear of Temperature_ Stratified Lexical Expansion, Voice Mapping, and Semantic-Relational Pre-Valida.pdf; p.10; project candidate FT-SEED-R1B-P-0607-23; original visible ID not available</x:v>
      </x:c>
      <x:c r="L117" s="31" t="str">
        <x:v>SUCCEEDED_NEW</x:v>
      </x:c>
      <x:c r="M117" s="31" t="str">
        <x:v>worry a great deal</x:v>
      </x:c>
      <x:c r="N117" s="31" t="str">
        <x:v>EXACT</x:v>
      </x:c>
      <x:c r="O117" s="19" t="str">
        <x:v>1864</x:v>
      </x:c>
      <x:c r="P117" s="19" t="str">
        <x:v>1981</x:v>
      </x:c>
      <x:c r="Q117" s="34" t="n">
        <x:v>1.051101666815768e-8</x:v>
      </x:c>
      <x:c r="R117" s="34" t="n">
        <x:v>7.930994777582967e-9</x:v>
      </x:c>
      <x:c r="S117" s="34" t="n">
        <x:v>7.336361296239602e-9</x:v>
      </x:c>
      <x:c r="T117" s="34" t="n">
        <x:v>4.115746049526692e-9</x:v>
      </x:c>
      <x:c r="U117" s="31" t="str">
        <x:v>Candidate surface form is directly representable in the public Ngram interface. New unsmoothed 1842–2022 series retrieved for the candidate audit.</x:v>
      </x:c>
      <x:c r="V117" s="31" t="str">
        <x:v>NO_STANDALONE_HEADWORD</x:v>
      </x:c>
      <x:c r="W117" s="19" t="str">
        <x:v>Component lexical analysis plus anchor-source contextual meaning</x:v>
      </x:c>
      <x:c r="X117" s="31" t="str">
        <x:v>Survey or instrument wording used to elicit and classify participant endorsement; the response may be participant evidence, but the lexical wording is supplied.</x:v>
      </x:c>
      <x:c r="Y117" s="31" t="str">
        <x:v>Worry wording supplied by a survey or other instrument; the candidate is interpreted in its documented anchor and voice context.</x:v>
      </x:c>
      <x:c r="Z117" s="31" t="str">
        <x:v>STRONG</x:v>
      </x:c>
      <x:c r="AA117" s="19" t="str">
        <x:v>Elicited endorsement, question wording, and spontaneous participant vocabulary are distinct provenance states.</x:v>
      </x:c>
      <x:c r="AB117" s="31" t="str">
        <x:v>Secondary: Component headword checked: deal.;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https://api.dictionaryapi.dev/api/v2/entries/en/worry%20a%20great%20deal; https://websters1913.timcieplowski.com/word/deal/</x:v>
      </x:c>
      <x:c r="AC117" s="19" t="str">
        <x:v>INTERNET_ARCHIVE_METADATA_TEXT_ITEM_COUNT</x:v>
      </x:c>
      <x:c r="AD117" s="19" t="str">
        <x:v>"worry a great deal" AND mediatype:texts</x:v>
      </x:c>
      <x:c r="AE117" s="31" t="str">
        <x:v>EXACT_PHRASE</x:v>
      </x:c>
      <x:c r="AF117" s="31" t="str">
        <x:v>COMPLETED_NONZERO</x:v>
      </x:c>
      <x:c r="AG117" s="28" t="n">
        <x:v>3</x:v>
      </x:c>
      <x:c r="AH117" s="19" t="str">
        <x:v>0</x:v>
      </x:c>
      <x:c r="AI117" s="19" t="str">
        <x:v>2026-08-26</x:v>
      </x:c>
      <x:c r="AJ117" s="31" t="str">
        <x:v>Metadata text-item count; not a full-text lexical frequency. Secondary metric: NOT_RUN_OPENALEX_DAILY_BUDGET_EXHAUSTED: shared provider response retained; no count fabricated.</x:v>
      </x:c>
      <x:c r="AK117" s="31" t="str">
        <x:v>FULLY_COVERED</x:v>
      </x:c>
      <x:c r="AL117" s="19" t="str">
        <x:v>PENDING_SOURCE_REVIEW</x:v>
      </x:c>
      <x:c r="AM117" s="20" t="str">
        <x:v>MEDIUM</x:v>
      </x:c>
    </x:row>
    <x:row r="118" ht="34" customHeight="1">
      <x:c r="A118" s="25" t="str">
        <x:v>FT-SEED-R1B-P-0607-24</x:v>
      </x:c>
      <x:c r="B118" s="19" t="str">
        <x:v>2006–2007</x:v>
      </x:c>
      <x:c r="C118" s="28" t="n">
        <x:v>24</x:v>
      </x:c>
      <x:c r="D118" s="31" t="str">
        <x:v>serious problem</x:v>
      </x:c>
      <x:c r="E118" s="31" t="str">
        <x:v>generic damage</x:v>
      </x:c>
      <x:c r="F118" s="19" t="str">
        <x:v>harm_loss_consequences</x:v>
      </x:c>
      <x:c r="G118" s="19" t="str">
        <x:v>D</x:v>
      </x:c>
      <x:c r="H118" s="19" t="str">
        <x:v>V5</x:v>
      </x:c>
      <x:c r="I118" s="19" t="str">
        <x:v>NOT_EXPOSED_IN_REPORT</x:v>
      </x:c>
      <x:c r="J118" s="19" t="str">
        <x:v>S0607-YALE-MAR</x:v>
      </x:c>
      <x:c r="K118" s="31" t="str">
        <x:v>RECONSTRUCTED_FROM_REPORT; Fear of Temperature_ Stratified Lexical Expansion, Voice Mapping, and Semantic-Relational Pre-Valida.pdf; p.10; project candidate FT-SEED-R1B-P-0607-24; original visible ID not available</x:v>
      </x:c>
      <x:c r="L118" s="31" t="str">
        <x:v>SUCCEEDED_NEW</x:v>
      </x:c>
      <x:c r="M118" s="31" t="str">
        <x:v>serious problem</x:v>
      </x:c>
      <x:c r="N118" s="31" t="str">
        <x:v>EXACT</x:v>
      </x:c>
      <x:c r="O118" s="19" t="str">
        <x:v>1842</x:v>
      </x:c>
      <x:c r="P118" s="19" t="str">
        <x:v>1980</x:v>
      </x:c>
      <x:c r="Q118" s="34" t="n">
        <x:v>0.0000023235911891239525</x:v>
      </x:c>
      <x:c r="R118" s="34" t="n">
        <x:v>0.000001367453012855041</x:v>
      </x:c>
      <x:c r="S118" s="34" t="n">
        <x:v>0.0000013775302502841077</x:v>
      </x:c>
      <x:c r="T118" s="34" t="n">
        <x:v>7.833109815225114e-7</x:v>
      </x:c>
      <x:c r="U118" s="31" t="str">
        <x:v>Candidate surface form is directly representable in the public Ngram interface. New unsmoothed 1842–2022 series retrieved for the candidate audit.</x:v>
      </x:c>
      <x:c r="V118" s="31" t="str">
        <x:v>NO_STANDALONE_HEADWORD</x:v>
      </x:c>
      <x:c r="W118" s="19" t="str">
        <x:v>Component lexical analysis plus anchor-source contextual meaning</x:v>
      </x:c>
      <x:c r="X118" s="31" t="str">
        <x:v>A threat, risk, harm, severity, or consequence sense in the documented source; it is not automatically an emotion.</x:v>
      </x:c>
      <x:c r="Y118" s="31" t="str">
        <x:v>Generic material, ecological, or social damage; the candidate is interpreted in its documented anchor and voice context.</x:v>
      </x:c>
      <x:c r="Z118" s="31" t="str">
        <x:v>STRONG</x:v>
      </x:c>
      <x:c r="AA118" s="19" t="str">
        <x:v>The surface form may realize multiple senses; candidate meaning remains anchored to the report-visible source context.</x:v>
      </x:c>
      <x:c r="AB118"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https://api.dictionaryapi.dev/api/v2/entries/en/serious%20problem; https://websters1913.timcieplowski.com/word/problem/</x:v>
      </x:c>
      <x:c r="AC118" s="19" t="str">
        <x:v>INTERNET_ARCHIVE_METADATA_TEXT_ITEM_COUNT</x:v>
      </x:c>
      <x:c r="AD118" s="19" t="str">
        <x:v>"serious problem" AND mediatype:texts</x:v>
      </x:c>
      <x:c r="AE118" s="31" t="str">
        <x:v>EXACT_PHRASE</x:v>
      </x:c>
      <x:c r="AF118" s="31" t="str">
        <x:v>COMPLETED_NONZERO</x:v>
      </x:c>
      <x:c r="AG118" s="28" t="n">
        <x:v>2579</x:v>
      </x:c>
      <x:c r="AH118" s="19" t="str">
        <x:v>147</x:v>
      </x:c>
      <x:c r="AI118" s="19" t="str">
        <x:v>2026-08-26</x:v>
      </x:c>
      <x:c r="AJ118" s="31" t="str">
        <x:v>Metadata text-item count; not a full-text lexical frequency. Secondary metric: NOT_RUN_OPENALEX_DAILY_BUDGET_EXHAUSTED: shared provider response retained; no count fabricated.</x:v>
      </x:c>
      <x:c r="AK118" s="31" t="str">
        <x:v>FULLY_COVERED</x:v>
      </x:c>
      <x:c r="AL118" s="19" t="str">
        <x:v>PENDING_SOURCE_REVIEW</x:v>
      </x:c>
      <x:c r="AM118" s="20" t="str">
        <x:v>MEDIUM</x:v>
      </x:c>
    </x:row>
    <x:row r="119" ht="34" customHeight="1">
      <x:c r="A119" s="25" t="str">
        <x:v>FT-SEED-R1B-P-0607-25</x:v>
      </x:c>
      <x:c r="B119" s="19" t="str">
        <x:v>2006–2007</x:v>
      </x:c>
      <x:c r="C119" s="28" t="n">
        <x:v>25</x:v>
      </x:c>
      <x:c r="D119" s="31" t="str">
        <x:v>danger</x:v>
      </x:c>
      <x:c r="E119" s="31" t="str">
        <x:v>hazard evaluation</x:v>
      </x:c>
      <x:c r="F119" s="19" t="str">
        <x:v>danger_threat</x:v>
      </x:c>
      <x:c r="G119" s="19" t="str">
        <x:v>D</x:v>
      </x:c>
      <x:c r="H119" s="19" t="str">
        <x:v>V5</x:v>
      </x:c>
      <x:c r="I119" s="19" t="str">
        <x:v>NOT_EXPOSED_IN_REPORT</x:v>
      </x:c>
      <x:c r="J119" s="19" t="str">
        <x:v>S0607-YALE-MAR</x:v>
      </x:c>
      <x:c r="K119" s="31" t="str">
        <x:v>RECONSTRUCTED_FROM_REPORT; Fear of Temperature_ Stratified Lexical Expansion, Voice Mapping, and Semantic-Relational Pre-Valida.pdf; p.10; project candidate FT-SEED-R1B-P-0607-25; original visible ID not available</x:v>
      </x:c>
      <x:c r="L119" s="31" t="str">
        <x:v>SUCCEEDED_REUSED_BASELINE</x:v>
      </x:c>
      <x:c r="M119" s="31" t="str">
        <x:v>danger</x:v>
      </x:c>
      <x:c r="N119" s="31" t="str">
        <x:v>EXACT</x:v>
      </x:c>
      <x:c r="O119" s="19" t="str">
        <x:v>1842</x:v>
      </x:c>
      <x:c r="P119" s="19" t="str">
        <x:v>1848</x:v>
      </x:c>
      <x:c r="Q119" s="34" t="n">
        <x:v>0.0000680098231100601</x:v>
      </x:c>
      <x:c r="R119" s="34" t="n">
        <x:v>0.000022866885732362313</x:v>
      </x:c>
      <x:c r="S119" s="34" t="n">
        <x:v>0.000023115713736036186</x:v>
      </x:c>
      <x:c r="T119" s="34" t="n">
        <x:v>0.000034476990950049746</x:v>
      </x:c>
      <x:c r="U119" s="31" t="str">
        <x:v>Candidate surface form is directly representable in the public Ngram interface. Complete 1842–2022 unsmoothed series reused from the audited quantitative-v0.1 baseline.</x:v>
      </x:c>
      <x:c r="V119" s="31" t="str">
        <x:v>DIRECT_HEADWORD</x:v>
      </x:c>
      <x:c r="W119" s="19" t="str">
        <x:v>Webster's Revised Unabridged Dictionary (1913 public-domain headword index)</x:v>
      </x:c>
      <x:c r="X119" s="31" t="str">
        <x:v>A threat, risk, harm, severity, or consequence sense in the documented source; it is not automatically an emotion.</x:v>
      </x:c>
      <x:c r="Y119" s="31" t="str">
        <x:v>Danger or threat evaluation of a specified hazard; the candidate is interpreted in its documented anchor and voice context.</x:v>
      </x:c>
      <x:c r="Z119" s="31" t="str">
        <x:v>STRONG</x:v>
      </x:c>
      <x:c r="AA119" s="19" t="str">
        <x:v>The surface form may realize multiple senses; candidate meaning remains anchored to the report-visible source context.</x:v>
      </x:c>
      <x:c r="AB119" s="31" t="str">
        <x:v>Secondary: Component headword checked: danger.; historical: Anchor-period research source/context; Webster 1913 stable component URL recorded but automated page retrieval was unavailable; source: https://websters1913.timcieplowski.com/word/danger/; https://api.dictionaryapi.dev/api/v2/entries/en/danger</x:v>
      </x:c>
      <x:c r="AC119" s="19" t="str">
        <x:v>INTERNET_ARCHIVE_METADATA_TEXT_ITEM_COUNT</x:v>
      </x:c>
      <x:c r="AD119" s="19" t="str">
        <x:v>"danger" AND mediatype:texts</x:v>
      </x:c>
      <x:c r="AE119" s="31" t="str">
        <x:v>EXACT_PHRASE</x:v>
      </x:c>
      <x:c r="AF119" s="31" t="str">
        <x:v>COMPLETED_NONZERO</x:v>
      </x:c>
      <x:c r="AG119" s="28" t="n">
        <x:v>37158</x:v>
      </x:c>
      <x:c r="AH119" s="19" t="str">
        <x:v>2139</x:v>
      </x:c>
      <x:c r="AI119" s="19" t="str">
        <x:v>2026-08-26</x:v>
      </x:c>
      <x:c r="AJ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AK119" s="31" t="str">
        <x:v>FULLY_COVERED</x:v>
      </x:c>
      <x:c r="AL119" s="19" t="str">
        <x:v>PENDING_SOURCE_REVIEW</x:v>
      </x:c>
      <x:c r="AM119" s="20" t="str">
        <x:v>MEDIUM</x:v>
      </x:c>
    </x:row>
    <x:row r="120" ht="34" customHeight="1">
      <x:c r="A120" s="25" t="str">
        <x:v>FT-SEED-R1B-P-0607-26</x:v>
      </x:c>
      <x:c r="B120" s="19" t="str">
        <x:v>2006–2007</x:v>
      </x:c>
      <x:c r="C120" s="28" t="n">
        <x:v>26</x:v>
      </x:c>
      <x:c r="D120" s="31" t="str">
        <x:v>urgent threat</x:v>
      </x:c>
      <x:c r="E120" s="31" t="str">
        <x:v>institutional climate threat</x:v>
      </x:c>
      <x:c r="F120" s="19" t="str">
        <x:v>danger_threat</x:v>
      </x:c>
      <x:c r="G120" s="19" t="str">
        <x:v>D</x:v>
      </x:c>
      <x:c r="H120" s="19" t="str">
        <x:v>V5</x:v>
      </x:c>
      <x:c r="I120" s="19" t="str">
        <x:v>NOT_EXPOSED_IN_REPORT</x:v>
      </x:c>
      <x:c r="J120" s="19" t="str">
        <x:v>S0607-YALE-JUL</x:v>
      </x:c>
      <x:c r="K120" s="31" t="str">
        <x:v>RECONSTRUCTED_FROM_REPORT; Fear of Temperature_ Stratified Lexical Expansion, Voice Mapping, and Semantic-Relational Pre-Valida.pdf; p.10; project candidate FT-SEED-R1B-P-0607-26; original visible ID not available</x:v>
      </x:c>
      <x:c r="L120" s="31" t="str">
        <x:v>SUCCEEDED_NEW</x:v>
      </x:c>
      <x:c r="M120" s="31" t="str">
        <x:v>urgent threat</x:v>
      </x:c>
      <x:c r="N120" s="31" t="str">
        <x:v>EXACT</x:v>
      </x:c>
      <x:c r="O120" s="19" t="str">
        <x:v>1884</x:v>
      </x:c>
      <x:c r="P120" s="19" t="str">
        <x:v>2021</x:v>
      </x:c>
      <x:c r="Q120" s="34" t="n">
        <x:v>1.622662043621048e-8</x:v>
      </x:c>
      <x:c r="R120" s="34" t="n">
        <x:v>9.14479110492028e-9</x:v>
      </x:c>
      <x:c r="S120" s="34" t="n">
        <x:v>9.229664071214172e-9</x:v>
      </x:c>
      <x:c r="T120" s="34" t="n">
        <x:v>1.4156755517857889e-8</x:v>
      </x:c>
      <x:c r="U120" s="31" t="str">
        <x:v>Candidate surface form is directly representable in the public Ngram interface. New unsmoothed 1842–2022 series retrieved for the candidate audit.</x:v>
      </x:c>
      <x:c r="V120" s="31" t="str">
        <x:v>NO_STANDALONE_HEADWORD</x:v>
      </x:c>
      <x:c r="W120" s="19" t="str">
        <x:v>Component lexical analysis plus anchor-source contextual meaning</x:v>
      </x:c>
      <x:c r="X120" s="31" t="str">
        <x:v>A threat, risk, harm, severity, or consequence sense in the documented source; it is not automatically an emotion.</x:v>
      </x:c>
      <x:c r="Y120" s="31" t="str">
        <x:v>Climate change framed as an institutional threat; the candidate is interpreted in its documented anchor and voice context.</x:v>
      </x:c>
      <x:c r="Z120" s="31" t="str">
        <x:v>STRONG</x:v>
      </x:c>
      <x:c r="AA120" s="19" t="str">
        <x:v>The surface form may realize multiple senses; candidate meaning remains anchored to the report-visible source context.</x:v>
      </x:c>
      <x:c r="AB120"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https://api.dictionaryapi.dev/api/v2/entries/en/urgent%20threat; https://websters1913.timcieplowski.com/word/threat/</x:v>
      </x:c>
      <x:c r="AC120" s="19" t="str">
        <x:v>INTERNET_ARCHIVE_METADATA_TEXT_ITEM_COUNT</x:v>
      </x:c>
      <x:c r="AD120" s="19" t="str">
        <x:v>"urgent threat" AND mediatype:texts</x:v>
      </x:c>
      <x:c r="AE120" s="31" t="str">
        <x:v>EXACT_PHRASE</x:v>
      </x:c>
      <x:c r="AF120" s="31" t="str">
        <x:v>COMPLETED_NONZERO</x:v>
      </x:c>
      <x:c r="AG120" s="28" t="n">
        <x:v>11</x:v>
      </x:c>
      <x:c r="AH120" s="19" t="str">
        <x:v>0</x:v>
      </x:c>
      <x:c r="AI120" s="19" t="str">
        <x:v>2026-08-26</x:v>
      </x:c>
      <x:c r="AJ120" s="31" t="str">
        <x:v>Metadata text-item count; not a full-text lexical frequency. Secondary metric: NOT_RUN_OPENALEX_DAILY_BUDGET_EXHAUSTED: shared provider response retained; no count fabricated.</x:v>
      </x:c>
      <x:c r="AK120" s="31" t="str">
        <x:v>FULLY_COVERED</x:v>
      </x:c>
      <x:c r="AL120" s="19" t="str">
        <x:v>PENDING_SOURCE_REVIEW</x:v>
      </x:c>
      <x:c r="AM120" s="20" t="str">
        <x:v>MEDIUM</x:v>
      </x:c>
    </x:row>
    <x:row r="121" ht="34" customHeight="1">
      <x:c r="A121" s="25" t="str">
        <x:v>FT-SEED-R1B-P-0607-27</x:v>
      </x:c>
      <x:c r="B121" s="19" t="str">
        <x:v>2006–2007</x:v>
      </x:c>
      <x:c r="C121" s="28" t="n">
        <x:v>27</x:v>
      </x:c>
      <x:c r="D121" s="31" t="str">
        <x:v>dangerous impacts</x:v>
      </x:c>
      <x:c r="E121" s="31" t="str">
        <x:v>institutional climate threat</x:v>
      </x:c>
      <x:c r="F121" s="19" t="str">
        <x:v>danger_threat</x:v>
      </x:c>
      <x:c r="G121" s="19" t="str">
        <x:v>D</x:v>
      </x:c>
      <x:c r="H121" s="19" t="str">
        <x:v>V5</x:v>
      </x:c>
      <x:c r="I121" s="19" t="str">
        <x:v>NOT_EXPOSED_IN_REPORT</x:v>
      </x:c>
      <x:c r="J121" s="19" t="str">
        <x:v>S0607-YALE-JUL</x:v>
      </x:c>
      <x:c r="K121" s="31" t="str">
        <x:v>RECONSTRUCTED_FROM_REPORT; Fear of Temperature_ Stratified Lexical Expansion, Voice Mapping, and Semantic-Relational Pre-Valida.pdf; p.10; project candidate FT-SEED-R1B-P-0607-27; original visible ID not available</x:v>
      </x:c>
      <x:c r="L121" s="31" t="str">
        <x:v>SUCCEEDED_NEW</x:v>
      </x:c>
      <x:c r="M121" s="31" t="str">
        <x:v>dangerous impacts</x:v>
      </x:c>
      <x:c r="N121" s="31" t="str">
        <x:v>EXACT</x:v>
      </x:c>
      <x:c r="O121" s="19" t="str">
        <x:v>1911</x:v>
      </x:c>
      <x:c r="P121" s="19" t="str">
        <x:v>2021</x:v>
      </x:c>
      <x:c r="Q121" s="34" t="n">
        <x:v>3.806831773423003e-9</x:v>
      </x:c>
      <x:c r="R121" s="34" t="n">
        <x:v>1.7448578276679783e-9</x:v>
      </x:c>
      <x:c r="S121" s="34" t="n">
        <x:v>1.6972862126179988e-9</x:v>
      </x:c>
      <x:c r="T121" s="34" t="n">
        <x:v>3.4507092738778056e-9</x:v>
      </x:c>
      <x:c r="U121" s="31" t="str">
        <x:v>Candidate surface form is directly representable in the public Ngram interface. New unsmoothed 1842–2022 series retrieved for the candidate audit.</x:v>
      </x:c>
      <x:c r="V121" s="31" t="str">
        <x:v>NO_STANDALONE_HEADWORD</x:v>
      </x:c>
      <x:c r="W121" s="19" t="str">
        <x:v>Component lexical analysis plus anchor-source contextual meaning</x:v>
      </x:c>
      <x:c r="X121" s="31" t="str">
        <x:v>A threat, risk, harm, severity, or consequence sense in the documented source; it is not automatically an emotion.</x:v>
      </x:c>
      <x:c r="Y121" s="31" t="str">
        <x:v>Climate change framed as an institutional threat; the candidate is interpreted in its documented anchor and voice context.</x:v>
      </x:c>
      <x:c r="Z121" s="31" t="str">
        <x:v>STRONG</x:v>
      </x:c>
      <x:c r="AA121" s="19" t="str">
        <x:v>The surface form may realize multiple senses; candidate meaning remains anchored to the report-visible source context.</x:v>
      </x:c>
      <x:c r="AB12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https://api.dictionaryapi.dev/api/v2/entries/en/dangerous%20impacts; https://websters1913.timcieplowski.com/word/impacts/</x:v>
      </x:c>
      <x:c r="AC121" s="19" t="str">
        <x:v>INTERNET_ARCHIVE_METADATA_TEXT_ITEM_COUNT</x:v>
      </x:c>
      <x:c r="AD121" s="19" t="str">
        <x:v>"dangerous impacts" AND mediatype:texts</x:v>
      </x:c>
      <x:c r="AE121" s="31" t="str">
        <x:v>EXACT_PHRASE</x:v>
      </x:c>
      <x:c r="AF121" s="31" t="str">
        <x:v>COMPLETED_NONZERO</x:v>
      </x:c>
      <x:c r="AG121" s="28" t="n">
        <x:v>3</x:v>
      </x:c>
      <x:c r="AH121" s="19" t="str">
        <x:v>0</x:v>
      </x:c>
      <x:c r="AI121" s="19" t="str">
        <x:v>2026-08-26</x:v>
      </x:c>
      <x:c r="AJ121" s="31" t="str">
        <x:v>Metadata text-item count; not a full-text lexical frequency. Secondary metric: NOT_RUN_OPENALEX_DAILY_BUDGET_EXHAUSTED: shared provider response retained; no count fabricated.</x:v>
      </x:c>
      <x:c r="AK121" s="31" t="str">
        <x:v>FULLY_COVERED</x:v>
      </x:c>
      <x:c r="AL121" s="19" t="str">
        <x:v>PENDING_SOURCE_REVIEW</x:v>
      </x:c>
      <x:c r="AM121" s="20" t="str">
        <x:v>MEDIUM</x:v>
      </x:c>
    </x:row>
    <x:row r="122" ht="34" customHeight="1">
      <x:c r="A122" s="25" t="str">
        <x:v>FT-SEED-R1B-P-0607-28</x:v>
      </x:c>
      <x:c r="B122" s="19" t="str">
        <x:v>2006–2007</x:v>
      </x:c>
      <x:c r="C122" s="28" t="n">
        <x:v>28</x:v>
      </x:c>
      <x:c r="D122" s="31" t="str">
        <x:v>drastic action</x:v>
      </x:c>
      <x:c r="E122" s="31" t="str">
        <x:v>generic damage</x:v>
      </x:c>
      <x:c r="F122" s="19" t="str">
        <x:v>harm_loss_consequences</x:v>
      </x:c>
      <x:c r="G122" s="19" t="str">
        <x:v>D</x:v>
      </x:c>
      <x:c r="H122" s="19" t="str">
        <x:v>V5</x:v>
      </x:c>
      <x:c r="I122" s="19" t="str">
        <x:v>NOT_EXPOSED_IN_REPORT</x:v>
      </x:c>
      <x:c r="J122" s="19" t="str">
        <x:v>S0607-YALE-JUL</x:v>
      </x:c>
      <x:c r="K122" s="31" t="str">
        <x:v>RECONSTRUCTED_FROM_REPORT; Fear of Temperature_ Stratified Lexical Expansion, Voice Mapping, and Semantic-Relational Pre-Valida.pdf; p.10; project candidate FT-SEED-R1B-P-0607-28; original visible ID not available</x:v>
      </x:c>
      <x:c r="L122" s="31" t="str">
        <x:v>SUCCEEDED_NEW</x:v>
      </x:c>
      <x:c r="M122" s="31" t="str">
        <x:v>drastic action</x:v>
      </x:c>
      <x:c r="N122" s="31" t="str">
        <x:v>EXACT</x:v>
      </x:c>
      <x:c r="O122" s="19" t="str">
        <x:v>1843</x:v>
      </x:c>
      <x:c r="P122" s="19" t="str">
        <x:v>1918</x:v>
      </x:c>
      <x:c r="Q122" s="34" t="n">
        <x:v>4.5693959421777564e-7</x:v>
      </x:c>
      <x:c r="R122" s="34" t="n">
        <x:v>9.450825471345181e-8</x:v>
      </x:c>
      <x:c r="S122" s="34" t="n">
        <x:v>9.88963815796648e-8</x:v>
      </x:c>
      <x:c r="T122" s="34" t="n">
        <x:v>8.657740815931625e-8</x:v>
      </x:c>
      <x:c r="U122" s="31" t="str">
        <x:v>Candidate surface form is directly representable in the public Ngram interface. New unsmoothed 1842–2022 series retrieved for the candidate audit.</x:v>
      </x:c>
      <x:c r="V122" s="31" t="str">
        <x:v>NO_STANDALONE_HEADWORD</x:v>
      </x:c>
      <x:c r="W122" s="19" t="str">
        <x:v>Component lexical analysis plus anchor-source contextual meaning</x:v>
      </x:c>
      <x:c r="X122" s="31" t="str">
        <x:v>A threat, risk, harm, severity, or consequence sense in the documented source; it is not automatically an emotion.</x:v>
      </x:c>
      <x:c r="Y122" s="31" t="str">
        <x:v>Generic material, ecological, or social damage; the candidate is interpreted in its documented anchor and voice context.</x:v>
      </x:c>
      <x:c r="Z122" s="31" t="str">
        <x:v>STRONG</x:v>
      </x:c>
      <x:c r="AA122" s="19" t="str">
        <x:v>The surface form may realize multiple senses; candidate meaning remains anchored to the report-visible source context.</x:v>
      </x:c>
      <x:c r="AB122" s="31" t="str">
        <x:v>Secondary: Component headword checked: action.;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https://api.dictionaryapi.dev/api/v2/entries/en/drastic%20action; https://websters1913.timcieplowski.com/word/action/</x:v>
      </x:c>
      <x:c r="AC122" s="19" t="str">
        <x:v>INTERNET_ARCHIVE_METADATA_TEXT_ITEM_COUNT</x:v>
      </x:c>
      <x:c r="AD122" s="19" t="str">
        <x:v>"drastic action" AND mediatype:texts</x:v>
      </x:c>
      <x:c r="AE122" s="31" t="str">
        <x:v>EXACT_PHRASE</x:v>
      </x:c>
      <x:c r="AF122" s="31" t="str">
        <x:v>COMPLETED_NONZERO</x:v>
      </x:c>
      <x:c r="AG122" s="28" t="n">
        <x:v>532</x:v>
      </x:c>
      <x:c r="AH122" s="19" t="str">
        <x:v>4</x:v>
      </x:c>
      <x:c r="AI122" s="19" t="str">
        <x:v>2026-08-26</x:v>
      </x:c>
      <x:c r="AJ122" s="31" t="str">
        <x:v>Metadata text-item count; not a full-text lexical frequency. Secondary metric: NOT_RUN_OPENALEX_DAILY_BUDGET_EXHAUSTED: shared provider response retained; no count fabricated.</x:v>
      </x:c>
      <x:c r="AK122" s="31" t="str">
        <x:v>FULLY_COVERED</x:v>
      </x:c>
      <x:c r="AL122" s="19" t="str">
        <x:v>PENDING_SOURCE_REVIEW</x:v>
      </x:c>
      <x:c r="AM122" s="20" t="str">
        <x:v>MEDIUM</x:v>
      </x:c>
    </x:row>
    <x:row r="123" ht="34" customHeight="1">
      <x:c r="A123" s="25" t="str">
        <x:v>FT-SEED-R1B-P-0607-29</x:v>
      </x:c>
      <x:c r="B123" s="19" t="str">
        <x:v>2006–2007</x:v>
      </x:c>
      <x:c r="C123" s="28" t="n">
        <x:v>29</x:v>
      </x:c>
      <x:c r="D123" s="31" t="str">
        <x:v>dangerous climate change</x:v>
      </x:c>
      <x:c r="E123" s="31" t="str">
        <x:v>modern climate change</x:v>
      </x:c>
      <x:c r="F123" s="19" t="str">
        <x:v>climate</x:v>
      </x:c>
      <x:c r="G123" s="19" t="str">
        <x:v>D</x:v>
      </x:c>
      <x:c r="H123" s="19" t="str">
        <x:v>V4</x:v>
      </x:c>
      <x:c r="I123" s="19" t="str">
        <x:v>NOT_EXPOSED_IN_REPORT</x:v>
      </x:c>
      <x:c r="J123" s="19" t="str">
        <x:v>S0607-CCNI</x:v>
      </x:c>
      <x:c r="K123" s="31" t="str">
        <x:v>RECONSTRUCTED_FROM_REPORT; Fear of Temperature_ Stratified Lexical Expansion, Voice Mapping, and Semantic-Relational Pre-Valida.pdf; p.10; project candidate FT-SEED-R1B-P-0607-29; original visible ID not available</x:v>
      </x:c>
      <x:c r="L123" s="31" t="str">
        <x:v>SUCCEEDED_NEW</x:v>
      </x:c>
      <x:c r="M123" s="31" t="str">
        <x:v>dangerous climate change</x:v>
      </x:c>
      <x:c r="N123" s="31" t="str">
        <x:v>EXACT</x:v>
      </x:c>
      <x:c r="O123" s="19" t="str">
        <x:v>1843</x:v>
      </x:c>
      <x:c r="P123" s="19" t="str">
        <x:v>2009</x:v>
      </x:c>
      <x:c r="Q123" s="34" t="n">
        <x:v>5.960008092609215e-8</x:v>
      </x:c>
      <x:c r="R123" s="34" t="n">
        <x:v>4.0968505851668446e-8</x:v>
      </x:c>
      <x:c r="S123" s="34" t="n">
        <x:v>3.854462884284038e-8</x:v>
      </x:c>
      <x:c r="T123" s="34" t="n">
        <x:v>2.9088631392504283e-8</x:v>
      </x:c>
      <x:c r="U123" s="31" t="str">
        <x:v>Candidate surface form is directly representable in the public Ngram interface. New unsmoothed 1842–2022 series retrieved for the candidate audit.</x:v>
      </x:c>
      <x:c r="V123" s="31" t="str">
        <x:v>TECHNICAL_GLOSSARY</x:v>
      </x:c>
      <x:c r="W123" s="19" t="str">
        <x:v>IPCC climate-science glossary / assessment terminology</x:v>
      </x:c>
      <x:c r="X123" s="31" t="str">
        <x:v>A threat, risk, harm, severity, or consequence sense in the documented source; it is not automatically an emotion.</x:v>
      </x:c>
      <x:c r="Y123" s="31" t="str">
        <x:v>Modern climate change as an anthropogenic scientific, public, or governance problem; the candidate is interpreted in its documented anchor and voice context.</x:v>
      </x:c>
      <x:c r="Z123" s="31" t="str">
        <x:v>STRONG</x:v>
      </x:c>
      <x:c r="AA123" s="19" t="str">
        <x:v>The surface form may realize multiple senses; candidate meaning remains anchored to the report-visible source context.</x:v>
      </x:c>
      <x:c r="AB123"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https://api.dictionaryapi.dev/api/v2/entries/en/dangerous%20climate%20change; https://websters1913.timcieplowski.com/word/change/</x:v>
      </x:c>
      <x:c r="AC123" s="19" t="str">
        <x:v>INTERNET_ARCHIVE_METADATA_TEXT_ITEM_COUNT</x:v>
      </x:c>
      <x:c r="AD123" s="19" t="str">
        <x:v>"dangerous climate change" AND mediatype:texts</x:v>
      </x:c>
      <x:c r="AE123" s="31" t="str">
        <x:v>EXACT_PHRASE</x:v>
      </x:c>
      <x:c r="AF123" s="31" t="str">
        <x:v>COMPLETED_NONZERO</x:v>
      </x:c>
      <x:c r="AG123" s="28" t="n">
        <x:v>28</x:v>
      </x:c>
      <x:c r="AH123" s="19" t="str">
        <x:v>5</x:v>
      </x:c>
      <x:c r="AI123" s="19" t="str">
        <x:v>2026-08-26</x:v>
      </x:c>
      <x:c r="AJ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AK123" s="31" t="str">
        <x:v>FULLY_COVERED</x:v>
      </x:c>
      <x:c r="AL123" s="19" t="str">
        <x:v>PENDING_SOURCE_REVIEW</x:v>
      </x:c>
      <x:c r="AM123" s="20" t="str">
        <x:v>MEDIUM</x:v>
      </x:c>
    </x:row>
    <x:row r="124" ht="34" customHeight="1">
      <x:c r="A124" s="25" t="str">
        <x:v>FT-SEED-R1B-P-0607-30</x:v>
      </x:c>
      <x:c r="B124" s="19" t="str">
        <x:v>2006–2007</x:v>
      </x:c>
      <x:c r="C124" s="28" t="n">
        <x:v>30</x:v>
      </x:c>
      <x:c r="D124" s="31" t="str">
        <x:v>threatens serious negative effects</x:v>
      </x:c>
      <x:c r="E124" s="31" t="str">
        <x:v>institutional climate threat</x:v>
      </x:c>
      <x:c r="F124" s="19" t="str">
        <x:v>danger_threat</x:v>
      </x:c>
      <x:c r="G124" s="19" t="str">
        <x:v>D</x:v>
      </x:c>
      <x:c r="H124" s="19" t="str">
        <x:v>V4</x:v>
      </x:c>
      <x:c r="I124" s="19" t="str">
        <x:v>NOT_EXPOSED_IN_REPORT</x:v>
      </x:c>
      <x:c r="J124" s="19" t="str">
        <x:v>S0607-CCNI</x:v>
      </x:c>
      <x:c r="K124" s="31" t="str">
        <x:v>RECONSTRUCTED_FROM_REPORT; Fear of Temperature_ Stratified Lexical Expansion, Voice Mapping, and Semantic-Relational Pre-Valida.pdf; p.10; project candidate FT-SEED-R1B-P-0607-30; original visible ID not available</x:v>
      </x:c>
      <x:c r="L124" s="31" t="str">
        <x:v>ZERO_RESPONSE_NEW</x:v>
      </x:c>
      <x:c r="M124" s="31" t="str">
        <x:v>threatens serious negative effects</x:v>
      </x:c>
      <x:c r="N124" s="31" t="str">
        <x:v>EXACT</x:v>
      </x:c>
      <x:c r="O124" s="19" t="str">
        <x:v>NOT_APPLICABLE</x:v>
      </x:c>
      <x:c r="P124" s="19" t="str">
        <x:v>NOT_APPLICABLE</x:v>
      </x:c>
      <x:c r="Q124" s="34" t="str">
        <x:v>NOT_APPLICABLE</x:v>
      </x:c>
      <x:c r="R124" s="34" t="str">
        <x:v>NOT_APPLICABLE</x:v>
      </x:c>
      <x:c r="S124" s="34" t="str">
        <x:v>NOT_APPLICABLE</x:v>
      </x:c>
      <x:c r="T124" s="34" t="str">
        <x:v>NOT_APPLICABLE</x:v>
      </x:c>
      <x:c r="U124" s="31" t="str">
        <x:v>Candidate surface form is directly representable in the public Ngram interface. The public Ngram endpoint returned an empty list; retained without fabricating annual zero frequencies.</x:v>
      </x:c>
      <x:c r="V124" s="31" t="str">
        <x:v>NO_STANDALONE_HEADWORD</x:v>
      </x:c>
      <x:c r="W124" s="19" t="str">
        <x:v>Component lexical analysis plus anchor-source contextual meaning</x:v>
      </x:c>
      <x:c r="X124" s="31" t="str">
        <x:v>A threat, risk, harm, severity, or consequence sense in the documented source; it is not automatically an emotion.</x:v>
      </x:c>
      <x:c r="Y124" s="31" t="str">
        <x:v>Climate change framed as an institutional threat; the candidate is interpreted in its documented anchor and voice context.</x:v>
      </x:c>
      <x:c r="Z124" s="31" t="str">
        <x:v>STRONG</x:v>
      </x:c>
      <x:c r="AA124" s="19" t="str">
        <x:v>The surface form may realize multiple senses; candidate meaning remains anchored to the report-visible source context.</x:v>
      </x:c>
      <x:c r="AB124" s="31" t="str">
        <x:v>Secondary: Component headword checked: effects.; historical: Anchor-period research source/context; Webster 1913 stable component URL recorded but automated page retrieval was unavailable; source: Fear of Temperature_ Stratified Lexical Expansion, Voice Mapping, and Semantic-Relational Pre-Valida.pdf#page=10; https://api.dictionaryapi.dev/api/v2/entries/en/threatens%20serious%20negative%20effects; https://websters1913.timcieplowski.com/word/effects/</x:v>
      </x:c>
      <x:c r="AC124" s="19" t="str">
        <x:v>INTERNET_ARCHIVE_METADATA_TEXT_ITEM_COUNT</x:v>
      </x:c>
      <x:c r="AD124" s="19" t="str">
        <x:v>"threatens serious negative effects" AND mediatype:texts</x:v>
      </x:c>
      <x:c r="AE124" s="31" t="str">
        <x:v>EXACT_PHRASE</x:v>
      </x:c>
      <x:c r="AF124" s="31" t="str">
        <x:v>COMPLETED_ZERO</x:v>
      </x:c>
      <x:c r="AG124" s="28" t="n">
        <x:v>0</x:v>
      </x:c>
      <x:c r="AH124" s="19" t="str">
        <x:v>0</x:v>
      </x:c>
      <x:c r="AI124" s="19" t="str">
        <x:v>2026-08-26</x:v>
      </x:c>
      <x:c r="AJ124" s="31" t="str">
        <x:v>Metadata text-item count; not a full-text lexical frequency. Secondary metric: NOT_RUN_OPENALEX_DAILY_BUDGET_EXHAUSTED: shared provider response retained; no count fabricated.</x:v>
      </x:c>
      <x:c r="AK124" s="31" t="str">
        <x:v>FULLY_COVERED</x:v>
      </x:c>
      <x:c r="AL124" s="19" t="str">
        <x:v>PENDING_SOURCE_REVIEW</x:v>
      </x:c>
      <x:c r="AM124" s="20" t="str">
        <x:v>MEDIUM</x:v>
      </x:c>
    </x:row>
    <x:row r="125" ht="34" customHeight="1">
      <x:c r="A125" s="25" t="str">
        <x:v>FT-SEED-R1B-P-2015-01</x:v>
      </x:c>
      <x:c r="B125" s="19" t="str">
        <x:v>2015</x:v>
      </x:c>
      <x:c r="C125" s="28" t="n">
        <x:v>1</x:v>
      </x:c>
      <x:c r="D125" s="31" t="str">
        <x:v>climate change</x:v>
      </x:c>
      <x:c r="E125" s="31" t="str">
        <x:v>modern climate change</x:v>
      </x:c>
      <x:c r="F125" s="19" t="str">
        <x:v>climate</x:v>
      </x:c>
      <x:c r="G125" s="19" t="str">
        <x:v>B</x:v>
      </x:c>
      <x:c r="H125" s="19" t="str">
        <x:v>V2</x:v>
      </x:c>
      <x:c r="I125" s="19" t="str">
        <x:v>NOT_EXPOSED_IN_REPORT</x:v>
      </x:c>
      <x:c r="J125" s="19" t="str">
        <x:v>S2015-PARIS</x:v>
      </x:c>
      <x:c r="K125" s="31" t="str">
        <x:v>RECONSTRUCTED_FROM_REPORT; Fear of Temperature_ Stratified Lexical Expansion, Voice Mapping, and Semantic-Relational Pre-Valida.pdf; p.11; project candidate FT-SEED-R1B-P-2015-01; original visible ID not available</x:v>
      </x:c>
      <x:c r="L125" s="31" t="str">
        <x:v>SUCCEEDED_REUSED_BASELINE</x:v>
      </x:c>
      <x:c r="M125" s="31" t="str">
        <x:v>climate change</x:v>
      </x:c>
      <x:c r="N125" s="31" t="str">
        <x:v>EXACT</x:v>
      </x:c>
      <x:c r="O125" s="19" t="str">
        <x:v>1842</x:v>
      </x:c>
      <x:c r="P125" s="19" t="str">
        <x:v>2022</x:v>
      </x:c>
      <x:c r="Q125" s="34" t="n">
        <x:v>0.00002890008815206735</x:v>
      </x:c>
      <x:c r="R125" s="34" t="n">
        <x:v>0.00001967096413684616</x:v>
      </x:c>
      <x:c r="S125" s="34" t="n">
        <x:v>0.000018854750985463492</x:v>
      </x:c>
      <x:c r="T125" s="34" t="n">
        <x:v>0.00002890008815206735</x:v>
      </x:c>
      <x:c r="U125" s="31" t="str">
        <x:v>Candidate surface form is directly representable in the public Ngram interface. Complete 1842–2022 unsmoothed series reused from the audited quantitative-v0.1 baseline.</x:v>
      </x:c>
      <x:c r="V125" s="31" t="str">
        <x:v>TECHNICAL_GLOSSARY</x:v>
      </x:c>
      <x:c r="W125" s="19" t="str">
        <x:v>IPCC climate-science glossary / assessment terminology</x:v>
      </x:c>
      <x:c r="X125" s="31" t="str">
        <x:v>The established modern issue label for sustained climatic change, used in institutional, scientific, or public contexts depending on voice.</x:v>
      </x:c>
      <x:c r="Y125" s="31" t="str">
        <x:v>A persistent change in the state or variability of climate; institutional definitions differ on whether human attribution is required.</x:v>
      </x:c>
      <x:c r="Z125" s="31" t="str">
        <x:v>STRONG</x:v>
      </x:c>
      <x:c r="AA125" s="19" t="str">
        <x:v>The modern issue label must still be distinguished from generic change and historical climatic variability.</x:v>
      </x:c>
      <x:c r="AB12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25" s="19" t="str">
        <x:v>INTERNET_ARCHIVE_METADATA_TEXT_ITEM_COUNT</x:v>
      </x:c>
      <x:c r="AD125" s="19" t="str">
        <x:v>"climate change" AND mediatype:texts</x:v>
      </x:c>
      <x:c r="AE125" s="31" t="str">
        <x:v>EXACT_PHRASE</x:v>
      </x:c>
      <x:c r="AF125" s="31" t="str">
        <x:v>COMPLETED_NONZERO</x:v>
      </x:c>
      <x:c r="AG125" s="28" t="n">
        <x:v>30525</x:v>
      </x:c>
      <x:c r="AH125" s="19" t="str">
        <x:v>1334</x:v>
      </x:c>
      <x:c r="AI125" s="19" t="str">
        <x:v>2026-08-26</x:v>
      </x:c>
      <x:c r="AJ125" s="31" t="str">
        <x:v>Metadata text-item count; not a full-text lexical frequency. Secondary metric: Scholarly work discoverability count over OpenAlex search fields; not a corpus word frequency.</x:v>
      </x:c>
      <x:c r="AK125" s="31" t="str">
        <x:v>FULLY_COVERED</x:v>
      </x:c>
      <x:c r="AL125" s="19" t="str">
        <x:v>PENDING_SOURCE_REVIEW</x:v>
      </x:c>
      <x:c r="AM125" s="20" t="str">
        <x:v>MEDIUM</x:v>
      </x:c>
    </x:row>
    <x:row r="126" ht="34" customHeight="1">
      <x:c r="A126" s="25" t="str">
        <x:v>FT-SEED-R1B-P-2015-02</x:v>
      </x:c>
      <x:c r="B126" s="19" t="str">
        <x:v>2015</x:v>
      </x:c>
      <x:c r="C126" s="28" t="n">
        <x:v>2</x:v>
      </x:c>
      <x:c r="D126" s="31" t="str">
        <x:v>threat of climate change</x:v>
      </x:c>
      <x:c r="E126" s="31" t="str">
        <x:v>modern climate change</x:v>
      </x:c>
      <x:c r="F126" s="19" t="str">
        <x:v>climate</x:v>
      </x:c>
      <x:c r="G126" s="19" t="str">
        <x:v>D</x:v>
      </x:c>
      <x:c r="H126" s="19" t="str">
        <x:v>V2</x:v>
      </x:c>
      <x:c r="I126" s="19" t="str">
        <x:v>NOT_EXPOSED_IN_REPORT</x:v>
      </x:c>
      <x:c r="J126" s="19" t="str">
        <x:v>S2015-PARIS</x:v>
      </x:c>
      <x:c r="K126" s="31" t="str">
        <x:v>RECONSTRUCTED_FROM_REPORT; Fear of Temperature_ Stratified Lexical Expansion, Voice Mapping, and Semantic-Relational Pre-Valida.pdf; p.11; project candidate FT-SEED-R1B-P-2015-02; original visible ID not available</x:v>
      </x:c>
      <x:c r="L126" s="31" t="str">
        <x:v>SUCCEEDED_REUSED_BASELINE</x:v>
      </x:c>
      <x:c r="M126" s="31" t="str">
        <x:v>threat of climate change</x:v>
      </x:c>
      <x:c r="N126" s="31" t="str">
        <x:v>EXACT</x:v>
      </x:c>
      <x:c r="O126" s="19" t="str">
        <x:v>1900</x:v>
      </x:c>
      <x:c r="P126" s="19" t="str">
        <x:v>2021</x:v>
      </x:c>
      <x:c r="Q126" s="34" t="n">
        <x:v>1.1604019513333785e-7</x:v>
      </x:c>
      <x:c r="R126" s="34" t="n">
        <x:v>4.538047629343289e-8</x:v>
      </x:c>
      <x:c r="S126" s="34" t="n">
        <x:v>4.426350256348891e-8</x:v>
      </x:c>
      <x:c r="T126" s="34" t="n">
        <x:v>1.1407222426373931e-7</x:v>
      </x:c>
      <x:c r="U126" s="31" t="str">
        <x:v>Candidate surface form is directly representable in the public Ngram interface. Complete 1842–2022 unsmoothed series reused from the audited quantitative-v0.1 baseline.</x:v>
      </x:c>
      <x:c r="V126" s="31" t="str">
        <x:v>NO_STANDALONE_HEADWORD</x:v>
      </x:c>
      <x:c r="W126" s="19" t="str">
        <x:v>Component lexical analysis plus anchor-source contextual meaning</x:v>
      </x:c>
      <x:c r="X126" s="31" t="str">
        <x:v>A threat, risk, harm, severity, or consequence sense in the documented source; it is not automatically an emotion.</x:v>
      </x:c>
      <x:c r="Y126" s="31" t="str">
        <x:v>Modern climate change as an anthropogenic scientific, public, or governance problem; the candidate is interpreted in its documented anchor and voice context.</x:v>
      </x:c>
      <x:c r="Z126" s="31" t="str">
        <x:v>STRONG</x:v>
      </x:c>
      <x:c r="AA126" s="19" t="str">
        <x:v>The surface form may realize multiple senses; candidate meaning remains anchored to the report-visible source context.</x:v>
      </x:c>
      <x:c r="AB126"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https://api.dictionaryapi.dev/api/v2/entries/en/threat%20of%20climate%20change; https://websters1913.timcieplowski.com/word/change/</x:v>
      </x:c>
      <x:c r="AC126" s="19" t="str">
        <x:v>INTERNET_ARCHIVE_METADATA_TEXT_ITEM_COUNT</x:v>
      </x:c>
      <x:c r="AD126" s="19" t="str">
        <x:v>"threat of climate change" AND mediatype:texts</x:v>
      </x:c>
      <x:c r="AE126" s="31" t="str">
        <x:v>EXACT_PHRASE</x:v>
      </x:c>
      <x:c r="AF126" s="31" t="str">
        <x:v>COMPLETED_NONZERO</x:v>
      </x:c>
      <x:c r="AG126" s="28" t="n">
        <x:v>42</x:v>
      </x:c>
      <x:c r="AH126" s="19" t="str">
        <x:v>3</x:v>
      </x:c>
      <x:c r="AI126" s="19" t="str">
        <x:v>2026-08-26</x:v>
      </x:c>
      <x:c r="AJ126" s="31" t="str">
        <x:v>Metadata text-item count; not a full-text lexical frequency. Secondary metric: NOT_RUN_OPENALEX_DAILY_BUDGET_EXHAUSTED: shared provider response retained; no count fabricated.</x:v>
      </x:c>
      <x:c r="AK126" s="31" t="str">
        <x:v>FULLY_COVERED</x:v>
      </x:c>
      <x:c r="AL126" s="19" t="str">
        <x:v>PENDING_SOURCE_REVIEW</x:v>
      </x:c>
      <x:c r="AM126" s="20" t="str">
        <x:v>MEDIUM</x:v>
      </x:c>
    </x:row>
    <x:row r="127" ht="34" customHeight="1">
      <x:c r="A127" s="25" t="str">
        <x:v>FT-SEED-R1B-P-2015-03</x:v>
      </x:c>
      <x:c r="B127" s="19" t="str">
        <x:v>2015</x:v>
      </x:c>
      <x:c r="C127" s="28" t="n">
        <x:v>3</x:v>
      </x:c>
      <x:c r="D127" s="31" t="str">
        <x:v>global average temperature</x:v>
      </x:c>
      <x:c r="E127" s="31" t="str">
        <x:v>global aggregate temperature</x:v>
      </x:c>
      <x:c r="F127" s="19" t="str">
        <x:v>temperature_threshold</x:v>
      </x:c>
      <x:c r="G127" s="19" t="str">
        <x:v>A</x:v>
      </x:c>
      <x:c r="H127" s="19" t="str">
        <x:v>V2</x:v>
      </x:c>
      <x:c r="I127" s="19" t="str">
        <x:v>NOT_EXPOSED_IN_REPORT</x:v>
      </x:c>
      <x:c r="J127" s="19" t="str">
        <x:v>S2015-PARIS</x:v>
      </x:c>
      <x:c r="K127" s="31" t="str">
        <x:v>RECONSTRUCTED_FROM_REPORT; Fear of Temperature_ Stratified Lexical Expansion, Voice Mapping, and Semantic-Relational Pre-Valida.pdf; p.11; project candidate FT-SEED-R1B-P-2015-03; original visible ID not available</x:v>
      </x:c>
      <x:c r="L127" s="31" t="str">
        <x:v>SUCCEEDED_REUSED_BASELINE</x:v>
      </x:c>
      <x:c r="M127" s="31" t="str">
        <x:v>global average temperature</x:v>
      </x:c>
      <x:c r="N127" s="31" t="str">
        <x:v>EXACT</x:v>
      </x:c>
      <x:c r="O127" s="19" t="str">
        <x:v>1869</x:v>
      </x:c>
      <x:c r="P127" s="19" t="str">
        <x:v>2022</x:v>
      </x:c>
      <x:c r="Q127" s="34" t="n">
        <x:v>7.577234045763603e-8</x:v>
      </x:c>
      <x:c r="R127" s="34" t="n">
        <x:v>4.038937463646253e-8</x:v>
      </x:c>
      <x:c r="S127" s="34" t="n">
        <x:v>4.3346591080406505e-8</x:v>
      </x:c>
      <x:c r="T127" s="34" t="n">
        <x:v>7.577234045763603e-8</x:v>
      </x:c>
      <x:c r="U127" s="31" t="str">
        <x:v>Candidate surface form is directly representable in the public Ngram interface. Complete 1842–2022 unsmoothed series reused from the audited quantitative-v0.1 baseline.</x:v>
      </x:c>
      <x:c r="V127" s="31" t="str">
        <x:v>TECHNICAL_GLOSSARY</x:v>
      </x:c>
      <x:c r="W127" s="19" t="str">
        <x:v>IPCC climate-science glossary / assessment terminology</x:v>
      </x:c>
      <x:c r="X127" s="31" t="str">
        <x:v>A physical temperature, warming, heat, or measurement sense in the documented anchor context.</x:v>
      </x:c>
      <x:c r="Y127" s="31" t="str">
        <x:v>A global-scale aggregate temperature metric; the candidate is interpreted in its documented anchor and voice context.</x:v>
      </x:c>
      <x:c r="Z127" s="31" t="str">
        <x:v>STRONG</x:v>
      </x:c>
      <x:c r="AA127" s="19" t="str">
        <x:v>The surface form may realize multiple senses; candidate meaning remains anchored to the report-visible source context.</x:v>
      </x:c>
      <x:c r="AB127" s="31" t="str">
        <x:v>Secondary: Component headword checked: temperature.; historical: Anchor-period research source/context; Webster 1913 stable component URL recorded but automated page retrieval was unavailable; source: https://www.ipcc.ch/site/assets/uploads/2018/02/WGIIAR5-AnnexII_FINAL.pdf; https://api.dictionaryapi.dev/api/v2/entries/en/global%20average%20temperature; https://websters1913.timcieplowski.com/word/temperature/</x:v>
      </x:c>
      <x:c r="AC127" s="19" t="str">
        <x:v>INTERNET_ARCHIVE_METADATA_TEXT_ITEM_COUNT</x:v>
      </x:c>
      <x:c r="AD127" s="19" t="str">
        <x:v>"global average temperature" AND mediatype:texts</x:v>
      </x:c>
      <x:c r="AE127" s="31" t="str">
        <x:v>EXACT_PHRASE</x:v>
      </x:c>
      <x:c r="AF127" s="31" t="str">
        <x:v>COMPLETED_NONZERO</x:v>
      </x:c>
      <x:c r="AG127" s="28" t="n">
        <x:v>25</x:v>
      </x:c>
      <x:c r="AH127" s="19" t="str">
        <x:v>2</x:v>
      </x:c>
      <x:c r="AI127" s="19" t="str">
        <x:v>2026-08-26</x:v>
      </x:c>
      <x:c r="AJ127" s="31" t="str">
        <x:v>Metadata text-item count; not a full-text lexical frequency. Secondary metric: NOT_RUN_OPENALEX_DAILY_BUDGET_EXHAUSTED: shared provider response retained; no count fabricated.</x:v>
      </x:c>
      <x:c r="AK127" s="31" t="str">
        <x:v>FULLY_COVERED</x:v>
      </x:c>
      <x:c r="AL127" s="19" t="str">
        <x:v>PENDING_SOURCE_REVIEW</x:v>
      </x:c>
      <x:c r="AM127" s="20" t="str">
        <x:v>MEDIUM</x:v>
      </x:c>
    </x:row>
    <x:row r="128" ht="34" customHeight="1">
      <x:c r="A128" s="25" t="str">
        <x:v>FT-SEED-R1B-P-2015-04</x:v>
      </x:c>
      <x:c r="B128" s="19" t="str">
        <x:v>2015</x:v>
      </x:c>
      <x:c r="C128" s="28" t="n">
        <x:v>4</x:v>
      </x:c>
      <x:c r="D128" s="31" t="str">
        <x:v>well below 2°C above pre-industrial levels</x:v>
      </x:c>
      <x:c r="E128" s="31" t="str">
        <x:v>2°C threshold</x:v>
      </x:c>
      <x:c r="F128" s="19" t="str">
        <x:v>temperature_threshold</x:v>
      </x:c>
      <x:c r="G128" s="19" t="str">
        <x:v>A</x:v>
      </x:c>
      <x:c r="H128" s="19" t="str">
        <x:v>V2</x:v>
      </x:c>
      <x:c r="I128" s="19" t="str">
        <x:v>NOT_EXPOSED_IN_REPORT</x:v>
      </x:c>
      <x:c r="J128" s="19" t="str">
        <x:v>S2015-PARIS</x:v>
      </x:c>
      <x:c r="K128" s="31" t="str">
        <x:v>RECONSTRUCTED_FROM_REPORT; Fear of Temperature_ Stratified Lexical Expansion, Voice Mapping, and Semantic-Relational Pre-Valida.pdf; p.11; project candidate FT-SEED-R1B-P-2015-04; original visible ID not available</x:v>
      </x:c>
      <x:c r="L128" s="31" t="str">
        <x:v>ZERO_RESPONSE_NEW</x:v>
      </x:c>
      <x:c r="M128" s="31" t="str">
        <x:v>well below two degrees above pre-industrial levels</x:v>
      </x:c>
      <x:c r="N128" s="31" t="str">
        <x:v>VALIDATED_ALIAS</x:v>
      </x:c>
      <x:c r="O128" s="19" t="str">
        <x:v>NOT_APPLICABLE</x:v>
      </x:c>
      <x:c r="P128" s="19" t="str">
        <x:v>NOT_APPLICABLE</x:v>
      </x:c>
      <x:c r="Q128" s="34" t="str">
        <x:v>NOT_APPLICABLE</x:v>
      </x:c>
      <x:c r="R128" s="34" t="str">
        <x:v>NOT_APPLICABLE</x:v>
      </x:c>
      <x:c r="S128" s="34" t="str">
        <x:v>NOT_APPLICABLE</x:v>
      </x:c>
      <x:c r="T128" s="34" t="str">
        <x:v>NOT_APPLICABLE</x:v>
      </x:c>
      <x:c r="U128" s="31" t="str">
        <x:v>The symbolic temperature is verbalized for the Ngram interface without changing the treaty threshold relation. The public Ngram endpoint returned an empty list; retained without fabricating annual zero frequencies.</x:v>
      </x:c>
      <x:c r="V128" s="31" t="str">
        <x:v>TECHNICAL_GLOSSARY</x:v>
      </x:c>
      <x:c r="W128" s="19" t="str">
        <x:v>IPCC climate-science glossary / assessment terminology</x:v>
      </x:c>
      <x:c r="X128" s="31" t="str">
        <x:v>A treaty governance threshold relating global average temperature increase to a pre-industrial reference level.</x:v>
      </x:c>
      <x:c r="Y128" s="31" t="str">
        <x:v>A governed two-degree temperature limit or threshold; the candidate is interpreted in its documented anchor and voice context.</x:v>
      </x:c>
      <x:c r="Z128" s="31" t="str">
        <x:v>STRONG</x:v>
      </x:c>
      <x:c r="AA128" s="19" t="str">
        <x:v>The numeric threshold is a policy-governance object, not experienced local temperature.</x:v>
      </x:c>
      <x:c r="AB128"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https://api.dictionaryapi.dev/api/v2/entries/en/well%20below%202%C2%B0C%20above%20pre-industrial%20levels; https://websters1913.timcieplowski.com/word/levels/</x:v>
      </x:c>
      <x:c r="AC128" s="19" t="str">
        <x:v>INTERNET_ARCHIVE_METADATA_TEXT_ITEM_COUNT</x:v>
      </x:c>
      <x:c r="AD128" s="19" t="str">
        <x:v>"well below 2°C above pre-industrial levels" AND mediatype:texts</x:v>
      </x:c>
      <x:c r="AE128" s="31" t="str">
        <x:v>EXACT_PHRASE</x:v>
      </x:c>
      <x:c r="AF128" s="31" t="str">
        <x:v>COMPLETED_NONZERO</x:v>
      </x:c>
      <x:c r="AG128" s="28" t="n">
        <x:v>2</x:v>
      </x:c>
      <x:c r="AH128" s="19" t="str">
        <x:v>1</x:v>
      </x:c>
      <x:c r="AI128" s="19" t="str">
        <x:v>2026-08-26</x:v>
      </x:c>
      <x:c r="AJ128" s="31" t="str">
        <x:v>Metadata text-item count; not a full-text lexical frequency. Secondary metric: NOT_RUN_OPENALEX_DAILY_BUDGET_EXHAUSTED: shared provider response retained; no count fabricated.</x:v>
      </x:c>
      <x:c r="AK128" s="31" t="str">
        <x:v>FULLY_ACCOUNTED_WITH_NGRAM_ALIAS</x:v>
      </x:c>
      <x:c r="AL128" s="19" t="str">
        <x:v>PENDING_SOURCE_REVIEW</x:v>
      </x:c>
      <x:c r="AM128" s="20" t="str">
        <x:v>MEDIUM</x:v>
      </x:c>
    </x:row>
    <x:row r="129" ht="34" customHeight="1">
      <x:c r="A129" s="25" t="str">
        <x:v>FT-SEED-R1B-P-2015-05</x:v>
      </x:c>
      <x:c r="B129" s="19" t="str">
        <x:v>2015</x:v>
      </x:c>
      <x:c r="C129" s="28" t="n">
        <x:v>5</x:v>
      </x:c>
      <x:c r="D129" s="31" t="str">
        <x:v>1.5°C above pre-industrial levels</x:v>
      </x:c>
      <x:c r="E129" s="31" t="str">
        <x:v>1.5°C threshold</x:v>
      </x:c>
      <x:c r="F129" s="19" t="str">
        <x:v>temperature_threshold</x:v>
      </x:c>
      <x:c r="G129" s="19" t="str">
        <x:v>A</x:v>
      </x:c>
      <x:c r="H129" s="19" t="str">
        <x:v>V2</x:v>
      </x:c>
      <x:c r="I129" s="19" t="str">
        <x:v>NOT_EXPOSED_IN_REPORT</x:v>
      </x:c>
      <x:c r="J129" s="19" t="str">
        <x:v>S2015-PARIS</x:v>
      </x:c>
      <x:c r="K129" s="31" t="str">
        <x:v>RECONSTRUCTED_FROM_REPORT; Fear of Temperature_ Stratified Lexical Expansion, Voice Mapping, and Semantic-Relational Pre-Valida.pdf; p.11; project candidate FT-SEED-R1B-P-2015-05; original visible ID not available</x:v>
      </x:c>
      <x:c r="L129" s="31" t="str">
        <x:v>ZERO_RESPONSE_NEW</x:v>
      </x:c>
      <x:c r="M129" s="31" t="str">
        <x:v>one point five degrees above pre-industrial levels</x:v>
      </x:c>
      <x:c r="N129" s="31" t="str">
        <x:v>VALIDATED_ALIAS</x:v>
      </x:c>
      <x:c r="O129" s="19" t="str">
        <x:v>NOT_APPLICABLE</x:v>
      </x:c>
      <x:c r="P129" s="19" t="str">
        <x:v>NOT_APPLICABLE</x:v>
      </x:c>
      <x:c r="Q129" s="34" t="str">
        <x:v>NOT_APPLICABLE</x:v>
      </x:c>
      <x:c r="R129" s="34" t="str">
        <x:v>NOT_APPLICABLE</x:v>
      </x:c>
      <x:c r="S129" s="34" t="str">
        <x:v>NOT_APPLICABLE</x:v>
      </x:c>
      <x:c r="T129" s="34" t="str">
        <x:v>NOT_APPLICABLE</x:v>
      </x:c>
      <x:c r="U129" s="31" t="str">
        <x:v>The decimal degree notation is verbalized for the Ngram interface without changing the treaty threshold relation. The public Ngram endpoint returned an empty list; retained without fabricating annual zero frequencies.</x:v>
      </x:c>
      <x:c r="V129" s="31" t="str">
        <x:v>TECHNICAL_GLOSSARY</x:v>
      </x:c>
      <x:c r="W129" s="19" t="str">
        <x:v>IPCC climate-science glossary / assessment terminology</x:v>
      </x:c>
      <x:c r="X129" s="31" t="str">
        <x:v>A treaty governance threshold relating global average temperature increase to a pre-industrial reference level.</x:v>
      </x:c>
      <x:c r="Y129" s="31" t="str">
        <x:v>A governed one-and-a-half-degree temperature limit or threshold; the candidate is interpreted in its documented anchor and voice context.</x:v>
      </x:c>
      <x:c r="Z129" s="31" t="str">
        <x:v>STRONG</x:v>
      </x:c>
      <x:c r="AA129" s="19" t="str">
        <x:v>The numeric threshold is a policy-governance object, not experienced local temperature.</x:v>
      </x:c>
      <x:c r="AB129"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https://api.dictionaryapi.dev/api/v2/entries/en/1.5%C2%B0C%20above%20pre-industrial%20levels; https://websters1913.timcieplowski.com/word/levels/</x:v>
      </x:c>
      <x:c r="AC129" s="19" t="str">
        <x:v>INTERNET_ARCHIVE_METADATA_TEXT_ITEM_COUNT</x:v>
      </x:c>
      <x:c r="AD129" s="19" t="str">
        <x:v>"1.5°C above pre-industrial levels" AND mediatype:texts</x:v>
      </x:c>
      <x:c r="AE129" s="31" t="str">
        <x:v>EXACT_PHRASE</x:v>
      </x:c>
      <x:c r="AF129" s="31" t="str">
        <x:v>COMPLETED_NONZERO</x:v>
      </x:c>
      <x:c r="AG129" s="28" t="n">
        <x:v>3</x:v>
      </x:c>
      <x:c r="AH129" s="19" t="str">
        <x:v>1</x:v>
      </x:c>
      <x:c r="AI129" s="19" t="str">
        <x:v>2026-08-26</x:v>
      </x:c>
      <x:c r="AJ129" s="31" t="str">
        <x:v>Metadata text-item count; not a full-text lexical frequency. Secondary metric: Scholarly work discoverability count over OpenAlex search fields; not a corpus word frequency.</x:v>
      </x:c>
      <x:c r="AK129" s="31" t="str">
        <x:v>FULLY_ACCOUNTED_WITH_NGRAM_ALIAS</x:v>
      </x:c>
      <x:c r="AL129" s="19" t="str">
        <x:v>PENDING_SOURCE_REVIEW</x:v>
      </x:c>
      <x:c r="AM129" s="20" t="str">
        <x:v>MEDIUM</x:v>
      </x:c>
    </x:row>
    <x:row r="130" ht="34" customHeight="1">
      <x:c r="A130" s="25" t="str">
        <x:v>FT-SEED-R1B-P-2015-06</x:v>
      </x:c>
      <x:c r="B130" s="19" t="str">
        <x:v>2015</x:v>
      </x:c>
      <x:c r="C130" s="28" t="n">
        <x:v>6</x:v>
      </x:c>
      <x:c r="D130" s="31" t="str">
        <x:v>pre-industrial levels</x:v>
      </x:c>
      <x:c r="E130" s="31" t="str">
        <x:v>historical climate / climatological condition</x:v>
      </x:c>
      <x:c r="F130" s="19" t="str">
        <x:v>climate</x:v>
      </x:c>
      <x:c r="G130" s="19" t="str">
        <x:v>B</x:v>
      </x:c>
      <x:c r="H130" s="19" t="str">
        <x:v>V2</x:v>
      </x:c>
      <x:c r="I130" s="19" t="str">
        <x:v>NOT_EXPOSED_IN_REPORT</x:v>
      </x:c>
      <x:c r="J130" s="19" t="str">
        <x:v>S2015-PARIS</x:v>
      </x:c>
      <x:c r="K130" s="31" t="str">
        <x:v>RECONSTRUCTED_FROM_REPORT; Fear of Temperature_ Stratified Lexical Expansion, Voice Mapping, and Semantic-Relational Pre-Valida.pdf; p.11; project candidate FT-SEED-R1B-P-2015-06; original visible ID not available</x:v>
      </x:c>
      <x:c r="L130" s="31" t="str">
        <x:v>SUCCEEDED_REUSED_BASELINE</x:v>
      </x:c>
      <x:c r="M130" s="31" t="str">
        <x:v>pre-industrial levels</x:v>
      </x:c>
      <x:c r="N130" s="31" t="str">
        <x:v>EXACT</x:v>
      </x:c>
      <x:c r="O130" s="19" t="str">
        <x:v>1843</x:v>
      </x:c>
      <x:c r="P130" s="19" t="str">
        <x:v>2022</x:v>
      </x:c>
      <x:c r="Q130" s="34" t="n">
        <x:v>1.564491737549023e-7</x:v>
      </x:c>
      <x:c r="R130" s="34" t="n">
        <x:v>3.183085471591962e-8</x:v>
      </x:c>
      <x:c r="S130" s="34" t="n">
        <x:v>3.5058934146995714e-8</x:v>
      </x:c>
      <x:c r="T130" s="34" t="n">
        <x:v>1.564491737549023e-7</x:v>
      </x:c>
      <x:c r="U130" s="31" t="str">
        <x:v>Candidate surface form is directly representable in the public Ngram interface. Complete 1842–2022 unsmoothed series reused from the audited quantitative-v0.1 baseline.</x:v>
      </x:c>
      <x:c r="V130" s="31" t="str">
        <x:v>TECHNICAL_GLOSSARY</x:v>
      </x:c>
      <x:c r="W130" s="19" t="str">
        <x:v>IPCC climate-science glossary / assessment terminology</x:v>
      </x:c>
      <x:c r="X130" s="31" t="str">
        <x:v>A climatic, atmospheric, meteorological, or causal-science sense in the documented anchor context.</x:v>
      </x:c>
      <x:c r="Y130" s="31" t="str">
        <x:v>A historical reference baseline preceding large-scale industrial-era human influence, operationalized by the relevant climate agreement or assessment.</x:v>
      </x:c>
      <x:c r="Z130" s="31" t="str">
        <x:v>STRONG</x:v>
      </x:c>
      <x:c r="AA130" s="19" t="str">
        <x:v>The surface form may realize multiple senses; candidate meaning remains anchored to the report-visible source context.</x:v>
      </x:c>
      <x:c r="AB130" s="31" t="str">
        <x:v>Secondary: Component headword checked: levels.; historical: Anchor-period research source/context; Webster 1913 stable component URL recorded but automated page retrieval was unavailable; source: https://www.ipcc.ch/site/assets/uploads/2018/02/WGIIAR5-AnnexII_FINAL.pdf; https://api.dictionaryapi.dev/api/v2/entries/en/pre-industrial%20levels; https://websters1913.timcieplowski.com/word/levels/</x:v>
      </x:c>
      <x:c r="AC130" s="19" t="str">
        <x:v>INTERNET_ARCHIVE_METADATA_TEXT_ITEM_COUNT</x:v>
      </x:c>
      <x:c r="AD130" s="19" t="str">
        <x:v>"pre-industrial levels" AND mediatype:texts</x:v>
      </x:c>
      <x:c r="AE130" s="31" t="str">
        <x:v>EXACT_PHRASE</x:v>
      </x:c>
      <x:c r="AF130" s="31" t="str">
        <x:v>COMPLETED_NONZERO</x:v>
      </x:c>
      <x:c r="AG130" s="28" t="n">
        <x:v>30</x:v>
      </x:c>
      <x:c r="AH130" s="19" t="str">
        <x:v>1</x:v>
      </x:c>
      <x:c r="AI130" s="19" t="str">
        <x:v>2026-08-26</x:v>
      </x:c>
      <x:c r="AJ130" s="31" t="str">
        <x:v>Metadata text-item count; not a full-text lexical frequency. Secondary metric: NOT_RUN_OPENALEX_DAILY_BUDGET_EXHAUSTED: shared provider response retained; no count fabricated.</x:v>
      </x:c>
      <x:c r="AK130" s="31" t="str">
        <x:v>FULLY_COVERED</x:v>
      </x:c>
      <x:c r="AL130" s="19" t="str">
        <x:v>PENDING_SOURCE_REVIEW</x:v>
      </x:c>
      <x:c r="AM130" s="20" t="str">
        <x:v>MEDIUM</x:v>
      </x:c>
    </x:row>
    <x:row r="131" ht="34" customHeight="1">
      <x:c r="A131" s="25" t="str">
        <x:v>FT-SEED-R1B-P-2015-07</x:v>
      </x:c>
      <x:c r="B131" s="19" t="str">
        <x:v>2015</x:v>
      </x:c>
      <x:c r="C131" s="28" t="n">
        <x:v>7</x:v>
      </x:c>
      <x:c r="D131" s="31" t="str">
        <x:v>risks and impacts</x:v>
      </x:c>
      <x:c r="E131" s="31" t="str">
        <x:v>administrative risk assessment</x:v>
      </x:c>
      <x:c r="F131" s="19" t="str">
        <x:v>risk</x:v>
      </x:c>
      <x:c r="G131" s="19" t="str">
        <x:v>D</x:v>
      </x:c>
      <x:c r="H131" s="19" t="str">
        <x:v>V2</x:v>
      </x:c>
      <x:c r="I131" s="19" t="str">
        <x:v>NOT_EXPOSED_IN_REPORT</x:v>
      </x:c>
      <x:c r="J131" s="19" t="str">
        <x:v>S2015-PARIS</x:v>
      </x:c>
      <x:c r="K131" s="31" t="str">
        <x:v>RECONSTRUCTED_FROM_REPORT; Fear of Temperature_ Stratified Lexical Expansion, Voice Mapping, and Semantic-Relational Pre-Valida.pdf; p.11; project candidate FT-SEED-R1B-P-2015-07; original visible ID not available</x:v>
      </x:c>
      <x:c r="L131" s="31" t="str">
        <x:v>SUCCEEDED_REUSED_BASELINE</x:v>
      </x:c>
      <x:c r="M131" s="31" t="str">
        <x:v>risks and impacts</x:v>
      </x:c>
      <x:c r="N131" s="31" t="str">
        <x:v>EXACT</x:v>
      </x:c>
      <x:c r="O131" s="19" t="str">
        <x:v>1901</x:v>
      </x:c>
      <x:c r="P131" s="19" t="str">
        <x:v>2022</x:v>
      </x:c>
      <x:c r="Q131" s="34" t="n">
        <x:v>4.441337393690237e-8</x:v>
      </x:c>
      <x:c r="R131" s="34" t="n">
        <x:v>1.904498948129829e-8</x:v>
      </x:c>
      <x:c r="S131" s="34" t="n">
        <x:v>1.882378900322501e-8</x:v>
      </x:c>
      <x:c r="T131" s="34" t="n">
        <x:v>4.441337393690237e-8</x:v>
      </x:c>
      <x:c r="U131" s="31" t="str">
        <x:v>Candidate surface form is directly representable in the public Ngram interface. Complete 1842–2022 unsmoothed series reused from the audited quantitative-v0.1 baseline.</x:v>
      </x:c>
      <x:c r="V131" s="31" t="str">
        <x:v>NO_STANDALONE_HEADWORD</x:v>
      </x:c>
      <x:c r="W131" s="19" t="str">
        <x:v>Component lexical analysis plus anchor-source contextual meaning</x:v>
      </x:c>
      <x:c r="X131" s="31" t="str">
        <x:v>A threat, risk, harm, severity, or consequence sense in the documented source; it is not automatically an emotion.</x:v>
      </x:c>
      <x:c r="Y131" s="31" t="str">
        <x:v>Risk managed or assessed through institutional procedure; the candidate is interpreted in its documented anchor and voice context.</x:v>
      </x:c>
      <x:c r="Z131" s="31" t="str">
        <x:v>STRONG</x:v>
      </x:c>
      <x:c r="AA131" s="19" t="str">
        <x:v>The surface form may realize multiple senses; candidate meaning remains anchored to the report-visible source context.</x:v>
      </x:c>
      <x:c r="AB131"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https://api.dictionaryapi.dev/api/v2/entries/en/risks%20and%20impacts; https://websters1913.timcieplowski.com/word/impacts/</x:v>
      </x:c>
      <x:c r="AC131" s="19" t="str">
        <x:v>INTERNET_ARCHIVE_METADATA_TEXT_ITEM_COUNT</x:v>
      </x:c>
      <x:c r="AD131" s="19" t="str">
        <x:v>"risks and impacts" AND mediatype:texts</x:v>
      </x:c>
      <x:c r="AE131" s="31" t="str">
        <x:v>EXACT_PHRASE</x:v>
      </x:c>
      <x:c r="AF131" s="31" t="str">
        <x:v>COMPLETED_NONZERO</x:v>
      </x:c>
      <x:c r="AG131" s="28" t="n">
        <x:v>27</x:v>
      </x:c>
      <x:c r="AH131" s="19" t="str">
        <x:v>3</x:v>
      </x:c>
      <x:c r="AI131" s="19" t="str">
        <x:v>2026-08-26</x:v>
      </x:c>
      <x:c r="AJ131" s="31" t="str">
        <x:v>Metadata text-item count; not a full-text lexical frequency. Secondary metric: NOT_RUN_OPENALEX_DAILY_BUDGET_EXHAUSTED: shared provider response retained; no count fabricated.</x:v>
      </x:c>
      <x:c r="AK131" s="31" t="str">
        <x:v>FULLY_COVERED</x:v>
      </x:c>
      <x:c r="AL131" s="19" t="str">
        <x:v>PENDING_SOURCE_REVIEW</x:v>
      </x:c>
      <x:c r="AM131" s="20" t="str">
        <x:v>MEDIUM</x:v>
      </x:c>
    </x:row>
    <x:row r="132" ht="34" customHeight="1">
      <x:c r="A132" s="25" t="str">
        <x:v>FT-SEED-R1B-P-2015-08</x:v>
      </x:c>
      <x:c r="B132" s="19" t="str">
        <x:v>2015</x:v>
      </x:c>
      <x:c r="C132" s="28" t="n">
        <x:v>8</x:v>
      </x:c>
      <x:c r="D132" s="31" t="str">
        <x:v>adverse impacts</x:v>
      </x:c>
      <x:c r="E132" s="31" t="str">
        <x:v>generic damage</x:v>
      </x:c>
      <x:c r="F132" s="19" t="str">
        <x:v>harm_loss_consequences</x:v>
      </x:c>
      <x:c r="G132" s="19" t="str">
        <x:v>D</x:v>
      </x:c>
      <x:c r="H132" s="19" t="str">
        <x:v>V2</x:v>
      </x:c>
      <x:c r="I132" s="19" t="str">
        <x:v>NOT_EXPOSED_IN_REPORT</x:v>
      </x:c>
      <x:c r="J132" s="19" t="str">
        <x:v>S2015-PARIS</x:v>
      </x:c>
      <x:c r="K132" s="31" t="str">
        <x:v>RECONSTRUCTED_FROM_REPORT; Fear of Temperature_ Stratified Lexical Expansion, Voice Mapping, and Semantic-Relational Pre-Valida.pdf; p.11; project candidate FT-SEED-R1B-P-2015-08; original visible ID not available</x:v>
      </x:c>
      <x:c r="L132" s="31" t="str">
        <x:v>SUCCEEDED_REUSED_BASELINE</x:v>
      </x:c>
      <x:c r="M132" s="31" t="str">
        <x:v>adverse impacts</x:v>
      </x:c>
      <x:c r="N132" s="31" t="str">
        <x:v>EXACT</x:v>
      </x:c>
      <x:c r="O132" s="19" t="str">
        <x:v>1847</x:v>
      </x:c>
      <x:c r="P132" s="19" t="str">
        <x:v>2008</x:v>
      </x:c>
      <x:c r="Q132" s="34" t="n">
        <x:v>0.0000012637095669620901</x:v>
      </x:c>
      <x:c r="R132" s="34" t="n">
        <x:v>2.372477044543242e-7</x:v>
      </x:c>
      <x:c r="S132" s="34" t="n">
        <x:v>2.6210660234819255e-7</x:v>
      </x:c>
      <x:c r="T132" s="34" t="n">
        <x:v>3.1348365897576613e-7</x:v>
      </x:c>
      <x:c r="U132" s="31" t="str">
        <x:v>Candidate surface form is directly representable in the public Ngram interface. Complete 1842–2022 unsmoothed series reused from the audited quantitative-v0.1 baseline.</x:v>
      </x:c>
      <x:c r="V132" s="31" t="str">
        <x:v>NO_STANDALONE_HEADWORD</x:v>
      </x:c>
      <x:c r="W132" s="19" t="str">
        <x:v>Component lexical analysis plus anchor-source contextual meaning</x:v>
      </x:c>
      <x:c r="X132" s="31" t="str">
        <x:v>A threat, risk, harm, severity, or consequence sense in the documented source; it is not automatically an emotion.</x:v>
      </x:c>
      <x:c r="Y132" s="31" t="str">
        <x:v>Generic material, ecological, or social damage; the candidate is interpreted in its documented anchor and voice context.</x:v>
      </x:c>
      <x:c r="Z132" s="31" t="str">
        <x:v>STRONG</x:v>
      </x:c>
      <x:c r="AA132" s="19" t="str">
        <x:v>The surface form may realize multiple senses; candidate meaning remains anchored to the report-visible source context.</x:v>
      </x:c>
      <x:c r="AB132" s="31" t="str">
        <x:v>Secondary: Component headword checked: impacts.;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https://api.dictionaryapi.dev/api/v2/entries/en/adverse%20impacts; https://websters1913.timcieplowski.com/word/impacts/</x:v>
      </x:c>
      <x:c r="AC132" s="19" t="str">
        <x:v>INTERNET_ARCHIVE_METADATA_TEXT_ITEM_COUNT</x:v>
      </x:c>
      <x:c r="AD132" s="19" t="str">
        <x:v>"adverse impacts" AND mediatype:texts</x:v>
      </x:c>
      <x:c r="AE132" s="31" t="str">
        <x:v>EXACT_PHRASE</x:v>
      </x:c>
      <x:c r="AF132" s="31" t="str">
        <x:v>COMPLETED_NONZERO</x:v>
      </x:c>
      <x:c r="AG132" s="28" t="n">
        <x:v>442</x:v>
      </x:c>
      <x:c r="AH132" s="19" t="str">
        <x:v>25</x:v>
      </x:c>
      <x:c r="AI132" s="19" t="str">
        <x:v>2026-08-26</x:v>
      </x:c>
      <x:c r="AJ132" s="31" t="str">
        <x:v>Metadata text-item count; not a full-text lexical frequency. Secondary metric: Scholarly work discoverability count over OpenAlex search fields; not a corpus word frequency.</x:v>
      </x:c>
      <x:c r="AK132" s="31" t="str">
        <x:v>FULLY_COVERED</x:v>
      </x:c>
      <x:c r="AL132" s="19" t="str">
        <x:v>PENDING_SOURCE_REVIEW</x:v>
      </x:c>
      <x:c r="AM132" s="20" t="str">
        <x:v>MEDIUM</x:v>
      </x:c>
    </x:row>
    <x:row r="133" ht="34" customHeight="1">
      <x:c r="A133" s="25" t="str">
        <x:v>FT-SEED-R1B-P-2015-09</x:v>
      </x:c>
      <x:c r="B133" s="19" t="str">
        <x:v>2015</x:v>
      </x:c>
      <x:c r="C133" s="28" t="n">
        <x:v>9</x:v>
      </x:c>
      <x:c r="D133" s="31" t="str">
        <x:v>adverse effects of climate change</x:v>
      </x:c>
      <x:c r="E133" s="31" t="str">
        <x:v>modern climate change</x:v>
      </x:c>
      <x:c r="F133" s="19" t="str">
        <x:v>climate</x:v>
      </x:c>
      <x:c r="G133" s="19" t="str">
        <x:v>D</x:v>
      </x:c>
      <x:c r="H133" s="19" t="str">
        <x:v>V2</x:v>
      </x:c>
      <x:c r="I133" s="19" t="str">
        <x:v>NOT_EXPOSED_IN_REPORT</x:v>
      </x:c>
      <x:c r="J133" s="19" t="str">
        <x:v>S2015-PARIS</x:v>
      </x:c>
      <x:c r="K133" s="31" t="str">
        <x:v>RECONSTRUCTED_FROM_REPORT; Fear of Temperature_ Stratified Lexical Expansion, Voice Mapping, and Semantic-Relational Pre-Valida.pdf; p.11; project candidate FT-SEED-R1B-P-2015-09; original visible ID not available</x:v>
      </x:c>
      <x:c r="L133" s="31" t="str">
        <x:v>SUCCEEDED_REUSED_BASELINE</x:v>
      </x:c>
      <x:c r="M133" s="31" t="str">
        <x:v>adverse effects of climate change</x:v>
      </x:c>
      <x:c r="N133" s="31" t="str">
        <x:v>EXACT</x:v>
      </x:c>
      <x:c r="O133" s="19" t="str">
        <x:v>1901</x:v>
      </x:c>
      <x:c r="P133" s="19" t="str">
        <x:v>2021</x:v>
      </x:c>
      <x:c r="Q133" s="34" t="n">
        <x:v>6.824104539782105e-8</x:v>
      </x:c>
      <x:c r="R133" s="34" t="n">
        <x:v>3.449535698751838e-8</x:v>
      </x:c>
      <x:c r="S133" s="34" t="n">
        <x:v>3.321515398835295e-8</x:v>
      </x:c>
      <x:c r="T133" s="34" t="n">
        <x:v>6.007298156140983e-8</x:v>
      </x:c>
      <x:c r="U133" s="31" t="str">
        <x:v>Candidate surface form is directly representable in the public Ngram interface. Complete 1842–2022 unsmoothed series reused from the audited quantitative-v0.1 baseline.</x:v>
      </x:c>
      <x:c r="V133" s="31" t="str">
        <x:v>NO_STANDALONE_HEADWORD</x:v>
      </x:c>
      <x:c r="W133" s="19" t="str">
        <x:v>Component lexical analysis plus anchor-source contextual meaning</x:v>
      </x:c>
      <x:c r="X133" s="31" t="str">
        <x:v>A threat, risk, harm, severity, or consequence sense in the documented source; it is not automatically an emotion.</x:v>
      </x:c>
      <x:c r="Y133" s="31" t="str">
        <x:v>Modern climate change as an anthropogenic scientific, public, or governance problem; the candidate is interpreted in its documented anchor and voice context.</x:v>
      </x:c>
      <x:c r="Z133" s="31" t="str">
        <x:v>STRONG</x:v>
      </x:c>
      <x:c r="AA133" s="19" t="str">
        <x:v>The surface form may realize multiple senses; candidate meaning remains anchored to the report-visible source context.</x:v>
      </x:c>
      <x:c r="AB133" s="31" t="str">
        <x:v>Secondary: Component headword checked: change.;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https://api.dictionaryapi.dev/api/v2/entries/en/adverse%20effects%20of%20climate%20change; https://websters1913.timcieplowski.com/word/change/</x:v>
      </x:c>
      <x:c r="AC133" s="19" t="str">
        <x:v>INTERNET_ARCHIVE_METADATA_TEXT_ITEM_COUNT</x:v>
      </x:c>
      <x:c r="AD133" s="19" t="str">
        <x:v>"adverse effects of climate change" AND mediatype:texts</x:v>
      </x:c>
      <x:c r="AE133" s="31" t="str">
        <x:v>EXACT_PHRASE</x:v>
      </x:c>
      <x:c r="AF133" s="31" t="str">
        <x:v>COMPLETED_NONZERO</x:v>
      </x:c>
      <x:c r="AG133" s="28" t="n">
        <x:v>41</x:v>
      </x:c>
      <x:c r="AH133" s="19" t="str">
        <x:v>1</x:v>
      </x:c>
      <x:c r="AI133" s="19" t="str">
        <x:v>2026-08-26</x:v>
      </x:c>
      <x:c r="AJ133" s="31" t="str">
        <x:v>Metadata text-item count; not a full-text lexical frequency. Secondary metric: Scholarly work discoverability count over OpenAlex search fields; not a corpus word frequency.</x:v>
      </x:c>
      <x:c r="AK133" s="31" t="str">
        <x:v>FULLY_COVERED</x:v>
      </x:c>
      <x:c r="AL133" s="19" t="str">
        <x:v>PENDING_SOURCE_REVIEW</x:v>
      </x:c>
      <x:c r="AM133" s="20" t="str">
        <x:v>MEDIUM</x:v>
      </x:c>
    </x:row>
    <x:row r="134" ht="34" customHeight="1">
      <x:c r="A134" s="25" t="str">
        <x:v>FT-SEED-R1B-P-2015-10</x:v>
      </x:c>
      <x:c r="B134" s="19" t="str">
        <x:v>2015</x:v>
      </x:c>
      <x:c r="C134" s="28" t="n">
        <x:v>10</x:v>
      </x:c>
      <x:c r="D134" s="31" t="str">
        <x:v>greenhouse gas emissions</x:v>
      </x:c>
      <x:c r="E134" s="31" t="str">
        <x:v>anthropogenic greenhouse-gas emissions</x:v>
      </x:c>
      <x:c r="F134" s="19" t="str">
        <x:v>carbon_greenhouse</x:v>
      </x:c>
      <x:c r="G134" s="19" t="str">
        <x:v>B</x:v>
      </x:c>
      <x:c r="H134" s="19" t="str">
        <x:v>V2</x:v>
      </x:c>
      <x:c r="I134" s="19" t="str">
        <x:v>NOT_EXPOSED_IN_REPORT</x:v>
      </x:c>
      <x:c r="J134" s="19" t="str">
        <x:v>S2015-PARIS</x:v>
      </x:c>
      <x:c r="K134" s="31" t="str">
        <x:v>RECONSTRUCTED_FROM_REPORT; Fear of Temperature_ Stratified Lexical Expansion, Voice Mapping, and Semantic-Relational Pre-Valida.pdf; p.11; project candidate FT-SEED-R1B-P-2015-10; original visible ID not available</x:v>
      </x:c>
      <x:c r="L134" s="31" t="str">
        <x:v>SUCCEEDED_REUSED_BASELINE</x:v>
      </x:c>
      <x:c r="M134" s="31" t="str">
        <x:v>greenhouse gas emissions</x:v>
      </x:c>
      <x:c r="N134" s="31" t="str">
        <x:v>EXACT</x:v>
      </x:c>
      <x:c r="O134" s="19" t="str">
        <x:v>1843</x:v>
      </x:c>
      <x:c r="P134" s="19" t="str">
        <x:v>2009</x:v>
      </x:c>
      <x:c r="Q134" s="34" t="n">
        <x:v>0.000002058088877550379</x:v>
      </x:c>
      <x:c r="R134" s="34" t="n">
        <x:v>0.0000012874613679464408</x:v>
      </x:c>
      <x:c r="S134" s="34" t="n">
        <x:v>0.0000012413949962905106</x:v>
      </x:c>
      <x:c r="T134" s="34" t="n">
        <x:v>0.0000016692617707675383</x:v>
      </x:c>
      <x:c r="U134" s="31" t="str">
        <x:v>Candidate surface form is directly representable in the public Ngram interface. Complete 1842–2022 unsmoothed series reused from the audited quantitative-v0.1 baseline.</x:v>
      </x:c>
      <x:c r="V134" s="31" t="str">
        <x:v>TECHNICAL_GLOSSARY</x:v>
      </x:c>
      <x:c r="W134" s="19" t="str">
        <x:v>IPCC climate-science glossary / assessment terminology</x:v>
      </x:c>
      <x:c r="X134" s="31" t="str">
        <x:v>A climatic, atmospheric, meteorological, or causal-science sense in the documented anchor context.</x:v>
      </x:c>
      <x:c r="Y134" s="31" t="str">
        <x:v>Releases of gases that contribute to the atmospheric greenhouse effect.</x:v>
      </x:c>
      <x:c r="Z134" s="31" t="str">
        <x:v>STRONG</x:v>
      </x:c>
      <x:c r="AA134" s="19" t="str">
        <x:v>The surface form may realize multiple senses; candidate meaning remains anchored to the report-visible source context.</x:v>
      </x:c>
      <x:c r="AB134" s="31" t="str">
        <x:v>Secondary: Component headword checked: emissions.; historical: Anchor-period research source/context; Webster 1913 stable component URL recorded but automated page retrieval was unavailable; source: https://www.ipcc.ch/site/assets/uploads/2018/02/WGIIAR5-AnnexII_FINAL.pdf; https://api.dictionaryapi.dev/api/v2/entries/en/greenhouse%20gas%20emissions; https://websters1913.timcieplowski.com/word/emissions/</x:v>
      </x:c>
      <x:c r="AC134" s="19" t="str">
        <x:v>INTERNET_ARCHIVE_METADATA_TEXT_ITEM_COUNT</x:v>
      </x:c>
      <x:c r="AD134" s="19" t="str">
        <x:v>"greenhouse gas emissions" AND mediatype:texts</x:v>
      </x:c>
      <x:c r="AE134" s="31" t="str">
        <x:v>EXACT_PHRASE</x:v>
      </x:c>
      <x:c r="AF134" s="31" t="str">
        <x:v>COMPLETED_NONZERO</x:v>
      </x:c>
      <x:c r="AG134" s="28" t="n">
        <x:v>1078</x:v>
      </x:c>
      <x:c r="AH134" s="19" t="str">
        <x:v>102</x:v>
      </x:c>
      <x:c r="AI134" s="19" t="str">
        <x:v>2026-08-26</x:v>
      </x:c>
      <x:c r="AJ134" s="31" t="str">
        <x:v>Metadata text-item count; not a full-text lexical frequency. Secondary metric: NOT_RUN_OPENALEX_DAILY_BUDGET_EXHAUSTED: shared provider response retained; no count fabricated.</x:v>
      </x:c>
      <x:c r="AK134" s="31" t="str">
        <x:v>FULLY_COVERED</x:v>
      </x:c>
      <x:c r="AL134" s="19" t="str">
        <x:v>PENDING_SOURCE_REVIEW</x:v>
      </x:c>
      <x:c r="AM134" s="20" t="str">
        <x:v>MEDIUM</x:v>
      </x:c>
    </x:row>
    <x:row r="135" ht="34" customHeight="1">
      <x:c r="A135" s="25" t="str">
        <x:v>FT-SEED-R1B-P-2015-11</x:v>
      </x:c>
      <x:c r="B135" s="19" t="str">
        <x:v>2015</x:v>
      </x:c>
      <x:c r="C135" s="28" t="n">
        <x:v>11</x:v>
      </x:c>
      <x:c r="D135" s="31" t="str">
        <x:v>climate resilience</x:v>
      </x:c>
      <x:c r="E135" s="31" t="str">
        <x:v>generic damage</x:v>
      </x:c>
      <x:c r="F135" s="19" t="str">
        <x:v>harm_loss_consequences</x:v>
      </x:c>
      <x:c r="G135" s="19" t="str">
        <x:v>D</x:v>
      </x:c>
      <x:c r="H135" s="19" t="str">
        <x:v>V2</x:v>
      </x:c>
      <x:c r="I135" s="19" t="str">
        <x:v>NOT_EXPOSED_IN_REPORT</x:v>
      </x:c>
      <x:c r="J135" s="19" t="str">
        <x:v>S2015-PARIS</x:v>
      </x:c>
      <x:c r="K135" s="31" t="str">
        <x:v>RECONSTRUCTED_FROM_REPORT; Fear of Temperature_ Stratified Lexical Expansion, Voice Mapping, and Semantic-Relational Pre-Valida.pdf; p.11; project candidate FT-SEED-R1B-P-2015-11; original visible ID not available</x:v>
      </x:c>
      <x:c r="L135" s="31" t="str">
        <x:v>SUCCEEDED_REUSED_BASELINE</x:v>
      </x:c>
      <x:c r="M135" s="31" t="str">
        <x:v>climate resilience</x:v>
      </x:c>
      <x:c r="N135" s="31" t="str">
        <x:v>EXACT</x:v>
      </x:c>
      <x:c r="O135" s="19" t="str">
        <x:v>1901</x:v>
      </x:c>
      <x:c r="P135" s="19" t="str">
        <x:v>2022</x:v>
      </x:c>
      <x:c r="Q135" s="34" t="n">
        <x:v>2.3778926283579693e-7</x:v>
      </x:c>
      <x:c r="R135" s="34" t="n">
        <x:v>6.192725596904092e-8</x:v>
      </x:c>
      <x:c r="S135" s="34" t="n">
        <x:v>6.380985545275293e-8</x:v>
      </x:c>
      <x:c r="T135" s="34" t="n">
        <x:v>2.3778926283579693e-7</x:v>
      </x:c>
      <x:c r="U135" s="31" t="str">
        <x:v>Candidate surface form is directly representable in the public Ngram interface. Complete 1842–2022 unsmoothed series reused from the audited quantitative-v0.1 baseline.</x:v>
      </x:c>
      <x:c r="V135" s="31" t="str">
        <x:v>TECHNICAL_GLOSSARY</x:v>
      </x:c>
      <x:c r="W135" s="19" t="str">
        <x:v>IPCC climate-science glossary / assessment terminology</x:v>
      </x:c>
      <x:c r="X135" s="31" t="str">
        <x:v>A threat, risk, harm, severity, or consequence sense in the documented source; it is not automatically an emotion.</x:v>
      </x:c>
      <x:c r="Y135" s="31" t="str">
        <x:v>The capacity of social, economic, and ecological systems to cope with climatic hazards while maintaining essential functions and adapting.</x:v>
      </x:c>
      <x:c r="Z135" s="31" t="str">
        <x:v>STRONG</x:v>
      </x:c>
      <x:c r="AA135" s="19" t="str">
        <x:v>The surface form may realize multiple senses; candidate meaning remains anchored to the report-visible source context.</x:v>
      </x:c>
      <x:c r="AB135" s="31" t="str">
        <x:v>Secondary: Component headword checked: resilience.; historical: Anchor-period research source/context; Webster 1913 stable component URL recorded but automated page retrieval was unavailable; source: https://www.ipcc.ch/site/assets/uploads/2018/02/WGIIAR5-AnnexII_FINAL.pdf; https://api.dictionaryapi.dev/api/v2/entries/en/climate%20resilience; https://websters1913.timcieplowski.com/word/resilience/</x:v>
      </x:c>
      <x:c r="AC135" s="19" t="str">
        <x:v>INTERNET_ARCHIVE_METADATA_TEXT_ITEM_COUNT</x:v>
      </x:c>
      <x:c r="AD135" s="19" t="str">
        <x:v>"climate resilience" AND mediatype:texts</x:v>
      </x:c>
      <x:c r="AE135" s="31" t="str">
        <x:v>EXACT_PHRASE</x:v>
      </x:c>
      <x:c r="AF135" s="31" t="str">
        <x:v>COMPLETED_NONZERO</x:v>
      </x:c>
      <x:c r="AG135" s="28" t="n">
        <x:v>196</x:v>
      </x:c>
      <x:c r="AH135" s="19" t="str">
        <x:v>7</x:v>
      </x:c>
      <x:c r="AI135" s="19" t="str">
        <x:v>2026-08-26</x:v>
      </x:c>
      <x:c r="AJ135" s="31" t="str">
        <x:v>Metadata text-item count; not a full-text lexical frequency. Secondary metric: Scholarly work discoverability count over OpenAlex search fields; not a corpus word frequency.</x:v>
      </x:c>
      <x:c r="AK135" s="31" t="str">
        <x:v>FULLY_COVERED</x:v>
      </x:c>
      <x:c r="AL135" s="19" t="str">
        <x:v>PENDING_SOURCE_REVIEW</x:v>
      </x:c>
      <x:c r="AM135" s="20" t="str">
        <x:v>MEDIUM</x:v>
      </x:c>
    </x:row>
    <x:row r="136" ht="34" customHeight="1">
      <x:c r="A136" s="25" t="str">
        <x:v>FT-SEED-R1B-P-2015-12</x:v>
      </x:c>
      <x:c r="B136" s="19" t="str">
        <x:v>2015</x:v>
      </x:c>
      <x:c r="C136" s="28" t="n">
        <x:v>12</x:v>
      </x:c>
      <x:c r="D136" s="31" t="str">
        <x:v>vulnerability</x:v>
      </x:c>
      <x:c r="E136" s="31" t="str">
        <x:v>vulnerability</x:v>
      </x:c>
      <x:c r="F136" s="19" t="str">
        <x:v>harm_loss_consequences</x:v>
      </x:c>
      <x:c r="G136" s="19" t="str">
        <x:v>D</x:v>
      </x:c>
      <x:c r="H136" s="19" t="str">
        <x:v>V2</x:v>
      </x:c>
      <x:c r="I136" s="19" t="str">
        <x:v>NOT_EXPOSED_IN_REPORT</x:v>
      </x:c>
      <x:c r="J136" s="19" t="str">
        <x:v>S2015-PARIS</x:v>
      </x:c>
      <x:c r="K136" s="31" t="str">
        <x:v>RECONSTRUCTED_FROM_REPORT; Fear of Temperature_ Stratified Lexical Expansion, Voice Mapping, and Semantic-Relational Pre-Valida.pdf; p.11; project candidate FT-SEED-R1B-P-2015-12; original visible ID not available</x:v>
      </x:c>
      <x:c r="L136" s="31" t="str">
        <x:v>SUCCEEDED_REUSED_BASELINE</x:v>
      </x:c>
      <x:c r="M136" s="31" t="str">
        <x:v>vulnerability</x:v>
      </x:c>
      <x:c r="N136" s="31" t="str">
        <x:v>EXACT</x:v>
      </x:c>
      <x:c r="O136" s="19" t="str">
        <x:v>1842</x:v>
      </x:c>
      <x:c r="P136" s="19" t="str">
        <x:v>2021</x:v>
      </x:c>
      <x:c r="Q136" s="34" t="n">
        <x:v>0.000012114193474133117</x:v>
      </x:c>
      <x:c r="R136" s="34" t="n">
        <x:v>0.000009355508542086</x:v>
      </x:c>
      <x:c r="S136" s="34" t="n">
        <x:v>0.000009594339388740991</x:v>
      </x:c>
      <x:c r="T136" s="34" t="n">
        <x:v>0.000011780358960322701</x:v>
      </x:c>
      <x:c r="U136" s="31" t="str">
        <x:v>Candidate surface form is directly representable in the public Ngram interface. Complete 1842–2022 unsmoothed series reused from the audited quantitative-v0.1 baseline.</x:v>
      </x:c>
      <x:c r="V136" s="31" t="str">
        <x:v>TECHNICAL_GLOSSARY</x:v>
      </x:c>
      <x:c r="W136" s="19" t="str">
        <x:v>IPCC climate-science glossary / assessment terminology</x:v>
      </x:c>
      <x:c r="X136" s="31" t="str">
        <x:v>A threat, risk, harm, severity, or consequence sense in the documented source; it is not automatically an emotion.</x:v>
      </x:c>
      <x:c r="Y136" s="31" t="str">
        <x:v>Susceptibility of an identified subject or group to harm; the candidate is interpreted in its documented anchor and voice context.</x:v>
      </x:c>
      <x:c r="Z136" s="31" t="str">
        <x:v>STRONG</x:v>
      </x:c>
      <x:c r="AA136" s="19" t="str">
        <x:v>The surface form may realize multiple senses; candidate meaning remains anchored to the report-visible source context.</x:v>
      </x:c>
      <x:c r="AB136" s="31" t="str">
        <x:v>Secondary: Component headword checked: vulnerability.; historical: Anchor-period research source/context; Webster 1913 stable component URL recorded but automated page retrieval was unavailable; source: https://www.ipcc.ch/site/assets/uploads/2018/02/WGIIAR5-AnnexII_FINAL.pdf; https://api.dictionaryapi.dev/api/v2/entries/en/vulnerability; https://websters1913.timcieplowski.com/word/vulnerability/</x:v>
      </x:c>
      <x:c r="AC136" s="19" t="str">
        <x:v>INTERNET_ARCHIVE_METADATA_TEXT_ITEM_COUNT</x:v>
      </x:c>
      <x:c r="AD136" s="19" t="str">
        <x:v>"vulnerability" AND mediatype:texts</x:v>
      </x:c>
      <x:c r="AE136" s="31" t="str">
        <x:v>EXACT_PHRASE</x:v>
      </x:c>
      <x:c r="AF136" s="31" t="str">
        <x:v>COMPLETED_NONZERO</x:v>
      </x:c>
      <x:c r="AG136" s="28" t="n">
        <x:v>13888</x:v>
      </x:c>
      <x:c r="AH136" s="19" t="str">
        <x:v>1289</x:v>
      </x:c>
      <x:c r="AI136" s="19" t="str">
        <x:v>2026-08-26</x:v>
      </x:c>
      <x:c r="AJ136" s="31" t="str">
        <x:v>Metadata text-item count; not a full-text lexical frequency. Secondary metric: NOT_RUN_OPENALEX_DAILY_BUDGET_EXHAUSTED: shared provider response retained; no count fabricated.</x:v>
      </x:c>
      <x:c r="AK136" s="31" t="str">
        <x:v>FULLY_COVERED</x:v>
      </x:c>
      <x:c r="AL136" s="19" t="str">
        <x:v>PENDING_SOURCE_REVIEW</x:v>
      </x:c>
      <x:c r="AM136" s="20" t="str">
        <x:v>MEDIUM</x:v>
      </x:c>
    </x:row>
    <x:row r="137" ht="34" customHeight="1">
      <x:c r="A137" s="25" t="str">
        <x:v>FT-SEED-R1B-P-2015-13</x:v>
      </x:c>
      <x:c r="B137" s="19" t="str">
        <x:v>2015</x:v>
      </x:c>
      <x:c r="C137" s="28" t="n">
        <x:v>13</x:v>
      </x:c>
      <x:c r="D137" s="31" t="str">
        <x:v>vulnerable groups</x:v>
      </x:c>
      <x:c r="E137" s="31" t="str">
        <x:v>vulnerability</x:v>
      </x:c>
      <x:c r="F137" s="19" t="str">
        <x:v>harm_loss_consequences</x:v>
      </x:c>
      <x:c r="G137" s="19" t="str">
        <x:v>D</x:v>
      </x:c>
      <x:c r="H137" s="19" t="str">
        <x:v>V2</x:v>
      </x:c>
      <x:c r="I137" s="19" t="str">
        <x:v>NOT_EXPOSED_IN_REPORT</x:v>
      </x:c>
      <x:c r="J137" s="19" t="str">
        <x:v>S2015-PARIS</x:v>
      </x:c>
      <x:c r="K137" s="31" t="str">
        <x:v>RECONSTRUCTED_FROM_REPORT; Fear of Temperature_ Stratified Lexical Expansion, Voice Mapping, and Semantic-Relational Pre-Valida.pdf; p.11; project candidate FT-SEED-R1B-P-2015-13; original visible ID not available</x:v>
      </x:c>
      <x:c r="L137" s="31" t="str">
        <x:v>SUCCEEDED_REUSED_BASELINE</x:v>
      </x:c>
      <x:c r="M137" s="31" t="str">
        <x:v>vulnerable groups</x:v>
      </x:c>
      <x:c r="N137" s="31" t="str">
        <x:v>EXACT</x:v>
      </x:c>
      <x:c r="O137" s="19" t="str">
        <x:v>1869</x:v>
      </x:c>
      <x:c r="P137" s="19" t="str">
        <x:v>2022</x:v>
      </x:c>
      <x:c r="Q137" s="34" t="n">
        <x:v>6.561656151760076e-7</x:v>
      </x:c>
      <x:c r="R137" s="34" t="n">
        <x:v>4.145763595753138e-7</x:v>
      </x:c>
      <x:c r="S137" s="34" t="n">
        <x:v>4.2210607039660136e-7</x:v>
      </x:c>
      <x:c r="T137" s="34" t="n">
        <x:v>6.561656151760076e-7</x:v>
      </x:c>
      <x:c r="U137" s="31" t="str">
        <x:v>Candidate surface form is directly representable in the public Ngram interface. Complete 1842–2022 unsmoothed series reused from the audited quantitative-v0.1 baseline.</x:v>
      </x:c>
      <x:c r="V137" s="31" t="str">
        <x:v>TECHNICAL_GLOSSARY</x:v>
      </x:c>
      <x:c r="W137" s="19" t="str">
        <x:v>IPCC climate-science glossary / assessment terminology</x:v>
      </x:c>
      <x:c r="X137" s="31" t="str">
        <x:v>A threat, risk, harm, severity, or consequence sense in the documented source; it is not automatically an emotion.</x:v>
      </x:c>
      <x:c r="Y137" s="31" t="str">
        <x:v>Susceptibility of an identified subject or group to harm; the candidate is interpreted in its documented anchor and voice context.</x:v>
      </x:c>
      <x:c r="Z137" s="31" t="str">
        <x:v>STRONG</x:v>
      </x:c>
      <x:c r="AA137" s="19" t="str">
        <x:v>The surface form may realize multiple senses; candidate meaning remains anchored to the report-visible source context.</x:v>
      </x:c>
      <x:c r="AB137" s="31" t="str">
        <x:v>Secondary: Component headword checked: groups.; historical: Anchor-period research source/context; Webster 1913 stable component URL recorded but automated page retrieval was unavailable; source: https://www.ipcc.ch/site/assets/uploads/2018/02/WGIIAR5-AnnexII_FINAL.pdf; https://api.dictionaryapi.dev/api/v2/entries/en/vulnerable%20groups; https://websters1913.timcieplowski.com/word/groups/</x:v>
      </x:c>
      <x:c r="AC137" s="19" t="str">
        <x:v>INTERNET_ARCHIVE_METADATA_TEXT_ITEM_COUNT</x:v>
      </x:c>
      <x:c r="AD137" s="19" t="str">
        <x:v>"vulnerable groups" AND mediatype:texts</x:v>
      </x:c>
      <x:c r="AE137" s="31" t="str">
        <x:v>EXACT_PHRASE</x:v>
      </x:c>
      <x:c r="AF137" s="31" t="str">
        <x:v>COMPLETED_NONZERO</x:v>
      </x:c>
      <x:c r="AG137" s="28" t="n">
        <x:v>359</x:v>
      </x:c>
      <x:c r="AH137" s="19" t="str">
        <x:v>49</x:v>
      </x:c>
      <x:c r="AI137" s="19" t="str">
        <x:v>2026-08-26</x:v>
      </x:c>
      <x:c r="AJ137" s="31" t="str">
        <x:v>Metadata text-item count; not a full-text lexical frequency. Secondary metric: NOT_RUN_OPENALEX_DAILY_BUDGET_EXHAUSTED: shared provider response retained; no count fabricated.</x:v>
      </x:c>
      <x:c r="AK137" s="31" t="str">
        <x:v>FULLY_COVERED</x:v>
      </x:c>
      <x:c r="AL137" s="19" t="str">
        <x:v>PENDING_SOURCE_REVIEW</x:v>
      </x:c>
      <x:c r="AM137" s="20" t="str">
        <x:v>MEDIUM</x:v>
      </x:c>
    </x:row>
    <x:row r="138" ht="34" customHeight="1">
      <x:c r="A138" s="25" t="str">
        <x:v>FT-SEED-R1B-P-2015-14</x:v>
      </x:c>
      <x:c r="B138" s="19" t="str">
        <x:v>2015</x:v>
      </x:c>
      <x:c r="C138" s="28" t="n">
        <x:v>14</x:v>
      </x:c>
      <x:c r="D138" s="31" t="str">
        <x:v>loss and damage</x:v>
      </x:c>
      <x:c r="E138" s="31" t="str">
        <x:v>loss and damage</x:v>
      </x:c>
      <x:c r="F138" s="19" t="str">
        <x:v>harm_loss_consequences</x:v>
      </x:c>
      <x:c r="G138" s="19" t="str">
        <x:v>D</x:v>
      </x:c>
      <x:c r="H138" s="19" t="str">
        <x:v>V2</x:v>
      </x:c>
      <x:c r="I138" s="19" t="str">
        <x:v>NOT_EXPOSED_IN_REPORT</x:v>
      </x:c>
      <x:c r="J138" s="19" t="str">
        <x:v>S2015-PARIS</x:v>
      </x:c>
      <x:c r="K138" s="31" t="str">
        <x:v>RECONSTRUCTED_FROM_REPORT; Fear of Temperature_ Stratified Lexical Expansion, Voice Mapping, and Semantic-Relational Pre-Valida.pdf; p.11; project candidate FT-SEED-R1B-P-2015-14; original visible ID not available</x:v>
      </x:c>
      <x:c r="L138" s="31" t="str">
        <x:v>SUCCEEDED_REUSED_BASELINE</x:v>
      </x:c>
      <x:c r="M138" s="31" t="str">
        <x:v>loss and damage</x:v>
      </x:c>
      <x:c r="N138" s="31" t="str">
        <x:v>EXACT</x:v>
      </x:c>
      <x:c r="O138" s="19" t="str">
        <x:v>1842</x:v>
      </x:c>
      <x:c r="P138" s="19" t="str">
        <x:v>1947</x:v>
      </x:c>
      <x:c r="Q138" s="34" t="n">
        <x:v>0.0000015430762074220006</x:v>
      </x:c>
      <x:c r="R138" s="34" t="n">
        <x:v>8.407788263178895e-8</x:v>
      </x:c>
      <x:c r="S138" s="34" t="n">
        <x:v>9.455398923321108e-8</x:v>
      </x:c>
      <x:c r="T138" s="34" t="n">
        <x:v>1.615246781744295e-7</x:v>
      </x:c>
      <x:c r="U138" s="31" t="str">
        <x:v>Candidate surface form is directly representable in the public Ngram interface. Complete 1842–2022 unsmoothed series reused from the audited quantitative-v0.1 baseline.</x:v>
      </x:c>
      <x:c r="V138" s="31" t="str">
        <x:v>TECHNICAL_GLOSSARY</x:v>
      </x:c>
      <x:c r="W138" s="19" t="str">
        <x:v>IPCC climate-science glossary / assessment terminology</x:v>
      </x:c>
      <x:c r="X138" s="31" t="str">
        <x:v>Institutional climate-policy terminology for harms and losses associated with climate impacts, with economic and non-economic subtypes.</x:v>
      </x:c>
      <x:c r="Y138" s="31" t="str">
        <x:v>Adverse climate-related impacts that remain after, or cannot be avoided through, mitigation and adaptation; both economic and non-economic losses may be involved.</x:v>
      </x:c>
      <x:c r="Z138" s="31" t="str">
        <x:v>STRONG</x:v>
      </x:c>
      <x:c r="AA138" s="19" t="str">
        <x:v>Generic damage/loss and the UNFCCC policy term 'loss and damage' are not interchangeable.</x:v>
      </x:c>
      <x:c r="AB138"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https://api.dictionaryapi.dev/api/v2/entries/en/loss%20and%20damage; https://websters1913.timcieplowski.com/word/damage/</x:v>
      </x:c>
      <x:c r="AC138" s="19" t="str">
        <x:v>INTERNET_ARCHIVE_METADATA_TEXT_ITEM_COUNT</x:v>
      </x:c>
      <x:c r="AD138" s="19" t="str">
        <x:v>"loss and damage" AND mediatype:texts</x:v>
      </x:c>
      <x:c r="AE138" s="31" t="str">
        <x:v>EXACT_PHRASE</x:v>
      </x:c>
      <x:c r="AF138" s="31" t="str">
        <x:v>COMPLETED_NONZERO</x:v>
      </x:c>
      <x:c r="AG138" s="28" t="n">
        <x:v>86</x:v>
      </x:c>
      <x:c r="AH138" s="19" t="str">
        <x:v>4</x:v>
      </x:c>
      <x:c r="AI138" s="19" t="str">
        <x:v>2026-08-26</x:v>
      </x:c>
      <x:c r="AJ138" s="31" t="str">
        <x:v>Metadata text-item count; not a full-text lexical frequency. Secondary metric: NOT_RUN_OPENALEX_DAILY_BUDGET_EXHAUSTED: shared provider response retained; no count fabricated.</x:v>
      </x:c>
      <x:c r="AK138" s="31" t="str">
        <x:v>FULLY_COVERED</x:v>
      </x:c>
      <x:c r="AL138" s="19" t="str">
        <x:v>PENDING_SOURCE_REVIEW</x:v>
      </x:c>
      <x:c r="AM138" s="20" t="str">
        <x:v>MEDIUM</x:v>
      </x:c>
    </x:row>
    <x:row r="139" ht="34" customHeight="1">
      <x:c r="A139" s="25" t="str">
        <x:v>FT-SEED-R1B-P-2015-15</x:v>
      </x:c>
      <x:c r="B139" s="19" t="str">
        <x:v>2015</x:v>
      </x:c>
      <x:c r="C139" s="28" t="n">
        <x:v>15</x:v>
      </x:c>
      <x:c r="D139" s="31" t="str">
        <x:v>extreme weather events</x:v>
      </x:c>
      <x:c r="E139" s="31" t="str">
        <x:v>generic damage</x:v>
      </x:c>
      <x:c r="F139" s="19" t="str">
        <x:v>harm_loss_consequences</x:v>
      </x:c>
      <x:c r="G139" s="19" t="str">
        <x:v>D</x:v>
      </x:c>
      <x:c r="H139" s="19" t="str">
        <x:v>V2</x:v>
      </x:c>
      <x:c r="I139" s="19" t="str">
        <x:v>NOT_EXPOSED_IN_REPORT</x:v>
      </x:c>
      <x:c r="J139" s="19" t="str">
        <x:v>S2015-PARIS</x:v>
      </x:c>
      <x:c r="K139" s="31" t="str">
        <x:v>RECONSTRUCTED_FROM_REPORT; Fear of Temperature_ Stratified Lexical Expansion, Voice Mapping, and Semantic-Relational Pre-Valida.pdf; p.11; project candidate FT-SEED-R1B-P-2015-15; original visible ID not available</x:v>
      </x:c>
      <x:c r="L139" s="31" t="str">
        <x:v>SUCCEEDED_REUSED_BASELINE</x:v>
      </x:c>
      <x:c r="M139" s="31" t="str">
        <x:v>extreme weather events</x:v>
      </x:c>
      <x:c r="N139" s="31" t="str">
        <x:v>EXACT</x:v>
      </x:c>
      <x:c r="O139" s="19" t="str">
        <x:v>1843</x:v>
      </x:c>
      <x:c r="P139" s="19" t="str">
        <x:v>2022</x:v>
      </x:c>
      <x:c r="Q139" s="34" t="n">
        <x:v>4.511812501384327e-7</x:v>
      </x:c>
      <x:c r="R139" s="34" t="n">
        <x:v>2.641805035841216e-7</x:v>
      </x:c>
      <x:c r="S139" s="34" t="n">
        <x:v>2.457166067559857e-7</x:v>
      </x:c>
      <x:c r="T139" s="34" t="n">
        <x:v>4.511812501384327e-7</x:v>
      </x:c>
      <x:c r="U139" s="31" t="str">
        <x:v>Candidate surface form is directly representable in the public Ngram interface. Complete 1842–2022 unsmoothed series reused from the audited quantitative-v0.1 baseline.</x:v>
      </x:c>
      <x:c r="V139" s="31" t="str">
        <x:v>TECHNICAL_GLOSSARY</x:v>
      </x:c>
      <x:c r="W139" s="19" t="str">
        <x:v>IPCC climate-science glossary / assessment terminology</x:v>
      </x:c>
      <x:c r="X139" s="31" t="str">
        <x:v>A threat, risk, harm, severity, or consequence sense in the documented source; it is not automatically an emotion.</x:v>
      </x:c>
      <x:c r="Y139" s="31" t="str">
        <x:v>Generic material, ecological, or social damage; the candidate is interpreted in its documented anchor and voice context.</x:v>
      </x:c>
      <x:c r="Z139" s="31" t="str">
        <x:v>STRONG</x:v>
      </x:c>
      <x:c r="AA139" s="19" t="str">
        <x:v>The surface form may realize multiple senses; candidate meaning remains anchored to the report-visible source context.</x:v>
      </x:c>
      <x:c r="AB139"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https://api.dictionaryapi.dev/api/v2/entries/en/extreme%20weather%20events; https://websters1913.timcieplowski.com/word/events/</x:v>
      </x:c>
      <x:c r="AC139" s="19" t="str">
        <x:v>INTERNET_ARCHIVE_METADATA_TEXT_ITEM_COUNT</x:v>
      </x:c>
      <x:c r="AD139" s="19" t="str">
        <x:v>"extreme weather events" AND mediatype:texts</x:v>
      </x:c>
      <x:c r="AE139" s="31" t="str">
        <x:v>EXACT_PHRASE</x:v>
      </x:c>
      <x:c r="AF139" s="31" t="str">
        <x:v>COMPLETED_NONZERO</x:v>
      </x:c>
      <x:c r="AG139" s="28" t="n">
        <x:v>251</x:v>
      </x:c>
      <x:c r="AH139" s="19" t="str">
        <x:v>30</x:v>
      </x:c>
      <x:c r="AI139" s="19" t="str">
        <x:v>2026-08-26</x:v>
      </x:c>
      <x:c r="AJ139" s="31" t="str">
        <x:v>Metadata text-item count; not a full-text lexical frequency. Secondary metric: NOT_RUN_OPENALEX_DAILY_BUDGET_EXHAUSTED: shared provider response retained; no count fabricated.</x:v>
      </x:c>
      <x:c r="AK139" s="31" t="str">
        <x:v>FULLY_COVERED</x:v>
      </x:c>
      <x:c r="AL139" s="19" t="str">
        <x:v>PENDING_SOURCE_REVIEW</x:v>
      </x:c>
      <x:c r="AM139" s="20" t="str">
        <x:v>MEDIUM</x:v>
      </x:c>
    </x:row>
    <x:row r="140" ht="34" customHeight="1">
      <x:c r="A140" s="25" t="str">
        <x:v>FT-SEED-R1B-P-2015-16</x:v>
      </x:c>
      <x:c r="B140" s="19" t="str">
        <x:v>2015</x:v>
      </x:c>
      <x:c r="C140" s="28" t="n">
        <x:v>16</x:v>
      </x:c>
      <x:c r="D140" s="31" t="str">
        <x:v>slow onset events</x:v>
      </x:c>
      <x:c r="E140" s="31" t="str">
        <x:v>generic damage</x:v>
      </x:c>
      <x:c r="F140" s="19" t="str">
        <x:v>harm_loss_consequences</x:v>
      </x:c>
      <x:c r="G140" s="19" t="str">
        <x:v>D</x:v>
      </x:c>
      <x:c r="H140" s="19" t="str">
        <x:v>V2</x:v>
      </x:c>
      <x:c r="I140" s="19" t="str">
        <x:v>NOT_EXPOSED_IN_REPORT</x:v>
      </x:c>
      <x:c r="J140" s="19" t="str">
        <x:v>S2015-PARIS</x:v>
      </x:c>
      <x:c r="K140" s="31" t="str">
        <x:v>RECONSTRUCTED_FROM_REPORT; Fear of Temperature_ Stratified Lexical Expansion, Voice Mapping, and Semantic-Relational Pre-Valida.pdf; p.11; project candidate FT-SEED-R1B-P-2015-16; original visible ID not available</x:v>
      </x:c>
      <x:c r="L140" s="31" t="str">
        <x:v>SUCCEEDED_REUSED_BASELINE</x:v>
      </x:c>
      <x:c r="M140" s="31" t="str">
        <x:v>slow onset events</x:v>
      </x:c>
      <x:c r="N140" s="31" t="str">
        <x:v>EXACT</x:v>
      </x:c>
      <x:c r="O140" s="19" t="str">
        <x:v>1964</x:v>
      </x:c>
      <x:c r="P140" s="19" t="str">
        <x:v>2021</x:v>
      </x:c>
      <x:c r="Q140" s="34" t="n">
        <x:v>7.283442959860054e-9</x:v>
      </x:c>
      <x:c r="R140" s="34" t="n">
        <x:v>2.049460948172488e-9</x:v>
      </x:c>
      <x:c r="S140" s="34" t="n">
        <x:v>2.314395087614033e-9</x:v>
      </x:c>
      <x:c r="T140" s="34" t="n">
        <x:v>5.013650494767319e-9</x:v>
      </x:c>
      <x:c r="U140" s="31" t="str">
        <x:v>Candidate surface form is directly representable in the public Ngram interface. Complete 1842–2022 unsmoothed series reused from the audited quantitative-v0.1 baseline.</x:v>
      </x:c>
      <x:c r="V140" s="31" t="str">
        <x:v>TECHNICAL_GLOSSARY</x:v>
      </x:c>
      <x:c r="W140" s="19" t="str">
        <x:v>IPCC climate-science glossary / assessment terminology</x:v>
      </x:c>
      <x:c r="X140" s="31" t="str">
        <x:v>A threat, risk, harm, severity, or consequence sense in the documented source; it is not automatically an emotion.</x:v>
      </x:c>
      <x:c r="Y140" s="31" t="str">
        <x:v>Generic material, ecological, or social damage; the candidate is interpreted in its documented anchor and voice context.</x:v>
      </x:c>
      <x:c r="Z140" s="31" t="str">
        <x:v>STRONG</x:v>
      </x:c>
      <x:c r="AA140" s="19" t="str">
        <x:v>The surface form may realize multiple senses; candidate meaning remains anchored to the report-visible source context.</x:v>
      </x:c>
      <x:c r="AB140" s="31" t="str">
        <x:v>Secondary: Component headword checked: events.; historical: Anchor-period research source/context; Webster 1913 stable component URL recorded but automated page retrieval was unavailable; source: https://www.ipcc.ch/site/assets/uploads/2018/02/WGIIAR5-AnnexII_FINAL.pdf; https://api.dictionaryapi.dev/api/v2/entries/en/slow%20onset%20events; https://websters1913.timcieplowski.com/word/events/</x:v>
      </x:c>
      <x:c r="AC140" s="19" t="str">
        <x:v>INTERNET_ARCHIVE_METADATA_TEXT_ITEM_COUNT</x:v>
      </x:c>
      <x:c r="AD140" s="19" t="str">
        <x:v>"slow onset events" AND mediatype:texts</x:v>
      </x:c>
      <x:c r="AE140" s="31" t="str">
        <x:v>EXACT_PHRASE</x:v>
      </x:c>
      <x:c r="AF140" s="31" t="str">
        <x:v>COMPLETED_NONZERO</x:v>
      </x:c>
      <x:c r="AG140" s="28" t="n">
        <x:v>2</x:v>
      </x:c>
      <x:c r="AH140" s="19" t="str">
        <x:v>1</x:v>
      </x:c>
      <x:c r="AI140" s="19" t="str">
        <x:v>2026-08-26</x:v>
      </x:c>
      <x:c r="AJ140" s="31" t="str">
        <x:v>Metadata text-item count; not a full-text lexical frequency. Secondary metric: NOT_RUN_OPENALEX_DAILY_BUDGET_EXHAUSTED: shared provider response retained; no count fabricated.</x:v>
      </x:c>
      <x:c r="AK140" s="31" t="str">
        <x:v>FULLY_COVERED</x:v>
      </x:c>
      <x:c r="AL140" s="19" t="str">
        <x:v>PENDING_SOURCE_REVIEW</x:v>
      </x:c>
      <x:c r="AM140" s="20" t="str">
        <x:v>MEDIUM</x:v>
      </x:c>
    </x:row>
    <x:row r="141" ht="34" customHeight="1">
      <x:c r="A141" s="25" t="str">
        <x:v>FT-SEED-R1B-P-2015-17</x:v>
      </x:c>
      <x:c r="B141" s="19" t="str">
        <x:v>2015</x:v>
      </x:c>
      <x:c r="C141" s="28" t="n">
        <x:v>17</x:v>
      </x:c>
      <x:c r="D141" s="31" t="str">
        <x:v>risk of loss and damage</x:v>
      </x:c>
      <x:c r="E141" s="31" t="str">
        <x:v>administrative risk assessment</x:v>
      </x:c>
      <x:c r="F141" s="19" t="str">
        <x:v>risk</x:v>
      </x:c>
      <x:c r="G141" s="19" t="str">
        <x:v>D</x:v>
      </x:c>
      <x:c r="H141" s="19" t="str">
        <x:v>V2</x:v>
      </x:c>
      <x:c r="I141" s="19" t="str">
        <x:v>NOT_EXPOSED_IN_REPORT</x:v>
      </x:c>
      <x:c r="J141" s="19" t="str">
        <x:v>S2015-PARIS</x:v>
      </x:c>
      <x:c r="K141" s="31" t="str">
        <x:v>RECONSTRUCTED_FROM_REPORT; Fear of Temperature_ Stratified Lexical Expansion, Voice Mapping, and Semantic-Relational Pre-Valida.pdf; p.11; project candidate FT-SEED-R1B-P-2015-17; original visible ID not available</x:v>
      </x:c>
      <x:c r="L141" s="31" t="str">
        <x:v>SUCCEEDED_REUSED_BASELINE</x:v>
      </x:c>
      <x:c r="M141" s="31" t="str">
        <x:v>risk of loss and damage</x:v>
      </x:c>
      <x:c r="N141" s="31" t="str">
        <x:v>EXACT</x:v>
      </x:c>
      <x:c r="O141" s="19" t="str">
        <x:v>1842</x:v>
      </x:c>
      <x:c r="P141" s="19" t="str">
        <x:v>1956</x:v>
      </x:c>
      <x:c r="Q141" s="34" t="n">
        <x:v>7.821105985073018e-9</x:v>
      </x:c>
      <x:c r="R141" s="34" t="n">
        <x:v>9.214118357192547e-10</x:v>
      </x:c>
      <x:c r="S141" s="34" t="n">
        <x:v>1.2443122562414792e-9</x:v>
      </x:c>
      <x:c r="T141" s="34" t="n">
        <x:v>2.0658581616206373e-9</x:v>
      </x:c>
      <x:c r="U141" s="31" t="str">
        <x:v>Candidate surface form is directly representable in the public Ngram interface. Complete 1842–2022 unsmoothed series reused from the audited quantitative-v0.1 baseline.</x:v>
      </x:c>
      <x:c r="V141" s="31" t="str">
        <x:v>TECHNICAL_GLOSSARY</x:v>
      </x:c>
      <x:c r="W141" s="19" t="str">
        <x:v>IPCC climate-science glossary / assessment terminology</x:v>
      </x:c>
      <x:c r="X141" s="31" t="str">
        <x:v>Institutional climate-policy terminology for harms and losses associated with climate impacts, with economic and non-economic subtypes.</x:v>
      </x:c>
      <x:c r="Y141" s="31" t="str">
        <x:v>Risk managed or assessed through institutional procedure; the candidate is interpreted in its documented anchor and voice context.</x:v>
      </x:c>
      <x:c r="Z141" s="31" t="str">
        <x:v>STRONG</x:v>
      </x:c>
      <x:c r="AA141" s="19" t="str">
        <x:v>Generic damage/loss and the UNFCCC policy term 'loss and damage' are not interchangeable.</x:v>
      </x:c>
      <x:c r="AB141" s="31" t="str">
        <x:v>Secondary: Component headword checked: damage.; historical: Anchor-period research source/context; Webster 1913 stable component URL recorded but automated page retrieval was unavailable; source: https://www.ipcc.ch/site/assets/uploads/2018/02/WGIIAR5-AnnexII_FINAL.pdf; https://api.dictionaryapi.dev/api/v2/entries/en/risk%20of%20loss%20and%20damage; https://websters1913.timcieplowski.com/word/damage/</x:v>
      </x:c>
      <x:c r="AC141" s="19" t="str">
        <x:v>INTERNET_ARCHIVE_METADATA_TEXT_ITEM_COUNT</x:v>
      </x:c>
      <x:c r="AD141" s="19" t="str">
        <x:v>"risk of loss and damage" AND mediatype:texts</x:v>
      </x:c>
      <x:c r="AE141" s="31" t="str">
        <x:v>EXACT_PHRASE</x:v>
      </x:c>
      <x:c r="AF141" s="31" t="str">
        <x:v>COMPLETED_NONZERO</x:v>
      </x:c>
      <x:c r="AG141" s="28" t="n">
        <x:v>2</x:v>
      </x:c>
      <x:c r="AH141" s="19" t="str">
        <x:v>1</x:v>
      </x:c>
      <x:c r="AI141" s="19" t="str">
        <x:v>2026-08-26</x:v>
      </x:c>
      <x:c r="AJ141" s="31" t="str">
        <x:v>Metadata text-item count; not a full-text lexical frequency. Secondary metric: NOT_RUN_OPENALEX_DAILY_BUDGET_EXHAUSTED: shared provider response retained; no count fabricated.</x:v>
      </x:c>
      <x:c r="AK141" s="31" t="str">
        <x:v>FULLY_COVERED</x:v>
      </x:c>
      <x:c r="AL141" s="19" t="str">
        <x:v>PENDING_SOURCE_REVIEW</x:v>
      </x:c>
      <x:c r="AM141" s="20" t="str">
        <x:v>MEDIUM</x:v>
      </x:c>
    </x:row>
    <x:row r="142" ht="34" customHeight="1">
      <x:c r="A142" s="25" t="str">
        <x:v>FT-SEED-R1B-P-2015-18</x:v>
      </x:c>
      <x:c r="B142" s="19" t="str">
        <x:v>2015</x:v>
      </x:c>
      <x:c r="C142" s="28" t="n">
        <x:v>18</x:v>
      </x:c>
      <x:c r="D142" s="31" t="str">
        <x:v>early warning systems</x:v>
      </x:c>
      <x:c r="E142" s="31" t="str">
        <x:v>generic damage</x:v>
      </x:c>
      <x:c r="F142" s="19" t="str">
        <x:v>harm_loss_consequences</x:v>
      </x:c>
      <x:c r="G142" s="19" t="str">
        <x:v>D</x:v>
      </x:c>
      <x:c r="H142" s="19" t="str">
        <x:v>V2</x:v>
      </x:c>
      <x:c r="I142" s="19" t="str">
        <x:v>NOT_EXPOSED_IN_REPORT</x:v>
      </x:c>
      <x:c r="J142" s="19" t="str">
        <x:v>S2015-PARIS</x:v>
      </x:c>
      <x:c r="K142" s="31" t="str">
        <x:v>RECONSTRUCTED_FROM_REPORT; Fear of Temperature_ Stratified Lexical Expansion, Voice Mapping, and Semantic-Relational Pre-Valida.pdf; p.11; project candidate FT-SEED-R1B-P-2015-18; original visible ID not available</x:v>
      </x:c>
      <x:c r="L142" s="31" t="str">
        <x:v>SUCCEEDED_REUSED_BASELINE</x:v>
      </x:c>
      <x:c r="M142" s="31" t="str">
        <x:v>early warning systems</x:v>
      </x:c>
      <x:c r="N142" s="31" t="str">
        <x:v>EXACT</x:v>
      </x:c>
      <x:c r="O142" s="19" t="str">
        <x:v>1869</x:v>
      </x:c>
      <x:c r="P142" s="19" t="str">
        <x:v>2022</x:v>
      </x:c>
      <x:c r="Q142" s="34" t="n">
        <x:v>2.0064061378999298e-7</x:v>
      </x:c>
      <x:c r="R142" s="34" t="n">
        <x:v>1.4231256331709297e-7</x:v>
      </x:c>
      <x:c r="S142" s="34" t="n">
        <x:v>1.4610297251309764e-7</x:v>
      </x:c>
      <x:c r="T142" s="34" t="n">
        <x:v>2.0064061378999298e-7</x:v>
      </x:c>
      <x:c r="U142" s="31" t="str">
        <x:v>Candidate surface form is directly representable in the public Ngram interface. Complete 1842–2022 unsmoothed series reused from the audited quantitative-v0.1 baseline.</x:v>
      </x:c>
      <x:c r="V142" s="31" t="str">
        <x:v>TECHNICAL_GLOSSARY</x:v>
      </x:c>
      <x:c r="W142" s="19" t="str">
        <x:v>IPCC climate-science glossary / assessment terminology</x:v>
      </x:c>
      <x:c r="X142" s="31" t="str">
        <x:v>A threat, risk, harm, severity, or consequence sense in the documented source; it is not automatically an emotion.</x:v>
      </x:c>
      <x:c r="Y142" s="31" t="str">
        <x:v>Generic material, ecological, or social damage; the candidate is interpreted in its documented anchor and voice context.</x:v>
      </x:c>
      <x:c r="Z142" s="31" t="str">
        <x:v>STRONG</x:v>
      </x:c>
      <x:c r="AA142" s="19" t="str">
        <x:v>The surface form may realize multiple senses; candidate meaning remains anchored to the report-visible source context.</x:v>
      </x:c>
      <x:c r="AB142" s="31" t="str">
        <x:v>Secondary: Component headword checked: systems.; historical: Anchor-period research source/context; Webster 1913 stable component URL recorded but automated page retrieval was unavailable; source: https://www.ipcc.ch/site/assets/uploads/2018/02/WGIIAR5-AnnexII_FINAL.pdf; https://api.dictionaryapi.dev/api/v2/entries/en/early%20warning%20systems; https://websters1913.timcieplowski.com/word/systems/</x:v>
      </x:c>
      <x:c r="AC142" s="19" t="str">
        <x:v>INTERNET_ARCHIVE_METADATA_TEXT_ITEM_COUNT</x:v>
      </x:c>
      <x:c r="AD142" s="19" t="str">
        <x:v>"early warning systems" AND mediatype:texts</x:v>
      </x:c>
      <x:c r="AE142" s="31" t="str">
        <x:v>EXACT_PHRASE</x:v>
      </x:c>
      <x:c r="AF142" s="31" t="str">
        <x:v>COMPLETED_NONZERO</x:v>
      </x:c>
      <x:c r="AG142" s="28" t="n">
        <x:v>833</x:v>
      </x:c>
      <x:c r="AH142" s="19" t="str">
        <x:v>56</x:v>
      </x:c>
      <x:c r="AI142" s="19" t="str">
        <x:v>2026-08-26</x:v>
      </x:c>
      <x:c r="AJ142" s="31" t="str">
        <x:v>Metadata text-item count; not a full-text lexical frequency. Secondary metric: NOT_RUN_OPENALEX_DAILY_BUDGET_EXHAUSTED: shared provider response retained; no count fabricated.</x:v>
      </x:c>
      <x:c r="AK142" s="31" t="str">
        <x:v>FULLY_COVERED</x:v>
      </x:c>
      <x:c r="AL142" s="19" t="str">
        <x:v>PENDING_SOURCE_REVIEW</x:v>
      </x:c>
      <x:c r="AM142" s="20" t="str">
        <x:v>MEDIUM</x:v>
      </x:c>
    </x:row>
    <x:row r="143" ht="34" customHeight="1">
      <x:c r="A143" s="25" t="str">
        <x:v>FT-SEED-R1B-P-2015-19</x:v>
      </x:c>
      <x:c r="B143" s="19" t="str">
        <x:v>2015</x:v>
      </x:c>
      <x:c r="C143" s="28" t="n">
        <x:v>19</x:v>
      </x:c>
      <x:c r="D143" s="31" t="str">
        <x:v>emergency preparedness</x:v>
      </x:c>
      <x:c r="E143" s="31" t="str">
        <x:v>emergency response category</x:v>
      </x:c>
      <x:c r="F143" s="19" t="str">
        <x:v>crisis_emergency</x:v>
      </x:c>
      <x:c r="G143" s="19" t="str">
        <x:v>D</x:v>
      </x:c>
      <x:c r="H143" s="19" t="str">
        <x:v>V2</x:v>
      </x:c>
      <x:c r="I143" s="19" t="str">
        <x:v>NOT_EXPOSED_IN_REPORT</x:v>
      </x:c>
      <x:c r="J143" s="19" t="str">
        <x:v>S2015-PARIS</x:v>
      </x:c>
      <x:c r="K143" s="31" t="str">
        <x:v>RECONSTRUCTED_FROM_REPORT; Fear of Temperature_ Stratified Lexical Expansion, Voice Mapping, and Semantic-Relational Pre-Valida.pdf; p.11; project candidate FT-SEED-R1B-P-2015-19; original visible ID not available</x:v>
      </x:c>
      <x:c r="L143" s="31" t="str">
        <x:v>SUCCEEDED_REUSED_BASELINE</x:v>
      </x:c>
      <x:c r="M143" s="31" t="str">
        <x:v>emergency preparedness</x:v>
      </x:c>
      <x:c r="N143" s="31" t="str">
        <x:v>EXACT</x:v>
      </x:c>
      <x:c r="O143" s="19" t="str">
        <x:v>1847</x:v>
      </x:c>
      <x:c r="P143" s="19" t="str">
        <x:v>1986</x:v>
      </x:c>
      <x:c r="Q143" s="34" t="n">
        <x:v>0.000002826408131394176</x:v>
      </x:c>
      <x:c r="R143" s="34" t="n">
        <x:v>3.2953145755534874e-7</x:v>
      </x:c>
      <x:c r="S143" s="34" t="n">
        <x:v>3.3156906676171105e-7</x:v>
      </x:c>
      <x:c r="T143" s="34" t="n">
        <x:v>2.663239674349782e-7</x:v>
      </x:c>
      <x:c r="U143" s="31" t="str">
        <x:v>Candidate surface form is directly representable in the public Ngram interface. Complete 1842–2022 unsmoothed series reused from the audited quantitative-v0.1 baseline.</x:v>
      </x:c>
      <x:c r="V143" s="31" t="str">
        <x:v>NO_STANDALONE_HEADWORD</x:v>
      </x:c>
      <x:c r="W143" s="19" t="str">
        <x:v>Component lexical analysis plus anchor-source contextual meaning</x:v>
      </x:c>
      <x:c r="X143" s="31" t="str">
        <x:v>A threat, risk, harm, severity, or consequence sense in the documented source; it is not automatically an emotion.</x:v>
      </x:c>
      <x:c r="Y143" s="31" t="str">
        <x:v>Emergency preparedness or response as a governance procedure; the candidate is interpreted in its documented anchor and voice context.</x:v>
      </x:c>
      <x:c r="Z143" s="31" t="str">
        <x:v>STRONG</x:v>
      </x:c>
      <x:c r="AA143" s="19" t="str">
        <x:v>The surface form may realize multiple senses; candidate meaning remains anchored to the report-visible source context.</x:v>
      </x:c>
      <x:c r="AB143" s="31" t="str">
        <x:v>Secondary: Component headword checked: preparedness.;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https://api.dictionaryapi.dev/api/v2/entries/en/emergency%20preparedness; https://websters1913.timcieplowski.com/word/preparedness/</x:v>
      </x:c>
      <x:c r="AC143" s="19" t="str">
        <x:v>INTERNET_ARCHIVE_METADATA_TEXT_ITEM_COUNT</x:v>
      </x:c>
      <x:c r="AD143" s="19" t="str">
        <x:v>"emergency preparedness" AND mediatype:texts</x:v>
      </x:c>
      <x:c r="AE143" s="31" t="str">
        <x:v>EXACT_PHRASE</x:v>
      </x:c>
      <x:c r="AF143" s="31" t="str">
        <x:v>COMPLETED_NONZERO</x:v>
      </x:c>
      <x:c r="AG143" s="28" t="n">
        <x:v>1406</x:v>
      </x:c>
      <x:c r="AH143" s="19" t="str">
        <x:v>100</x:v>
      </x:c>
      <x:c r="AI143" s="19" t="str">
        <x:v>2026-08-26</x:v>
      </x:c>
      <x:c r="AJ143" s="31" t="str">
        <x:v>Metadata text-item count; not a full-text lexical frequency. Secondary metric: NOT_RUN_OPENALEX_DAILY_BUDGET_EXHAUSTED: shared provider response retained; no count fabricated.</x:v>
      </x:c>
      <x:c r="AK143" s="31" t="str">
        <x:v>FULLY_COVERED</x:v>
      </x:c>
      <x:c r="AL143" s="19" t="str">
        <x:v>PENDING_SOURCE_REVIEW</x:v>
      </x:c>
      <x:c r="AM143" s="20" t="str">
        <x:v>MEDIUM</x:v>
      </x:c>
    </x:row>
    <x:row r="144" ht="34" customHeight="1">
      <x:c r="A144" s="25" t="str">
        <x:v>FT-SEED-R1B-P-2015-20</x:v>
      </x:c>
      <x:c r="B144" s="19" t="str">
        <x:v>2015</x:v>
      </x:c>
      <x:c r="C144" s="28" t="n">
        <x:v>20</x:v>
      </x:c>
      <x:c r="D144" s="31" t="str">
        <x:v>irreversible and permanent loss and damage</x:v>
      </x:c>
      <x:c r="E144" s="31" t="str">
        <x:v>loss and damage</x:v>
      </x:c>
      <x:c r="F144" s="19" t="str">
        <x:v>harm_loss_consequences</x:v>
      </x:c>
      <x:c r="G144" s="19" t="str">
        <x:v>D</x:v>
      </x:c>
      <x:c r="H144" s="19" t="str">
        <x:v>V2</x:v>
      </x:c>
      <x:c r="I144" s="19" t="str">
        <x:v>NOT_EXPOSED_IN_REPORT</x:v>
      </x:c>
      <x:c r="J144" s="19" t="str">
        <x:v>S2015-PARIS</x:v>
      </x:c>
      <x:c r="K144" s="31" t="str">
        <x:v>RECONSTRUCTED_FROM_REPORT; Fear of Temperature_ Stratified Lexical Expansion, Voice Mapping, and Semantic-Relational Pre-Valida.pdf; p.11; project candidate FT-SEED-R1B-P-2015-20; original visible ID not available</x:v>
      </x:c>
      <x:c r="L144" s="31" t="str">
        <x:v>SUCCEEDED_REUSED_BASELINE</x:v>
      </x:c>
      <x:c r="M144" s="31" t="str">
        <x:v>irreversible and permanent loss and damage</x:v>
      </x:c>
      <x:c r="N144" s="31" t="str">
        <x:v>EXACT</x:v>
      </x:c>
      <x:c r="O144" s="19" t="str">
        <x:v>2015</x:v>
      </x:c>
      <x:c r="P144" s="19" t="str">
        <x:v>2021</x:v>
      </x:c>
      <x:c r="Q144" s="34" t="n">
        <x:v>8.163354991985727e-10</x:v>
      </x:c>
      <x:c r="R144" s="34" t="n">
        <x:v>6.163167892703214e-11</x:v>
      </x:c>
      <x:c r="S144" s="34" t="n">
        <x:v>1.5757996065420463e-10</x:v>
      </x:c>
      <x:c r="T144" s="34" t="n">
        <x:v>6.393428564344106e-10</x:v>
      </x:c>
      <x:c r="U144" s="31" t="str">
        <x:v>Candidate surface form is directly representable in the public Ngram interface. Complete 1842–2022 unsmoothed series reused from the audited quantitative-v0.1 baseline.</x:v>
      </x:c>
      <x:c r="V144" s="31" t="str">
        <x:v>NO_STANDALONE_HEADWORD</x:v>
      </x:c>
      <x:c r="W144" s="19" t="str">
        <x:v>Component lexical analysis plus anchor-source contextual meaning</x:v>
      </x:c>
      <x:c r="X144" s="31" t="str">
        <x:v>Institutional climate-policy terminology for harms and losses associated with climate impacts, with economic and non-economic subtypes.</x:v>
      </x:c>
      <x:c r="Y144" s="31" t="str">
        <x:v>The climate-governance domain of loss and damage; the candidate is interpreted in its documented anchor and voice context.</x:v>
      </x:c>
      <x:c r="Z144" s="31" t="str">
        <x:v>STRONG</x:v>
      </x:c>
      <x:c r="AA144" s="19" t="str">
        <x:v>Generic damage/loss and the UNFCCC policy term 'loss and damage' are not interchangeable.</x:v>
      </x:c>
      <x:c r="AB144" s="31" t="str">
        <x:v>Secondary: Component headword checked: damage.;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https://api.dictionaryapi.dev/api/v2/entries/en/irreversible%20and%20permanent%20loss%20and%20damage; https://websters1913.timcieplowski.com/word/damage/</x:v>
      </x:c>
      <x:c r="AC144" s="19" t="str">
        <x:v>INTERNET_ARCHIVE_METADATA_TEXT_ITEM_COUNT</x:v>
      </x:c>
      <x:c r="AD144" s="19" t="str">
        <x:v>"irreversible and permanent loss and damage" AND mediatype:texts</x:v>
      </x:c>
      <x:c r="AE144" s="31" t="str">
        <x:v>EXACT_PHRASE</x:v>
      </x:c>
      <x:c r="AF144" s="31" t="str">
        <x:v>COMPLETED_NONZERO</x:v>
      </x:c>
      <x:c r="AG144" s="28" t="n">
        <x:v>1</x:v>
      </x:c>
      <x:c r="AH144" s="19" t="str">
        <x:v>1</x:v>
      </x:c>
      <x:c r="AI144" s="19" t="str">
        <x:v>2026-08-26</x:v>
      </x:c>
      <x:c r="AJ144" s="31" t="str">
        <x:v>Metadata text-item count; not a full-text lexical frequency. Secondary metric: NOT_RUN_OPENALEX_DAILY_BUDGET_EXHAUSTED: shared provider response retained; no count fabricated.</x:v>
      </x:c>
      <x:c r="AK144" s="31" t="str">
        <x:v>FULLY_COVERED</x:v>
      </x:c>
      <x:c r="AL144" s="19" t="str">
        <x:v>PENDING_SOURCE_REVIEW</x:v>
      </x:c>
      <x:c r="AM144" s="20" t="str">
        <x:v>MEDIUM</x:v>
      </x:c>
    </x:row>
    <x:row r="145" ht="34" customHeight="1">
      <x:c r="A145" s="25" t="str">
        <x:v>FT-SEED-R1B-P-2015-21</x:v>
      </x:c>
      <x:c r="B145" s="19" t="str">
        <x:v>2015</x:v>
      </x:c>
      <x:c r="C145" s="28" t="n">
        <x:v>21</x:v>
      </x:c>
      <x:c r="D145" s="31" t="str">
        <x:v>comprehensive risk assessment and management</x:v>
      </x:c>
      <x:c r="E145" s="31" t="str">
        <x:v>administrative risk assessment</x:v>
      </x:c>
      <x:c r="F145" s="19" t="str">
        <x:v>risk</x:v>
      </x:c>
      <x:c r="G145" s="19" t="str">
        <x:v>D</x:v>
      </x:c>
      <x:c r="H145" s="19" t="str">
        <x:v>V2</x:v>
      </x:c>
      <x:c r="I145" s="19" t="str">
        <x:v>NOT_EXPOSED_IN_REPORT</x:v>
      </x:c>
      <x:c r="J145" s="19" t="str">
        <x:v>S2015-PARIS</x:v>
      </x:c>
      <x:c r="K145" s="31" t="str">
        <x:v>RECONSTRUCTED_FROM_REPORT; Fear of Temperature_ Stratified Lexical Expansion, Voice Mapping, and Semantic-Relational Pre-Valida.pdf; p.11; project candidate FT-SEED-R1B-P-2015-21; original visible ID not available</x:v>
      </x:c>
      <x:c r="L145" s="31" t="str">
        <x:v>SUCCEEDED_REUSED_BASELINE</x:v>
      </x:c>
      <x:c r="M145" s="31" t="str">
        <x:v>comprehensive risk assessment and management</x:v>
      </x:c>
      <x:c r="N145" s="31" t="str">
        <x:v>EXACT</x:v>
      </x:c>
      <x:c r="O145" s="19" t="str">
        <x:v>1963</x:v>
      </x:c>
      <x:c r="P145" s="19" t="str">
        <x:v>2018</x:v>
      </x:c>
      <x:c r="Q145" s="34" t="n">
        <x:v>1.2794914017177916e-9</x:v>
      </x:c>
      <x:c r="R145" s="34" t="n">
        <x:v>2.879411986622671e-10</x:v>
      </x:c>
      <x:c r="S145" s="34" t="n">
        <x:v>3.81069227099277e-10</x:v>
      </x:c>
      <x:c r="T145" s="34" t="n">
        <x:v>7.611056784817549e-10</x:v>
      </x:c>
      <x:c r="U145" s="31" t="str">
        <x:v>Candidate surface form is directly representable in the public Ngram interface. Complete 1842–2022 unsmoothed series reused from the audited quantitative-v0.1 baseline.</x:v>
      </x:c>
      <x:c r="V145" s="31" t="str">
        <x:v>NO_STANDALONE_HEADWORD</x:v>
      </x:c>
      <x:c r="W145" s="19" t="str">
        <x:v>Component lexical analysis plus anchor-source contextual meaning</x:v>
      </x:c>
      <x:c r="X145" s="31" t="str">
        <x:v>A threat, risk, harm, severity, or consequence sense in the documented source; it is not automatically an emotion.</x:v>
      </x:c>
      <x:c r="Y145" s="31" t="str">
        <x:v>Risk managed or assessed through institutional procedure; the candidate is interpreted in its documented anchor and voice context.</x:v>
      </x:c>
      <x:c r="Z145" s="31" t="str">
        <x:v>STRONG</x:v>
      </x:c>
      <x:c r="AA145" s="19" t="str">
        <x:v>The surface form may realize multiple senses; candidate meaning remains anchored to the report-visible source context.</x:v>
      </x:c>
      <x:c r="AB145" s="31" t="str">
        <x:v>Secondary: Component headword checked: management.;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https://api.dictionaryapi.dev/api/v2/entries/en/comprehensive%20risk%20assessment%20and%20management; https://websters1913.timcieplowski.com/word/management/</x:v>
      </x:c>
      <x:c r="AC145" s="19" t="str">
        <x:v>INTERNET_ARCHIVE_METADATA_TEXT_ITEM_COUNT</x:v>
      </x:c>
      <x:c r="AD145" s="19" t="str">
        <x:v>"comprehensive risk assessment and management" AND mediatype:texts</x:v>
      </x:c>
      <x:c r="AE145" s="31" t="str">
        <x:v>EXACT_PHRASE</x:v>
      </x:c>
      <x:c r="AF145" s="31" t="str">
        <x:v>COMPLETED_NONZERO</x:v>
      </x:c>
      <x:c r="AG145" s="28" t="n">
        <x:v>1</x:v>
      </x:c>
      <x:c r="AH145" s="19" t="str">
        <x:v>1</x:v>
      </x:c>
      <x:c r="AI145" s="19" t="str">
        <x:v>2026-08-26</x:v>
      </x:c>
      <x:c r="AJ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AK145" s="31" t="str">
        <x:v>FULLY_COVERED</x:v>
      </x:c>
      <x:c r="AL145" s="19" t="str">
        <x:v>PENDING_SOURCE_REVIEW</x:v>
      </x:c>
      <x:c r="AM145" s="20" t="str">
        <x:v>MEDIUM</x:v>
      </x:c>
    </x:row>
    <x:row r="146" ht="34" customHeight="1">
      <x:c r="A146" s="25" t="str">
        <x:v>FT-SEED-R1B-P-2015-22</x:v>
      </x:c>
      <x:c r="B146" s="19" t="str">
        <x:v>2015</x:v>
      </x:c>
      <x:c r="C146" s="28" t="n">
        <x:v>22</x:v>
      </x:c>
      <x:c r="D146" s="31" t="str">
        <x:v>non-economic losses</x:v>
      </x:c>
      <x:c r="E146" s="31" t="str">
        <x:v>non-economic losses</x:v>
      </x:c>
      <x:c r="F146" s="19" t="str">
        <x:v>harm_loss_consequences</x:v>
      </x:c>
      <x:c r="G146" s="19" t="str">
        <x:v>D</x:v>
      </x:c>
      <x:c r="H146" s="19" t="str">
        <x:v>V2</x:v>
      </x:c>
      <x:c r="I146" s="19" t="str">
        <x:v>NOT_EXPOSED_IN_REPORT</x:v>
      </x:c>
      <x:c r="J146" s="19" t="str">
        <x:v>S2015-PARIS</x:v>
      </x:c>
      <x:c r="K146" s="31" t="str">
        <x:v>RECONSTRUCTED_FROM_REPORT; Fear of Temperature_ Stratified Lexical Expansion, Voice Mapping, and Semantic-Relational Pre-Valida.pdf; p.11; project candidate FT-SEED-R1B-P-2015-22; original visible ID not available</x:v>
      </x:c>
      <x:c r="L146" s="31" t="str">
        <x:v>SUCCEEDED_NEW</x:v>
      </x:c>
      <x:c r="M146" s="31" t="str">
        <x:v>non-economic losses</x:v>
      </x:c>
      <x:c r="N146" s="31" t="str">
        <x:v>EXACT</x:v>
      </x:c>
      <x:c r="O146" s="19" t="str">
        <x:v>1924</x:v>
      </x:c>
      <x:c r="P146" s="19" t="str">
        <x:v>1986</x:v>
      </x:c>
      <x:c r="Q146" s="34" t="n">
        <x:v>1.8812469290696576e-8</x:v>
      </x:c>
      <x:c r="R146" s="34" t="n">
        <x:v>4.731613434394433e-9</x:v>
      </x:c>
      <x:c r="S146" s="34" t="n">
        <x:v>3.908430465845066e-9</x:v>
      </x:c>
      <x:c r="T146" s="34" t="n">
        <x:v>6.453083678525928e-9</x:v>
      </x:c>
      <x:c r="U146" s="31" t="str">
        <x:v>Candidate surface form is directly representable in the public Ngram interface. New unsmoothed 1842–2022 series retrieved for the candidate audit.</x:v>
      </x:c>
      <x:c r="V146" s="31" t="str">
        <x:v>TECHNICAL_GLOSSARY</x:v>
      </x:c>
      <x:c r="W146" s="19" t="str">
        <x:v>IPCC climate-science glossary / assessment terminology</x:v>
      </x:c>
      <x:c r="X146" s="31" t="str">
        <x:v>Institutional climate-policy terminology for harms and losses associated with climate impacts, with economic and non-economic subtypes.</x:v>
      </x:c>
      <x:c r="Y146" s="31" t="str">
        <x:v>Climate-related losses not readily expressed in monetary terms, including cultural, health, identity, ecosystem, and heritage harms.</x:v>
      </x:c>
      <x:c r="Z146" s="31" t="str">
        <x:v>STRONG</x:v>
      </x:c>
      <x:c r="AA146" s="19" t="str">
        <x:v>Generic damage/loss and the UNFCCC policy term 'loss and damage' are not interchangeable.</x:v>
      </x:c>
      <x:c r="AB146" s="31" t="str">
        <x:v>Secondary: Component headword checked: losses.; historical: Anchor-period research source/context; Webster 1913 stable component URL recorded but automated page retrieval was unavailable; source: https://www.ipcc.ch/site/assets/uploads/2018/02/WGIIAR5-AnnexII_FINAL.pdf; https://api.dictionaryapi.dev/api/v2/entries/en/non-economic%20losses; https://websters1913.timcieplowski.com/word/losses/</x:v>
      </x:c>
      <x:c r="AC146" s="19" t="str">
        <x:v>INTERNET_ARCHIVE_METADATA_TEXT_ITEM_COUNT</x:v>
      </x:c>
      <x:c r="AD146" s="19" t="str">
        <x:v>"non-economic losses" AND mediatype:texts</x:v>
      </x:c>
      <x:c r="AE146" s="31" t="str">
        <x:v>EXACT_PHRASE</x:v>
      </x:c>
      <x:c r="AF146" s="31" t="str">
        <x:v>COMPLETED_NONZERO</x:v>
      </x:c>
      <x:c r="AG146" s="28" t="n">
        <x:v>1</x:v>
      </x:c>
      <x:c r="AH146" s="19" t="str">
        <x:v>1</x:v>
      </x:c>
      <x:c r="AI146" s="19" t="str">
        <x:v>2026-08-26</x:v>
      </x:c>
      <x:c r="AJ146" s="31" t="str">
        <x:v>Metadata text-item count; not a full-text lexical frequency. Secondary metric: NOT_RUN_OPENALEX_DAILY_BUDGET_EXHAUSTED: shared provider response retained; no count fabricated.</x:v>
      </x:c>
      <x:c r="AK146" s="31" t="str">
        <x:v>FULLY_COVERED</x:v>
      </x:c>
      <x:c r="AL146" s="19" t="str">
        <x:v>PENDING_SOURCE_REVIEW</x:v>
      </x:c>
      <x:c r="AM146" s="20" t="str">
        <x:v>MEDIUM</x:v>
      </x:c>
    </x:row>
    <x:row r="147" ht="34" customHeight="1">
      <x:c r="A147" s="25" t="str">
        <x:v>FT-SEED-R1B-P-2015-23</x:v>
      </x:c>
      <x:c r="B147" s="19" t="str">
        <x:v>2015</x:v>
      </x:c>
      <x:c r="C147" s="28" t="n">
        <x:v>23</x:v>
      </x:c>
      <x:c r="D147" s="31" t="str">
        <x:v>common concern of humankind</x:v>
      </x:c>
      <x:c r="E147" s="31" t="str">
        <x:v>common concern of humankind</x:v>
      </x:c>
      <x:c r="F147" s="19" t="str">
        <x:v>concern_alarm</x:v>
      </x:c>
      <x:c r="G147" s="19" t="str">
        <x:v>C</x:v>
      </x:c>
      <x:c r="H147" s="19" t="str">
        <x:v>V2</x:v>
      </x:c>
      <x:c r="I147" s="19" t="str">
        <x:v>E1</x:v>
      </x:c>
      <x:c r="J147" s="19" t="str">
        <x:v>S2015-PARIS</x:v>
      </x:c>
      <x:c r="K147" s="31" t="str">
        <x:v>RECONSTRUCTED_FROM_REPORT; Fear of Temperature_ Stratified Lexical Expansion, Voice Mapping, and Semantic-Relational Pre-Valida.pdf; p.11; project candidate FT-SEED-R1B-P-2015-23; original visible ID not available</x:v>
      </x:c>
      <x:c r="L147" s="31" t="str">
        <x:v>SUCCEEDED_NEW</x:v>
      </x:c>
      <x:c r="M147" s="31" t="str">
        <x:v>common concern of humankind</x:v>
      </x:c>
      <x:c r="N147" s="31" t="str">
        <x:v>EXACT</x:v>
      </x:c>
      <x:c r="O147" s="19" t="str">
        <x:v>1901</x:v>
      </x:c>
      <x:c r="P147" s="19" t="str">
        <x:v>2021</x:v>
      </x:c>
      <x:c r="Q147" s="34" t="n">
        <x:v>4.958280197531195e-8</x:v>
      </x:c>
      <x:c r="R147" s="34" t="n">
        <x:v>6.452200274065234e-9</x:v>
      </x:c>
      <x:c r="S147" s="34" t="n">
        <x:v>8.595441171321827e-9</x:v>
      </x:c>
      <x:c r="T147" s="34" t="n">
        <x:v>3.892174793573844e-8</x:v>
      </x:c>
      <x:c r="U147" s="31" t="str">
        <x:v>Candidate surface form is directly representable in the public Ngram interface. New unsmoothed 1842–2022 series retrieved for the candidate audit.</x:v>
      </x:c>
      <x:c r="V147" s="31" t="str">
        <x:v>TECHNICAL_GLOSSARY</x:v>
      </x:c>
      <x:c r="W147" s="19" t="str">
        <x:v>UNFCCC Paris Agreement legal text</x:v>
      </x:c>
      <x:c r="X147" s="31" t="str">
        <x:v>A legal formula assigning shared international importance to climate change, not a report of an individual's emotional concern.</x:v>
      </x:c>
      <x:c r="Y147" s="31" t="str">
        <x:v>Personal concern can denote felt worry, but this continuing treaty formula designates a shared legal and governance object rather than an individual's emotion.</x:v>
      </x:c>
      <x:c r="Z147" s="31" t="str">
        <x:v>DIFFERENT</x:v>
      </x:c>
      <x:c r="AA147" s="19" t="str">
        <x:v>Legal/institutional concern differs from personal concern and from concern as a commercial enterprise.</x:v>
      </x:c>
      <x:c r="AB147" s="31" t="str">
        <x:v>Secondary: Component headword checked: humankind.; historical: Anchor-period research source/context; Webster 1913 stable component URL recorded but automated page retrieval was unavailable; source: https://unfccc.int/sites/default/files/english_paris_agreement.pdf; https://api.dictionaryapi.dev/api/v2/entries/en/common%20concern%20of%20humankind; https://websters1913.timcieplowski.com/word/humankind/</x:v>
      </x:c>
      <x:c r="AC147" s="19" t="str">
        <x:v>INTERNET_ARCHIVE_METADATA_TEXT_ITEM_COUNT</x:v>
      </x:c>
      <x:c r="AD147" s="19" t="str">
        <x:v>"common concern of humankind" AND mediatype:texts</x:v>
      </x:c>
      <x:c r="AE147" s="31" t="str">
        <x:v>EXACT_PHRASE</x:v>
      </x:c>
      <x:c r="AF147" s="31" t="str">
        <x:v>COMPLETED_NONZERO</x:v>
      </x:c>
      <x:c r="AG147" s="28" t="n">
        <x:v>5</x:v>
      </x:c>
      <x:c r="AH147" s="19" t="str">
        <x:v>0</x:v>
      </x:c>
      <x:c r="AI147" s="19" t="str">
        <x:v>2026-08-26</x:v>
      </x:c>
      <x:c r="AJ147" s="31" t="str">
        <x:v>Metadata text-item count; not a full-text lexical frequency. Secondary metric: Scholarly work discoverability count over OpenAlex search fields; not a corpus word frequency.</x:v>
      </x:c>
      <x:c r="AK147" s="31" t="str">
        <x:v>FULLY_COVERED</x:v>
      </x:c>
      <x:c r="AL147" s="19" t="str">
        <x:v>NOT_APPLICABLE</x:v>
      </x:c>
      <x:c r="AM147" s="20" t="str">
        <x:v>HIGH</x:v>
      </x:c>
    </x:row>
    <x:row r="148" ht="34" customHeight="1">
      <x:c r="A148" s="25" t="str">
        <x:v>FT-SEED-R1B-P-2015-24</x:v>
      </x:c>
      <x:c r="B148" s="19" t="str">
        <x:v>2015</x:v>
      </x:c>
      <x:c r="C148" s="28" t="n">
        <x:v>24</x:v>
      </x:c>
      <x:c r="D148" s="31" t="str">
        <x:v>climate justice</x:v>
      </x:c>
      <x:c r="E148" s="31" t="str">
        <x:v>generic damage</x:v>
      </x:c>
      <x:c r="F148" s="19" t="str">
        <x:v>harm_loss_consequences</x:v>
      </x:c>
      <x:c r="G148" s="19" t="str">
        <x:v>D</x:v>
      </x:c>
      <x:c r="H148" s="19" t="str">
        <x:v>V2</x:v>
      </x:c>
      <x:c r="I148" s="19" t="str">
        <x:v>NOT_EXPOSED_IN_REPORT</x:v>
      </x:c>
      <x:c r="J148" s="19" t="str">
        <x:v>S2015-PARIS</x:v>
      </x:c>
      <x:c r="K148" s="31" t="str">
        <x:v>RECONSTRUCTED_FROM_REPORT; Fear of Temperature_ Stratified Lexical Expansion, Voice Mapping, and Semantic-Relational Pre-Valida.pdf; p.11; project candidate FT-SEED-R1B-P-2015-24; original visible ID not available</x:v>
      </x:c>
      <x:c r="L148" s="31" t="str">
        <x:v>SUCCEEDED_NEW</x:v>
      </x:c>
      <x:c r="M148" s="31" t="str">
        <x:v>climate justice</x:v>
      </x:c>
      <x:c r="N148" s="31" t="str">
        <x:v>EXACT</x:v>
      </x:c>
      <x:c r="O148" s="19" t="str">
        <x:v>1892</x:v>
      </x:c>
      <x:c r="P148" s="19" t="str">
        <x:v>2021</x:v>
      </x:c>
      <x:c r="Q148" s="34" t="n">
        <x:v>3.9843253718530036e-7</x:v>
      </x:c>
      <x:c r="R148" s="34" t="n">
        <x:v>1.2123918213813312e-7</x:v>
      </x:c>
      <x:c r="S148" s="34" t="n">
        <x:v>1.2847355246314862e-7</x:v>
      </x:c>
      <x:c r="T148" s="34" t="n">
        <x:v>3.904167882318177e-7</x:v>
      </x:c>
      <x:c r="U148" s="31" t="str">
        <x:v>Candidate surface form is directly representable in the public Ngram interface. New unsmoothed 1842–2022 series retrieved for the candidate audit.</x:v>
      </x:c>
      <x:c r="V148" s="31" t="str">
        <x:v>TECHNICAL_GLOSSARY</x:v>
      </x:c>
      <x:c r="W148" s="19" t="str">
        <x:v>IPCC AR6 glossary and assessment usage</x:v>
      </x:c>
      <x:c r="X148" s="31" t="str">
        <x:v>A threat, risk, harm, severity, or consequence sense in the documented source; it is not automatically an emotion.</x:v>
      </x:c>
      <x:c r="Y148" s="31" t="str">
        <x:v>An evaluative framework concerned with fair distribution of climate harms, responsibilities, participation, and remedies.</x:v>
      </x:c>
      <x:c r="Z148" s="31" t="str">
        <x:v>STRONG</x:v>
      </x:c>
      <x:c r="AA148" s="19" t="str">
        <x:v>The surface form may realize multiple senses; candidate meaning remains anchored to the report-visible source context.</x:v>
      </x:c>
      <x:c r="AB148" s="31" t="str">
        <x:v>Secondary: Component headword checked: justice.; historical: Anchor-period research source/context; Webster 1913 stable component URL recorded but automated page retrieval was unavailable; source: https://www.ipcc.ch/report/ar6/syr/downloads/report/IPCC_AR6_SYR_FullVolume.pdf; https://api.dictionaryapi.dev/api/v2/entries/en/climate%20justice; https://websters1913.timcieplowski.com/word/justice/</x:v>
      </x:c>
      <x:c r="AC148" s="19" t="str">
        <x:v>INTERNET_ARCHIVE_METADATA_TEXT_ITEM_COUNT</x:v>
      </x:c>
      <x:c r="AD148" s="19" t="str">
        <x:v>"climate justice" AND mediatype:texts</x:v>
      </x:c>
      <x:c r="AE148" s="31" t="str">
        <x:v>EXACT_PHRASE</x:v>
      </x:c>
      <x:c r="AF148" s="31" t="str">
        <x:v>COMPLETED_NONZERO</x:v>
      </x:c>
      <x:c r="AG148" s="28" t="n">
        <x:v>145</x:v>
      </x:c>
      <x:c r="AH148" s="19" t="str">
        <x:v>20</x:v>
      </x:c>
      <x:c r="AI148" s="19" t="str">
        <x:v>2026-08-26</x:v>
      </x:c>
      <x:c r="AJ148" s="31" t="str">
        <x:v>Metadata text-item count; not a full-text lexical frequency. Secondary metric: Scholarly work discoverability count over OpenAlex search fields; not a corpus word frequency.</x:v>
      </x:c>
      <x:c r="AK148" s="31" t="str">
        <x:v>FULLY_COVERED</x:v>
      </x:c>
      <x:c r="AL148" s="19" t="str">
        <x:v>PENDING_SOURCE_REVIEW</x:v>
      </x:c>
      <x:c r="AM148" s="20" t="str">
        <x:v>MEDIUM</x:v>
      </x:c>
    </x:row>
    <x:row r="149" ht="34" customHeight="1">
      <x:c r="A149" s="25" t="str">
        <x:v>FT-SEED-R1B-P-2015-25</x:v>
      </x:c>
      <x:c r="B149" s="19" t="str">
        <x:v>2015</x:v>
      </x:c>
      <x:c r="C149" s="28" t="n">
        <x:v>25</x:v>
      </x:c>
      <x:c r="D149" s="31" t="str">
        <x:v>very worried</x:v>
      </x:c>
      <x:c r="E149" s="31" t="str">
        <x:v>participant worry endorsement</x:v>
      </x:c>
      <x:c r="F149" s="19" t="str">
        <x:v>worry</x:v>
      </x:c>
      <x:c r="G149" s="19" t="str">
        <x:v>C</x:v>
      </x:c>
      <x:c r="H149" s="19" t="str">
        <x:v>V5</x:v>
      </x:c>
      <x:c r="I149" s="19" t="str">
        <x:v>NOT_EXPOSED_IN_REPORT</x:v>
      </x:c>
      <x:c r="J149" s="19" t="str">
        <x:v>S2015-YALE</x:v>
      </x:c>
      <x:c r="K149" s="31" t="str">
        <x:v>RECONSTRUCTED_FROM_REPORT; Fear of Temperature_ Stratified Lexical Expansion, Voice Mapping, and Semantic-Relational Pre-Valida.pdf; p.11; project candidate FT-SEED-R1B-P-2015-25; original visible ID not available</x:v>
      </x:c>
      <x:c r="L149" s="31" t="str">
        <x:v>SUCCEEDED_REUSED_BASELINE</x:v>
      </x:c>
      <x:c r="M149" s="31" t="str">
        <x:v>very worried</x:v>
      </x:c>
      <x:c r="N149" s="31" t="str">
        <x:v>EXACT</x:v>
      </x:c>
      <x:c r="O149" s="19" t="str">
        <x:v>1843</x:v>
      </x:c>
      <x:c r="P149" s="19" t="str">
        <x:v>2020</x:v>
      </x:c>
      <x:c r="Q149" s="34" t="n">
        <x:v>0.000001237675283025097</x:v>
      </x:c>
      <x:c r="R149" s="34" t="n">
        <x:v>4.244305496919898e-7</x:v>
      </x:c>
      <x:c r="S149" s="34" t="n">
        <x:v>4.109526408104432e-7</x:v>
      </x:c>
      <x:c r="T149" s="34" t="n">
        <x:v>3.79268325273463e-7</x:v>
      </x:c>
      <x:c r="U149" s="31" t="str">
        <x:v>Candidate surface form is directly representable in the public Ngram interface. Complete 1842–2022 unsmoothed series reused from the audited quantitative-v0.1 baseline.</x:v>
      </x:c>
      <x:c r="V149" s="31" t="str">
        <x:v>NO_STANDALONE_HEADWORD</x:v>
      </x:c>
      <x:c r="W149" s="19" t="str">
        <x:v>Component lexical analysis plus anchor-source contextual meaning</x:v>
      </x:c>
      <x:c r="X149" s="31" t="str">
        <x:v>Survey or instrument wording used to elicit and classify participant endorsement; the response may be participant evidence, but the lexical wording is supplied.</x:v>
      </x:c>
      <x:c r="Y149" s="31" t="str">
        <x:v>Contemporary worry wording may describe affect, but in the cited survey setting it is instrument-supplied and participant endorsement is elicited rather than spontaneous.</x:v>
      </x:c>
      <x:c r="Z149" s="31" t="str">
        <x:v>STRONG</x:v>
      </x:c>
      <x:c r="AA149" s="19" t="str">
        <x:v>Elicited endorsement, question wording, and spontaneous participant vocabulary are distinct provenance states.</x:v>
      </x:c>
      <x:c r="AB149"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49" s="19" t="str">
        <x:v>INTERNET_ARCHIVE_METADATA_TEXT_ITEM_COUNT</x:v>
      </x:c>
      <x:c r="AD149" s="19" t="str">
        <x:v>"very worried" AND mediatype:texts</x:v>
      </x:c>
      <x:c r="AE149" s="31" t="str">
        <x:v>EXACT_PHRASE</x:v>
      </x:c>
      <x:c r="AF149" s="31" t="str">
        <x:v>COMPLETED_NONZERO</x:v>
      </x:c>
      <x:c r="AG149" s="28" t="n">
        <x:v>131</x:v>
      </x:c>
      <x:c r="AH149" s="19" t="str">
        <x:v>4</x:v>
      </x:c>
      <x:c r="AI149" s="19" t="str">
        <x:v>2026-08-26</x:v>
      </x:c>
      <x:c r="AJ149" s="31" t="str">
        <x:v>Metadata text-item count; not a full-text lexical frequency. Secondary metric: NOT_RUN_OPENALEX_DAILY_BUDGET_EXHAUSTED: shared provider response retained; no count fabricated.</x:v>
      </x:c>
      <x:c r="AK149" s="31" t="str">
        <x:v>FULLY_COVERED</x:v>
      </x:c>
      <x:c r="AL149" s="19" t="str">
        <x:v>PENDING_SOURCE_REVIEW</x:v>
      </x:c>
      <x:c r="AM149" s="20" t="str">
        <x:v>MEDIUM</x:v>
      </x:c>
    </x:row>
    <x:row r="150" ht="34" customHeight="1">
      <x:c r="A150" s="25" t="str">
        <x:v>FT-SEED-R1B-P-2015-26</x:v>
      </x:c>
      <x:c r="B150" s="19" t="str">
        <x:v>2015</x:v>
      </x:c>
      <x:c r="C150" s="28" t="n">
        <x:v>26</x:v>
      </x:c>
      <x:c r="D150" s="31" t="str">
        <x:v>somewhat worried</x:v>
      </x:c>
      <x:c r="E150" s="31" t="str">
        <x:v>participant worry endorsement</x:v>
      </x:c>
      <x:c r="F150" s="19" t="str">
        <x:v>worry</x:v>
      </x:c>
      <x:c r="G150" s="19" t="str">
        <x:v>C</x:v>
      </x:c>
      <x:c r="H150" s="19" t="str">
        <x:v>V5</x:v>
      </x:c>
      <x:c r="I150" s="19" t="str">
        <x:v>NOT_EXPOSED_IN_REPORT</x:v>
      </x:c>
      <x:c r="J150" s="19" t="str">
        <x:v>S2015-YALE</x:v>
      </x:c>
      <x:c r="K150" s="31" t="str">
        <x:v>RECONSTRUCTED_FROM_REPORT; Fear of Temperature_ Stratified Lexical Expansion, Voice Mapping, and Semantic-Relational Pre-Valida.pdf; p.11; project candidate FT-SEED-R1B-P-2015-26; original visible ID not available</x:v>
      </x:c>
      <x:c r="L150" s="31" t="str">
        <x:v>SUCCEEDED_REUSED_BASELINE</x:v>
      </x:c>
      <x:c r="M150" s="31" t="str">
        <x:v>somewhat worried</x:v>
      </x:c>
      <x:c r="N150" s="31" t="str">
        <x:v>EXACT</x:v>
      </x:c>
      <x:c r="O150" s="19" t="str">
        <x:v>1842</x:v>
      </x:c>
      <x:c r="P150" s="19" t="str">
        <x:v>2020</x:v>
      </x:c>
      <x:c r="Q150" s="34" t="n">
        <x:v>1.0021906679189008e-7</x:v>
      </x:c>
      <x:c r="R150" s="34" t="n">
        <x:v>1.5691974161041733e-8</x:v>
      </x:c>
      <x:c r="S150" s="34" t="n">
        <x:v>1.5353693271630275e-8</x:v>
      </x:c>
      <x:c r="T150" s="34" t="n">
        <x:v>1.6988106976700834e-8</x:v>
      </x:c>
      <x:c r="U150" s="31" t="str">
        <x:v>Candidate surface form is directly representable in the public Ngram interface. Complete 1842–2022 unsmoothed series reused from the audited quantitative-v0.1 baseline.</x:v>
      </x:c>
      <x:c r="V150" s="31" t="str">
        <x:v>NO_STANDALONE_HEADWORD</x:v>
      </x:c>
      <x:c r="W150" s="19" t="str">
        <x:v>Component lexical analysis plus anchor-source contextual meaning</x:v>
      </x:c>
      <x:c r="X150" s="31" t="str">
        <x:v>Survey or instrument wording used to elicit and classify participant endorsement; the response may be participant evidence, but the lexical wording is supplied.</x:v>
      </x:c>
      <x:c r="Y150" s="31" t="str">
        <x:v>A participant selection or endorsement of a supplied worry category; the candidate is interpreted in its documented anchor and voice context.</x:v>
      </x:c>
      <x:c r="Z150" s="31" t="str">
        <x:v>STRONG</x:v>
      </x:c>
      <x:c r="AA150" s="19" t="str">
        <x:v>Elicited endorsement, question wording, and spontaneous participant vocabulary are distinct provenance states.</x:v>
      </x:c>
      <x:c r="AB150"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0" s="19" t="str">
        <x:v>INTERNET_ARCHIVE_METADATA_TEXT_ITEM_COUNT</x:v>
      </x:c>
      <x:c r="AD150" s="19" t="str">
        <x:v>"somewhat worried" AND mediatype:texts</x:v>
      </x:c>
      <x:c r="AE150" s="31" t="str">
        <x:v>EXACT_PHRASE</x:v>
      </x:c>
      <x:c r="AF150" s="31" t="str">
        <x:v>COMPLETED_NONZERO</x:v>
      </x:c>
      <x:c r="AG150" s="28" t="n">
        <x:v>15</x:v>
      </x:c>
      <x:c r="AH150" s="19" t="str">
        <x:v>2</x:v>
      </x:c>
      <x:c r="AI150" s="19" t="str">
        <x:v>2026-08-26</x:v>
      </x:c>
      <x:c r="AJ150" s="31" t="str">
        <x:v>Metadata text-item count; not a full-text lexical frequency. Secondary metric: NOT_RUN_OPENALEX_DAILY_BUDGET_EXHAUSTED: shared provider response retained; no count fabricated.</x:v>
      </x:c>
      <x:c r="AK150" s="31" t="str">
        <x:v>FULLY_COVERED</x:v>
      </x:c>
      <x:c r="AL150" s="19" t="str">
        <x:v>PENDING_SOURCE_REVIEW</x:v>
      </x:c>
      <x:c r="AM150" s="20" t="str">
        <x:v>MEDIUM</x:v>
      </x:c>
    </x:row>
    <x:row r="151" ht="34" customHeight="1">
      <x:c r="A151" s="25" t="str">
        <x:v>FT-SEED-R1B-P-2015-27</x:v>
      </x:c>
      <x:c r="B151" s="19" t="str">
        <x:v>2015</x:v>
      </x:c>
      <x:c r="C151" s="28" t="n">
        <x:v>27</x:v>
      </x:c>
      <x:c r="D151" s="31" t="str">
        <x:v>very serious problem</x:v>
      </x:c>
      <x:c r="E151" s="31" t="str">
        <x:v>generic damage</x:v>
      </x:c>
      <x:c r="F151" s="19" t="str">
        <x:v>harm_loss_consequences</x:v>
      </x:c>
      <x:c r="G151" s="19" t="str">
        <x:v>D</x:v>
      </x:c>
      <x:c r="H151" s="19" t="str">
        <x:v>V5</x:v>
      </x:c>
      <x:c r="I151" s="19" t="str">
        <x:v>NOT_EXPOSED_IN_REPORT</x:v>
      </x:c>
      <x:c r="J151" s="19" t="str">
        <x:v>S2015-PEW</x:v>
      </x:c>
      <x:c r="K151" s="31" t="str">
        <x:v>RECONSTRUCTED_FROM_REPORT; Fear of Temperature_ Stratified Lexical Expansion, Voice Mapping, and Semantic-Relational Pre-Valida.pdf; p.11; project candidate FT-SEED-R1B-P-2015-27; original visible ID not available</x:v>
      </x:c>
      <x:c r="L151" s="31" t="str">
        <x:v>SUCCEEDED_NEW</x:v>
      </x:c>
      <x:c r="M151" s="31" t="str">
        <x:v>very serious problem</x:v>
      </x:c>
      <x:c r="N151" s="31" t="str">
        <x:v>EXACT</x:v>
      </x:c>
      <x:c r="O151" s="19" t="str">
        <x:v>1847</x:v>
      </x:c>
      <x:c r="P151" s="19" t="str">
        <x:v>1970</x:v>
      </x:c>
      <x:c r="Q151" s="34" t="n">
        <x:v>2.437142834904593e-7</x:v>
      </x:c>
      <x:c r="R151" s="34" t="n">
        <x:v>5.5235472331410795e-8</x:v>
      </x:c>
      <x:c r="S151" s="34" t="n">
        <x:v>5.2916150271771954e-8</x:v>
      </x:c>
      <x:c r="T151" s="34" t="n">
        <x:v>3.684559933547771e-8</x:v>
      </x:c>
      <x:c r="U151" s="31" t="str">
        <x:v>Candidate surface form is directly representable in the public Ngram interface. New unsmoothed 1842–2022 series retrieved for the candidate audit.</x:v>
      </x:c>
      <x:c r="V151" s="31" t="str">
        <x:v>NO_STANDALONE_HEADWORD</x:v>
      </x:c>
      <x:c r="W151" s="19" t="str">
        <x:v>Component lexical analysis plus anchor-source contextual meaning</x:v>
      </x:c>
      <x:c r="X151" s="31" t="str">
        <x:v>A threat, risk, harm, severity, or consequence sense in the documented source; it is not automatically an emotion.</x:v>
      </x:c>
      <x:c r="Y151" s="31" t="str">
        <x:v>Generic material, ecological, or social damage; the candidate is interpreted in its documented anchor and voice context.</x:v>
      </x:c>
      <x:c r="Z151" s="31" t="str">
        <x:v>STRONG</x:v>
      </x:c>
      <x:c r="AA151" s="19" t="str">
        <x:v>The surface form may realize multiple senses; candidate meaning remains anchored to the report-visible source context.</x:v>
      </x:c>
      <x:c r="AB151" s="31" t="str">
        <x:v>Secondary: Component headword checked: problem.;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https://api.dictionaryapi.dev/api/v2/entries/en/very%20serious%20problem; https://websters1913.timcieplowski.com/word/problem/</x:v>
      </x:c>
      <x:c r="AC151" s="19" t="str">
        <x:v>INTERNET_ARCHIVE_METADATA_TEXT_ITEM_COUNT</x:v>
      </x:c>
      <x:c r="AD151" s="19" t="str">
        <x:v>"very serious problem" AND mediatype:texts</x:v>
      </x:c>
      <x:c r="AE151" s="31" t="str">
        <x:v>EXACT_PHRASE</x:v>
      </x:c>
      <x:c r="AF151" s="31" t="str">
        <x:v>COMPLETED_NONZERO</x:v>
      </x:c>
      <x:c r="AG151" s="28" t="n">
        <x:v>101</x:v>
      </x:c>
      <x:c r="AH151" s="19" t="str">
        <x:v>5</x:v>
      </x:c>
      <x:c r="AI151" s="19" t="str">
        <x:v>2026-08-26</x:v>
      </x:c>
      <x:c r="AJ151" s="31" t="str">
        <x:v>Metadata text-item count; not a full-text lexical frequency. Secondary metric: NOT_RUN_OPENALEX_DAILY_BUDGET_EXHAUSTED: shared provider response retained; no count fabricated.</x:v>
      </x:c>
      <x:c r="AK151" s="31" t="str">
        <x:v>FULLY_COVERED</x:v>
      </x:c>
      <x:c r="AL151" s="19" t="str">
        <x:v>PENDING_SOURCE_REVIEW</x:v>
      </x:c>
      <x:c r="AM151" s="20" t="str">
        <x:v>MEDIUM</x:v>
      </x:c>
    </x:row>
    <x:row r="152" ht="34" customHeight="1">
      <x:c r="A152" s="25" t="str">
        <x:v>FT-SEED-R1B-P-2015-28</x:v>
      </x:c>
      <x:c r="B152" s="19" t="str">
        <x:v>2015</x:v>
      </x:c>
      <x:c r="C152" s="28" t="n">
        <x:v>28</x:v>
      </x:c>
      <x:c r="D152" s="31" t="str">
        <x:v>harm them personally</x:v>
      </x:c>
      <x:c r="E152" s="31" t="str">
        <x:v>generic damage</x:v>
      </x:c>
      <x:c r="F152" s="19" t="str">
        <x:v>harm_loss_consequences</x:v>
      </x:c>
      <x:c r="G152" s="19" t="str">
        <x:v>D</x:v>
      </x:c>
      <x:c r="H152" s="19" t="str">
        <x:v>V5</x:v>
      </x:c>
      <x:c r="I152" s="19" t="str">
        <x:v>NOT_EXPOSED_IN_REPORT</x:v>
      </x:c>
      <x:c r="J152" s="19" t="str">
        <x:v>S2015-PEW</x:v>
      </x:c>
      <x:c r="K152" s="31" t="str">
        <x:v>RECONSTRUCTED_FROM_REPORT; Fear of Temperature_ Stratified Lexical Expansion, Voice Mapping, and Semantic-Relational Pre-Valida.pdf; p.11; project candidate FT-SEED-R1B-P-2015-28; original visible ID not available</x:v>
      </x:c>
      <x:c r="L152" s="31" t="str">
        <x:v>SUCCEEDED_NEW</x:v>
      </x:c>
      <x:c r="M152" s="31" t="str">
        <x:v>harm them personally</x:v>
      </x:c>
      <x:c r="N152" s="31" t="str">
        <x:v>EXACT</x:v>
      </x:c>
      <x:c r="O152" s="19" t="str">
        <x:v>1878</x:v>
      </x:c>
      <x:c r="P152" s="19" t="str">
        <x:v>1988</x:v>
      </x:c>
      <x:c r="Q152" s="34" t="n">
        <x:v>2.4327109215960263e-9</x:v>
      </x:c>
      <x:c r="R152" s="34" t="n">
        <x:v>2.9992111572063607e-10</x:v>
      </x:c>
      <x:c r="S152" s="34" t="n">
        <x:v>1.898051947094951e-10</x:v>
      </x:c>
      <x:c r="T152" s="34" t="n">
        <x:v>7.567774185091025e-10</x:v>
      </x:c>
      <x:c r="U152" s="31" t="str">
        <x:v>Candidate surface form is directly representable in the public Ngram interface. New unsmoothed 1842–2022 series retrieved for the candidate audit.</x:v>
      </x:c>
      <x:c r="V152" s="31" t="str">
        <x:v>NO_STANDALONE_HEADWORD</x:v>
      </x:c>
      <x:c r="W152" s="19" t="str">
        <x:v>Component lexical analysis plus anchor-source contextual meaning</x:v>
      </x:c>
      <x:c r="X152" s="31" t="str">
        <x:v>A threat, risk, harm, severity, or consequence sense in the documented source; it is not automatically an emotion.</x:v>
      </x:c>
      <x:c r="Y152" s="31" t="str">
        <x:v>Generic material, ecological, or social damage; the candidate is interpreted in its documented anchor and voice context.</x:v>
      </x:c>
      <x:c r="Z152" s="31" t="str">
        <x:v>STRONG</x:v>
      </x:c>
      <x:c r="AA152" s="19" t="str">
        <x:v>The surface form may realize multiple senses; candidate meaning remains anchored to the report-visible source context.</x:v>
      </x:c>
      <x:c r="AB152" s="31" t="str">
        <x:v>Secondary: Component headword checked: harm.;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https://api.dictionaryapi.dev/api/v2/entries/en/harm%20them%20personally; https://websters1913.timcieplowski.com/word/harm/</x:v>
      </x:c>
      <x:c r="AC152" s="19" t="str">
        <x:v>INTERNET_ARCHIVE_METADATA_TEXT_ITEM_COUNT</x:v>
      </x:c>
      <x:c r="AD152" s="19" t="str">
        <x:v>"harm them personally" AND mediatype:texts</x:v>
      </x:c>
      <x:c r="AE152" s="31" t="str">
        <x:v>EXACT_PHRASE</x:v>
      </x:c>
      <x:c r="AF152" s="31" t="str">
        <x:v>COMPLETED_ZERO</x:v>
      </x:c>
      <x:c r="AG152" s="28" t="n">
        <x:v>0</x:v>
      </x:c>
      <x:c r="AH152" s="19" t="str">
        <x:v>0</x:v>
      </x:c>
      <x:c r="AI152" s="19" t="str">
        <x:v>2026-08-26</x:v>
      </x:c>
      <x:c r="AJ152" s="31" t="str">
        <x:v>Metadata text-item count; not a full-text lexical frequency. Secondary metric: NOT_RUN_OPENALEX_DAILY_BUDGET_EXHAUSTED: shared provider response retained; no count fabricated.</x:v>
      </x:c>
      <x:c r="AK152" s="31" t="str">
        <x:v>FULLY_COVERED</x:v>
      </x:c>
      <x:c r="AL152" s="19" t="str">
        <x:v>PENDING_SOURCE_REVIEW</x:v>
      </x:c>
      <x:c r="AM152" s="20" t="str">
        <x:v>MEDIUM</x:v>
      </x:c>
    </x:row>
    <x:row r="153" ht="34" customHeight="1">
      <x:c r="A153" s="25" t="str">
        <x:v>FT-SEED-R1B-P-2015-29</x:v>
      </x:c>
      <x:c r="B153" s="19" t="str">
        <x:v>2015</x:v>
      </x:c>
      <x:c r="C153" s="28" t="n">
        <x:v>29</x:v>
      </x:c>
      <x:c r="D153" s="31" t="str">
        <x:v>drought or water shortages</x:v>
      </x:c>
      <x:c r="E153" s="31" t="str">
        <x:v>generic damage</x:v>
      </x:c>
      <x:c r="F153" s="19" t="str">
        <x:v>harm_loss_consequences</x:v>
      </x:c>
      <x:c r="G153" s="19" t="str">
        <x:v>D</x:v>
      </x:c>
      <x:c r="H153" s="19" t="str">
        <x:v>V5</x:v>
      </x:c>
      <x:c r="I153" s="19" t="str">
        <x:v>NOT_EXPOSED_IN_REPORT</x:v>
      </x:c>
      <x:c r="J153" s="19" t="str">
        <x:v>S2015-PEW</x:v>
      </x:c>
      <x:c r="K153" s="31" t="str">
        <x:v>RECONSTRUCTED_FROM_REPORT; Fear of Temperature_ Stratified Lexical Expansion, Voice Mapping, and Semantic-Relational Pre-Valida.pdf; p.11; project candidate FT-SEED-R1B-P-2015-29; original visible ID not available</x:v>
      </x:c>
      <x:c r="L153" s="31" t="str">
        <x:v>SUCCEEDED_NEW</x:v>
      </x:c>
      <x:c r="M153" s="31" t="str">
        <x:v>drought or water shortages</x:v>
      </x:c>
      <x:c r="N153" s="31" t="str">
        <x:v>EXACT</x:v>
      </x:c>
      <x:c r="O153" s="19" t="str">
        <x:v>1940</x:v>
      </x:c>
      <x:c r="P153" s="19" t="str">
        <x:v>1943</x:v>
      </x:c>
      <x:c r="Q153" s="34" t="n">
        <x:v>1.5119944185570944e-9</x:v>
      </x:c>
      <x:c r="R153" s="34" t="n">
        <x:v>1.0753667400997813e-10</x:v>
      </x:c>
      <x:c r="S153" s="34" t="n">
        <x:v>6.857240816837695e-11</x:v>
      </x:c>
      <x:c r="T153" s="34" t="n">
        <x:v>5.08116812514281e-11</x:v>
      </x:c>
      <x:c r="U153" s="31" t="str">
        <x:v>Candidate surface form is directly representable in the public Ngram interface. New unsmoothed 1842–2022 series retrieved for the candidate audit.</x:v>
      </x:c>
      <x:c r="V153" s="31" t="str">
        <x:v>NO_STANDALONE_HEADWORD</x:v>
      </x:c>
      <x:c r="W153" s="19" t="str">
        <x:v>Component lexical analysis plus anchor-source contextual meaning</x:v>
      </x:c>
      <x:c r="X153" s="31" t="str">
        <x:v>A threat, risk, harm, severity, or consequence sense in the documented source; it is not automatically an emotion.</x:v>
      </x:c>
      <x:c r="Y153" s="31" t="str">
        <x:v>Generic material, ecological, or social damage; the candidate is interpreted in its documented anchor and voice context.</x:v>
      </x:c>
      <x:c r="Z153" s="31" t="str">
        <x:v>STRONG</x:v>
      </x:c>
      <x:c r="AA153" s="19" t="str">
        <x:v>The surface form may realize multiple senses; candidate meaning remains anchored to the report-visible source context.</x:v>
      </x:c>
      <x:c r="AB153" s="31" t="str">
        <x:v>Secondary: Component headword checked: shortages.;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https://api.dictionaryapi.dev/api/v2/entries/en/drought%20or%20water%20shortages; https://websters1913.timcieplowski.com/word/shortages/</x:v>
      </x:c>
      <x:c r="AC153" s="19" t="str">
        <x:v>INTERNET_ARCHIVE_METADATA_TEXT_ITEM_COUNT</x:v>
      </x:c>
      <x:c r="AD153" s="19" t="str">
        <x:v>"drought or water shortages" AND mediatype:texts</x:v>
      </x:c>
      <x:c r="AE153" s="31" t="str">
        <x:v>EXACT_PHRASE</x:v>
      </x:c>
      <x:c r="AF153" s="31" t="str">
        <x:v>COMPLETED_NONZERO</x:v>
      </x:c>
      <x:c r="AG153" s="28" t="n">
        <x:v>1</x:v>
      </x:c>
      <x:c r="AH153" s="19" t="str">
        <x:v>1</x:v>
      </x:c>
      <x:c r="AI153" s="19" t="str">
        <x:v>2026-08-26</x:v>
      </x:c>
      <x:c r="AJ153" s="31" t="str">
        <x:v>Metadata text-item count; not a full-text lexical frequency. Secondary metric: NOT_RUN_OPENALEX_DAILY_BUDGET_EXHAUSTED: shared provider response retained; no count fabricated.</x:v>
      </x:c>
      <x:c r="AK153" s="31" t="str">
        <x:v>FULLY_COVERED</x:v>
      </x:c>
      <x:c r="AL153" s="19" t="str">
        <x:v>PENDING_SOURCE_REVIEW</x:v>
      </x:c>
      <x:c r="AM153" s="20" t="str">
        <x:v>MEDIUM</x:v>
      </x:c>
    </x:row>
    <x:row r="154" ht="34" customHeight="1">
      <x:c r="A154" s="25" t="str">
        <x:v>FT-SEED-R1B-P-2015-30</x:v>
      </x:c>
      <x:c r="B154" s="19" t="str">
        <x:v>2015</x:v>
      </x:c>
      <x:c r="C154" s="28" t="n">
        <x:v>30</x:v>
      </x:c>
      <x:c r="D154" s="31" t="str">
        <x:v>We are nature defending itself</x:v>
      </x:c>
      <x:c r="E154" s="31" t="str">
        <x:v>personal concern</x:v>
      </x:c>
      <x:c r="F154" s="19" t="str">
        <x:v>concern_alarm</x:v>
      </x:c>
      <x:c r="G154" s="19" t="str">
        <x:v>C</x:v>
      </x:c>
      <x:c r="H154" s="19" t="str">
        <x:v>V4</x:v>
      </x:c>
      <x:c r="I154" s="19" t="str">
        <x:v>NOT_EXPOSED_IN_REPORT</x:v>
      </x:c>
      <x:c r="J154" s="19" t="str">
        <x:v>S2015-COPPROTEST</x:v>
      </x:c>
      <x:c r="K154" s="31" t="str">
        <x:v>RECONSTRUCTED_FROM_REPORT; Fear of Temperature_ Stratified Lexical Expansion, Voice Mapping, and Semantic-Relational Pre-Valida.pdf; p.11; project candidate FT-SEED-R1B-P-2015-30; original visible ID not available</x:v>
      </x:c>
      <x:c r="L154" s="31" t="str">
        <x:v>ZERO_RESPONSE_NEW</x:v>
      </x:c>
      <x:c r="M154" s="31" t="str">
        <x:v>We are nature defending itself</x:v>
      </x:c>
      <x:c r="N154" s="31" t="str">
        <x:v>EXACT</x:v>
      </x:c>
      <x:c r="O154" s="19" t="str">
        <x:v>NOT_APPLICABLE</x:v>
      </x:c>
      <x:c r="P154" s="19" t="str">
        <x:v>NOT_APPLICABLE</x:v>
      </x:c>
      <x:c r="Q154" s="34" t="str">
        <x:v>NOT_APPLICABLE</x:v>
      </x:c>
      <x:c r="R154" s="34" t="str">
        <x:v>NOT_APPLICABLE</x:v>
      </x:c>
      <x:c r="S154" s="34" t="str">
        <x:v>NOT_APPLICABLE</x:v>
      </x:c>
      <x:c r="T154" s="34" t="str">
        <x:v>NOT_APPLICABLE</x:v>
      </x:c>
      <x:c r="U154" s="31" t="str">
        <x:v>Candidate surface form is directly representable in the public Ngram interface. The public Ngram endpoint returned an empty list; retained without fabricating annual zero frequencies.</x:v>
      </x:c>
      <x:c r="V154" s="31" t="str">
        <x:v>NO_STANDALONE_HEADWORD</x:v>
      </x:c>
      <x:c r="W154" s="19" t="str">
        <x:v>Component lexical analysis plus anchor-source contextual meaning</x:v>
      </x:c>
      <x:c r="X154" s="31" t="str">
        <x:v>The candidate's affective or evaluative sense as used by the documented speaker/instrument/research voice at the anchor.</x:v>
      </x:c>
      <x:c r="Y154" s="31" t="str">
        <x:v>Concern expressed or endorsed by an identifiable person about a climate or heat object; the candidate is interpreted in its documented anchor and voice context.</x:v>
      </x:c>
      <x:c r="Z154" s="31" t="str">
        <x:v>STRONG</x:v>
      </x:c>
      <x:c r="AA154" s="19" t="str">
        <x:v>The surface form may realize multiple senses; candidate meaning remains anchored to the report-visible source context.</x:v>
      </x:c>
      <x:c r="AB154" s="31" t="str">
        <x:v>Secondary: Component headword checked: defending.; historical: Anchor-period research source/context; Webster 1913 stable component URL recorded but automated page retrieval was unavailable; source: Fear of Temperature_ Stratified Lexical Expansion, Voice Mapping, and Semantic-Relational Pre-Valida.pdf#page=11; https://api.dictionaryapi.dev/api/v2/entries/en/We%20are%20nature%20defending%20itself; https://websters1913.timcieplowski.com/word/defending/</x:v>
      </x:c>
      <x:c r="AC154" s="19" t="str">
        <x:v>INTERNET_ARCHIVE_METADATA_TEXT_ITEM_COUNT</x:v>
      </x:c>
      <x:c r="AD154" s="19" t="str">
        <x:v>"We are nature defending itself" AND mediatype:texts</x:v>
      </x:c>
      <x:c r="AE154" s="31" t="str">
        <x:v>EXACT_PHRASE</x:v>
      </x:c>
      <x:c r="AF154" s="31" t="str">
        <x:v>COMPLETED_ZERO</x:v>
      </x:c>
      <x:c r="AG154" s="28" t="n">
        <x:v>0</x:v>
      </x:c>
      <x:c r="AH154" s="19" t="str">
        <x:v>0</x:v>
      </x:c>
      <x:c r="AI154" s="19" t="str">
        <x:v>2026-08-26</x:v>
      </x:c>
      <x:c r="AJ154" s="31" t="str">
        <x:v>Metadata text-item count; not a full-text lexical frequency. Secondary metric: NOT_RUN_OPENALEX_DAILY_BUDGET_EXHAUSTED: shared provider response retained; no count fabricated.</x:v>
      </x:c>
      <x:c r="AK154" s="31" t="str">
        <x:v>FULLY_COVERED</x:v>
      </x:c>
      <x:c r="AL154" s="19" t="str">
        <x:v>PENDING_SOURCE_REVIEW</x:v>
      </x:c>
      <x:c r="AM154" s="20" t="str">
        <x:v>MEDIUM</x:v>
      </x:c>
    </x:row>
    <x:row r="155" ht="34" customHeight="1">
      <x:c r="A155" s="25" t="str">
        <x:v>FT-SEED-R1B-P-2022-01</x:v>
      </x:c>
      <x:c r="B155" s="19" t="str">
        <x:v>2022</x:v>
      </x:c>
      <x:c r="C155" s="28" t="n">
        <x:v>1</x:v>
      </x:c>
      <x:c r="D155" s="31" t="str">
        <x:v>climate change</x:v>
      </x:c>
      <x:c r="E155" s="31" t="str">
        <x:v>modern climate change</x:v>
      </x:c>
      <x:c r="F155" s="19" t="str">
        <x:v>climate</x:v>
      </x:c>
      <x:c r="G155" s="19" t="str">
        <x:v>B</x:v>
      </x:c>
      <x:c r="H155" s="19" t="str">
        <x:v>V5</x:v>
      </x:c>
      <x:c r="I155" s="19" t="str">
        <x:v>NOT_EXPOSED_IN_REPORT</x:v>
      </x:c>
      <x:c r="J155" s="19" t="str">
        <x:v>S2022-YALE-INT</x:v>
      </x:c>
      <x:c r="K155" s="31" t="str">
        <x:v>RECONSTRUCTED_FROM_REPORT; Fear of Temperature_ Stratified Lexical Expansion, Voice Mapping, and Semantic-Relational Pre-Valida.pdf; p.12; project candidate FT-SEED-R1B-P-2022-01; original visible ID not available</x:v>
      </x:c>
      <x:c r="L155" s="31" t="str">
        <x:v>SUCCEEDED_REUSED_BASELINE</x:v>
      </x:c>
      <x:c r="M155" s="31" t="str">
        <x:v>climate change</x:v>
      </x:c>
      <x:c r="N155" s="31" t="str">
        <x:v>EXACT</x:v>
      </x:c>
      <x:c r="O155" s="19" t="str">
        <x:v>1842</x:v>
      </x:c>
      <x:c r="P155" s="19" t="str">
        <x:v>2022</x:v>
      </x:c>
      <x:c r="Q155" s="34" t="n">
        <x:v>0.00002890008815206735</x:v>
      </x:c>
      <x:c r="R155" s="34" t="n">
        <x:v>0.00002890008815206735</x:v>
      </x:c>
      <x:c r="S155" s="34" t="n">
        <x:v>0.00002869409079314829</x:v>
      </x:c>
      <x:c r="T155" s="34" t="n">
        <x:v>0.00002890008815206735</x:v>
      </x:c>
      <x:c r="U155" s="31" t="str">
        <x:v>Candidate surface form is directly representable in the public Ngram interface. Complete 1842–2022 unsmoothed series reused from the audited quantitative-v0.1 baseline.</x:v>
      </x:c>
      <x:c r="V155" s="31" t="str">
        <x:v>TECHNICAL_GLOSSARY</x:v>
      </x:c>
      <x:c r="W155" s="19" t="str">
        <x:v>IPCC climate-science glossary / assessment terminology</x:v>
      </x:c>
      <x:c r="X155" s="31" t="str">
        <x:v>The established modern issue label for sustained climatic change, used in institutional, scientific, or public contexts depending on voice.</x:v>
      </x:c>
      <x:c r="Y155" s="31" t="str">
        <x:v>A persistent change in the state or variability of climate; institutional definitions differ on whether human attribution is required.</x:v>
      </x:c>
      <x:c r="Z155" s="31" t="str">
        <x:v>STRONG</x:v>
      </x:c>
      <x:c r="AA155" s="19" t="str">
        <x:v>The modern issue label must still be distinguished from generic change and historical climatic variability.</x:v>
      </x:c>
      <x:c r="AB155" s="31" t="str">
        <x:v>Secondary: Component headword checked: change.; historical: Anchor-period research source/context; Webster 1913 stable component URL recorded but automated page retrieval was unavailable; source: https://www.ipcc.ch/site/assets/uploads/2018/02/WGIIAR5-AnnexII_FINAL.pdf; https://api.dictionaryapi.dev/api/v2/entries/en/climate%20change; https://websters1913.timcieplowski.com/word/change/</x:v>
      </x:c>
      <x:c r="AC155" s="19" t="str">
        <x:v>INTERNET_ARCHIVE_METADATA_TEXT_ITEM_COUNT</x:v>
      </x:c>
      <x:c r="AD155" s="19" t="str">
        <x:v>"climate change" AND mediatype:texts</x:v>
      </x:c>
      <x:c r="AE155" s="31" t="str">
        <x:v>EXACT_PHRASE</x:v>
      </x:c>
      <x:c r="AF155" s="31" t="str">
        <x:v>COMPLETED_NONZERO</x:v>
      </x:c>
      <x:c r="AG155" s="28" t="n">
        <x:v>30525</x:v>
      </x:c>
      <x:c r="AH155" s="19" t="str">
        <x:v>1334</x:v>
      </x:c>
      <x:c r="AI155" s="19" t="str">
        <x:v>2026-08-26</x:v>
      </x:c>
      <x:c r="AJ155" s="31" t="str">
        <x:v>Metadata text-item count; not a full-text lexical frequency. Secondary metric: Scholarly work discoverability count over OpenAlex search fields; not a corpus word frequency.</x:v>
      </x:c>
      <x:c r="AK155" s="31" t="str">
        <x:v>FULLY_COVERED</x:v>
      </x:c>
      <x:c r="AL155" s="19" t="str">
        <x:v>PENDING_SOURCE_REVIEW</x:v>
      </x:c>
      <x:c r="AM155" s="20" t="str">
        <x:v>MEDIUM</x:v>
      </x:c>
    </x:row>
    <x:row r="156" ht="34" customHeight="1">
      <x:c r="A156" s="25" t="str">
        <x:v>FT-SEED-R1B-P-2022-02</x:v>
      </x:c>
      <x:c r="B156" s="19" t="str">
        <x:v>2022</x:v>
      </x:c>
      <x:c r="C156" s="28" t="n">
        <x:v>2</x:v>
      </x:c>
      <x:c r="D156" s="31" t="str">
        <x:v>global warming</x:v>
      </x:c>
      <x:c r="E156" s="31" t="str">
        <x:v>global warming as issue label</x:v>
      </x:c>
      <x:c r="F156" s="19" t="str">
        <x:v>warming</x:v>
      </x:c>
      <x:c r="G156" s="19" t="str">
        <x:v>A</x:v>
      </x:c>
      <x:c r="H156" s="19" t="str">
        <x:v>V5</x:v>
      </x:c>
      <x:c r="I156" s="19" t="str">
        <x:v>NOT_EXPOSED_IN_REPORT</x:v>
      </x:c>
      <x:c r="J156" s="19" t="str">
        <x:v>S2022-YALE-US</x:v>
      </x:c>
      <x:c r="K156" s="31" t="str">
        <x:v>RECONSTRUCTED_FROM_REPORT; Fear of Temperature_ Stratified Lexical Expansion, Voice Mapping, and Semantic-Relational Pre-Valida.pdf; p.12; project candidate FT-SEED-R1B-P-2022-02; original visible ID not available</x:v>
      </x:c>
      <x:c r="L156" s="31" t="str">
        <x:v>SUCCEEDED_REUSED_BASELINE</x:v>
      </x:c>
      <x:c r="M156" s="31" t="str">
        <x:v>global warming</x:v>
      </x:c>
      <x:c r="N156" s="31" t="str">
        <x:v>EXACT</x:v>
      </x:c>
      <x:c r="O156" s="19" t="str">
        <x:v>1843</x:v>
      </x:c>
      <x:c r="P156" s="19" t="str">
        <x:v>2009</x:v>
      </x:c>
      <x:c r="Q156" s="34" t="n">
        <x:v>0.000005445639571555194</x:v>
      </x:c>
      <x:c r="R156" s="34" t="n">
        <x:v>0.000003963670369644401</x:v>
      </x:c>
      <x:c r="S156" s="34" t="n">
        <x:v>0.0000040554877937144795</x:v>
      </x:c>
      <x:c r="T156" s="34" t="n">
        <x:v>0.000003963670369644401</x:v>
      </x:c>
      <x:c r="U156" s="31" t="str">
        <x:v>Candidate surface form is directly representable in the public Ngram interface. Complete 1842–2022 unsmoothed series reused from the audited quantitative-v0.1 baseline.</x:v>
      </x:c>
      <x:c r="V156" s="31" t="str">
        <x:v>TECHNICAL_GLOSSARY</x:v>
      </x:c>
      <x:c r="W156" s="19" t="str">
        <x:v>IPCC climate-science glossary / assessment terminology</x:v>
      </x:c>
      <x:c r="X156" s="31" t="str">
        <x:v>A physical temperature, warming, heat, or measurement sense in the documented anchor context.</x:v>
      </x:c>
      <x:c r="Y156" s="31" t="str">
        <x:v>The long-term rise in global mean surface temperature, commonly used as an established issue label in modern climate discourse.</x:v>
      </x:c>
      <x:c r="Z156" s="31" t="str">
        <x:v>STRONG</x:v>
      </x:c>
      <x:c r="AA156" s="19" t="str">
        <x:v>The surface form may realize multiple senses; candidate meaning remains anchored to the report-visible source context.</x:v>
      </x:c>
      <x:c r="AB156" s="31" t="str">
        <x:v>Secondary: Component headword checked: warming.; historical: Anchor-period research source/context; Webster 1913 stable component URL recorded but automated page retrieval was unavailable; source: https://www.ipcc.ch/site/assets/uploads/2018/02/WGIIAR5-AnnexII_FINAL.pdf; https://api.dictionaryapi.dev/api/v2/entries/en/global%20warming; https://websters1913.timcieplowski.com/word/warming/</x:v>
      </x:c>
      <x:c r="AC156" s="19" t="str">
        <x:v>INTERNET_ARCHIVE_METADATA_TEXT_ITEM_COUNT</x:v>
      </x:c>
      <x:c r="AD156" s="19" t="str">
        <x:v>"global warming" AND mediatype:texts</x:v>
      </x:c>
      <x:c r="AE156" s="31" t="str">
        <x:v>EXACT_PHRASE</x:v>
      </x:c>
      <x:c r="AF156" s="31" t="str">
        <x:v>COMPLETED_NONZERO</x:v>
      </x:c>
      <x:c r="AG156" s="28" t="n">
        <x:v>5619</x:v>
      </x:c>
      <x:c r="AH156" s="19" t="str">
        <x:v>123</x:v>
      </x:c>
      <x:c r="AI156" s="19" t="str">
        <x:v>2026-08-26</x:v>
      </x:c>
      <x:c r="AJ156" s="31" t="str">
        <x:v>Metadata text-item count; not a full-text lexical frequency. Secondary metric: NOT_RUN_OPENALEX_DAILY_BUDGET_EXHAUSTED: shared provider response retained; no count fabricated.</x:v>
      </x:c>
      <x:c r="AK156" s="31" t="str">
        <x:v>FULLY_COVERED</x:v>
      </x:c>
      <x:c r="AL156" s="19" t="str">
        <x:v>PENDING_SOURCE_REVIEW</x:v>
      </x:c>
      <x:c r="AM156" s="20" t="str">
        <x:v>MEDIUM</x:v>
      </x:c>
    </x:row>
    <x:row r="157" ht="34" customHeight="1">
      <x:c r="A157" s="25" t="str">
        <x:v>FT-SEED-R1B-P-2022-03</x:v>
      </x:c>
      <x:c r="B157" s="19" t="str">
        <x:v>2022</x:v>
      </x:c>
      <x:c r="C157" s="28" t="n">
        <x:v>3</x:v>
      </x:c>
      <x:c r="D157" s="31" t="str">
        <x:v>very worried</x:v>
      </x:c>
      <x:c r="E157" s="31" t="str">
        <x:v>participant worry endorsement</x:v>
      </x:c>
      <x:c r="F157" s="19" t="str">
        <x:v>worry</x:v>
      </x:c>
      <x:c r="G157" s="19" t="str">
        <x:v>C</x:v>
      </x:c>
      <x:c r="H157" s="19" t="str">
        <x:v>V5</x:v>
      </x:c>
      <x:c r="I157" s="19" t="str">
        <x:v>E3</x:v>
      </x:c>
      <x:c r="J157" s="19" t="str">
        <x:v>S2022-YALE-INT</x:v>
      </x:c>
      <x:c r="K157" s="31" t="str">
        <x:v>RECONSTRUCTED_FROM_REPORT; Fear of Temperature_ Stratified Lexical Expansion, Voice Mapping, and Semantic-Relational Pre-Valida.pdf; p.12; project candidate FT-SEED-R1B-P-2022-03; original visible ID not available</x:v>
      </x:c>
      <x:c r="L157" s="31" t="str">
        <x:v>SUCCEEDED_REUSED_BASELINE</x:v>
      </x:c>
      <x:c r="M157" s="31" t="str">
        <x:v>very worried</x:v>
      </x:c>
      <x:c r="N157" s="31" t="str">
        <x:v>EXACT</x:v>
      </x:c>
      <x:c r="O157" s="19" t="str">
        <x:v>1843</x:v>
      </x:c>
      <x:c r="P157" s="19" t="str">
        <x:v>2020</x:v>
      </x:c>
      <x:c r="Q157" s="34" t="n">
        <x:v>0.000001237675283025097</x:v>
      </x:c>
      <x:c r="R157" s="34" t="n">
        <x:v>3.79268325273463e-7</x:v>
      </x:c>
      <x:c r="S157" s="34" t="n">
        <x:v>3.800947214332995e-7</x:v>
      </x:c>
      <x:c r="T157" s="34" t="n">
        <x:v>3.79268325273463e-7</x:v>
      </x:c>
      <x:c r="U157" s="31" t="str">
        <x:v>Candidate surface form is directly representable in the public Ngram interface. Complete 1842–2022 unsmoothed series reused from the audited quantitative-v0.1 baseline.</x:v>
      </x:c>
      <x:c r="V157" s="31" t="str">
        <x:v>NO_STANDALONE_HEADWORD</x:v>
      </x:c>
      <x:c r="W157" s="19" t="str">
        <x:v>Component lexical analysis plus anchor-source contextual meaning</x:v>
      </x:c>
      <x:c r="X157" s="31" t="str">
        <x:v>Survey or instrument wording used to elicit and classify participant endorsement; the response may be participant evidence, but the lexical wording is supplied.</x:v>
      </x:c>
      <x:c r="Y157" s="31" t="str">
        <x:v>Contemporary worry wording may describe affect, but in the cited survey setting it is instrument-supplied and participant endorsement is elicited rather than spontaneous.</x:v>
      </x:c>
      <x:c r="Z157" s="31" t="str">
        <x:v>STRONG</x:v>
      </x:c>
      <x:c r="AA157" s="19" t="str">
        <x:v>Elicited endorsement, question wording, and spontaneous participant vocabulary are distinct provenance states.</x:v>
      </x:c>
      <x:c r="AB157"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https://api.dictionaryapi.dev/api/v2/entries/en/very%20worried; https://websters1913.timcieplowski.com/word/worried/</x:v>
      </x:c>
      <x:c r="AC157" s="19" t="str">
        <x:v>INTERNET_ARCHIVE_METADATA_TEXT_ITEM_COUNT</x:v>
      </x:c>
      <x:c r="AD157" s="19" t="str">
        <x:v>"very worried" AND mediatype:texts</x:v>
      </x:c>
      <x:c r="AE157" s="31" t="str">
        <x:v>EXACT_PHRASE</x:v>
      </x:c>
      <x:c r="AF157" s="31" t="str">
        <x:v>COMPLETED_NONZERO</x:v>
      </x:c>
      <x:c r="AG157" s="28" t="n">
        <x:v>131</x:v>
      </x:c>
      <x:c r="AH157" s="19" t="str">
        <x:v>4</x:v>
      </x:c>
      <x:c r="AI157" s="19" t="str">
        <x:v>2026-08-26</x:v>
      </x:c>
      <x:c r="AJ157" s="31" t="str">
        <x:v>Metadata text-item count; not a full-text lexical frequency. Secondary metric: NOT_RUN_OPENALEX_DAILY_BUDGET_EXHAUSTED: shared provider response retained; no count fabricated.</x:v>
      </x:c>
      <x:c r="AK157" s="31" t="str">
        <x:v>FULLY_COVERED</x:v>
      </x:c>
      <x:c r="AL157" s="19" t="str">
        <x:v>NOT_APPLICABLE</x:v>
      </x:c>
      <x:c r="AM157" s="20" t="str">
        <x:v>MEDIUM</x:v>
      </x:c>
    </x:row>
    <x:row r="158" ht="34" customHeight="1">
      <x:c r="A158" s="25" t="str">
        <x:v>FT-SEED-R1B-P-2022-04</x:v>
      </x:c>
      <x:c r="B158" s="19" t="str">
        <x:v>2022</x:v>
      </x:c>
      <x:c r="C158" s="28" t="n">
        <x:v>4</x:v>
      </x:c>
      <x:c r="D158" s="31" t="str">
        <x:v>somewhat worried</x:v>
      </x:c>
      <x:c r="E158" s="31" t="str">
        <x:v>participant worry endorsement</x:v>
      </x:c>
      <x:c r="F158" s="19" t="str">
        <x:v>worry</x:v>
      </x:c>
      <x:c r="G158" s="19" t="str">
        <x:v>C</x:v>
      </x:c>
      <x:c r="H158" s="19" t="str">
        <x:v>V5</x:v>
      </x:c>
      <x:c r="I158" s="19" t="str">
        <x:v>NOT_EXPOSED_IN_REPORT</x:v>
      </x:c>
      <x:c r="J158" s="19" t="str">
        <x:v>S2022-YALE-INT</x:v>
      </x:c>
      <x:c r="K158" s="31" t="str">
        <x:v>RECONSTRUCTED_FROM_REPORT; Fear of Temperature_ Stratified Lexical Expansion, Voice Mapping, and Semantic-Relational Pre-Valida.pdf; p.12; project candidate FT-SEED-R1B-P-2022-04; original visible ID not available</x:v>
      </x:c>
      <x:c r="L158" s="31" t="str">
        <x:v>SUCCEEDED_REUSED_BASELINE</x:v>
      </x:c>
      <x:c r="M158" s="31" t="str">
        <x:v>somewhat worried</x:v>
      </x:c>
      <x:c r="N158" s="31" t="str">
        <x:v>EXACT</x:v>
      </x:c>
      <x:c r="O158" s="19" t="str">
        <x:v>1842</x:v>
      </x:c>
      <x:c r="P158" s="19" t="str">
        <x:v>2020</x:v>
      </x:c>
      <x:c r="Q158" s="34" t="n">
        <x:v>1.0021906679189008e-7</x:v>
      </x:c>
      <x:c r="R158" s="34" t="n">
        <x:v>1.6988106976700834e-8</x:v>
      </x:c>
      <x:c r="S158" s="34" t="n">
        <x:v>1.6607363815743237e-8</x:v>
      </x:c>
      <x:c r="T158" s="34" t="n">
        <x:v>1.6988106976700834e-8</x:v>
      </x:c>
      <x:c r="U158" s="31" t="str">
        <x:v>Candidate surface form is directly representable in the public Ngram interface. Complete 1842–2022 unsmoothed series reused from the audited quantitative-v0.1 baseline.</x:v>
      </x:c>
      <x:c r="V158" s="31" t="str">
        <x:v>NO_STANDALONE_HEADWORD</x:v>
      </x:c>
      <x:c r="W158" s="19" t="str">
        <x:v>Component lexical analysis plus anchor-source contextual meaning</x:v>
      </x:c>
      <x:c r="X158" s="31" t="str">
        <x:v>Survey or instrument wording used to elicit and classify participant endorsement; the response may be participant evidence, but the lexical wording is supplied.</x:v>
      </x:c>
      <x:c r="Y158" s="31" t="str">
        <x:v>A participant selection or endorsement of a supplied worry category; the candidate is interpreted in its documented anchor and voice context.</x:v>
      </x:c>
      <x:c r="Z158" s="31" t="str">
        <x:v>STRONG</x:v>
      </x:c>
      <x:c r="AA158" s="19" t="str">
        <x:v>Elicited endorsement, question wording, and spontaneous participant vocabulary are distinct provenance states.</x:v>
      </x:c>
      <x:c r="AB158" s="31" t="str">
        <x:v>Secondary: Component headword checked: worried.;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https://api.dictionaryapi.dev/api/v2/entries/en/somewhat%20worried; https://websters1913.timcieplowski.com/word/worried/</x:v>
      </x:c>
      <x:c r="AC158" s="19" t="str">
        <x:v>INTERNET_ARCHIVE_METADATA_TEXT_ITEM_COUNT</x:v>
      </x:c>
      <x:c r="AD158" s="19" t="str">
        <x:v>"somewhat worried" AND mediatype:texts</x:v>
      </x:c>
      <x:c r="AE158" s="31" t="str">
        <x:v>EXACT_PHRASE</x:v>
      </x:c>
      <x:c r="AF158" s="31" t="str">
        <x:v>COMPLETED_NONZERO</x:v>
      </x:c>
      <x:c r="AG158" s="28" t="n">
        <x:v>15</x:v>
      </x:c>
      <x:c r="AH158" s="19" t="str">
        <x:v>2</x:v>
      </x:c>
      <x:c r="AI158" s="19" t="str">
        <x:v>2026-08-26</x:v>
      </x:c>
      <x:c r="AJ158" s="31" t="str">
        <x:v>Metadata text-item count; not a full-text lexical frequency. Secondary metric: NOT_RUN_OPENALEX_DAILY_BUDGET_EXHAUSTED: shared provider response retained; no count fabricated.</x:v>
      </x:c>
      <x:c r="AK158" s="31" t="str">
        <x:v>FULLY_COVERED</x:v>
      </x:c>
      <x:c r="AL158" s="19" t="str">
        <x:v>PENDING_SOURCE_REVIEW</x:v>
      </x:c>
      <x:c r="AM158" s="20" t="str">
        <x:v>MEDIUM</x:v>
      </x:c>
    </x:row>
    <x:row r="159" ht="34" customHeight="1">
      <x:c r="A159" s="25" t="str">
        <x:v>FT-SEED-R1B-P-2022-05</x:v>
      </x:c>
      <x:c r="B159" s="19" t="str">
        <x:v>2022</x:v>
      </x:c>
      <x:c r="C159" s="28" t="n">
        <x:v>5</x:v>
      </x:c>
      <x:c r="D159" s="31" t="str">
        <x:v>afraid</x:v>
      </x:c>
      <x:c r="E159" s="31" t="str">
        <x:v>participant afraid endorsement</x:v>
      </x:c>
      <x:c r="F159" s="19" t="str">
        <x:v>fear_afraid</x:v>
      </x:c>
      <x:c r="G159" s="19" t="str">
        <x:v>C</x:v>
      </x:c>
      <x:c r="H159" s="19" t="str">
        <x:v>V5</x:v>
      </x:c>
      <x:c r="I159" s="19" t="str">
        <x:v>NOT_EXPOSED_IN_REPORT</x:v>
      </x:c>
      <x:c r="J159" s="19" t="str">
        <x:v>S2022-YALE-US</x:v>
      </x:c>
      <x:c r="K159" s="31" t="str">
        <x:v>RECONSTRUCTED_FROM_REPORT; Fear of Temperature_ Stratified Lexical Expansion, Voice Mapping, and Semantic-Relational Pre-Valida.pdf; p.12; project candidate FT-SEED-R1B-P-2022-05; original visible ID not available</x:v>
      </x:c>
      <x:c r="L159" s="31" t="str">
        <x:v>SUCCEEDED_REUSED_BASELINE</x:v>
      </x:c>
      <x:c r="M159" s="31" t="str">
        <x:v>afraid</x:v>
      </x:c>
      <x:c r="N159" s="31" t="str">
        <x:v>EXACT</x:v>
      </x:c>
      <x:c r="O159" s="19" t="str">
        <x:v>1842</x:v>
      </x:c>
      <x:c r="P159" s="19" t="str">
        <x:v>2020</x:v>
      </x:c>
      <x:c r="Q159" s="34" t="n">
        <x:v>0.00007990909915633893</x:v>
      </x:c>
      <x:c r="R159" s="34" t="n">
        <x:v>0.000042338097898834276</x:v>
      </x:c>
      <x:c r="S159" s="34" t="n">
        <x:v>0.00004088140822501238</x:v>
      </x:c>
      <x:c r="T159" s="34" t="n">
        <x:v>0.000042338097898834276</x:v>
      </x:c>
      <x:c r="U159" s="31" t="str">
        <x:v>Candidate surface form is directly representable in the public Ngram interface. Complete 1842–2022 unsmoothed series reused from the audited quantitative-v0.1 baseline.</x:v>
      </x:c>
      <x:c r="V159" s="31" t="str">
        <x:v>DIRECT_HEADWORD</x:v>
      </x:c>
      <x:c r="W159" s="19" t="str">
        <x:v>Webster's Revised Unabridged Dictionary (1913 public-domain headword index)</x:v>
      </x:c>
      <x:c r="X159" s="31" t="str">
        <x:v>The candidate's affective or evaluative sense as used by the documented speaker/instrument/research voice at the anchor.</x:v>
      </x:c>
      <x:c r="Y159" s="31" t="str">
        <x:v>Participant endorsement of a supplied afraid category; the candidate is interpreted in its documented anchor and voice context.</x:v>
      </x:c>
      <x:c r="Z159" s="31" t="str">
        <x:v>STRONG</x:v>
      </x:c>
      <x:c r="AA159" s="19" t="str">
        <x:v>The surface form may realize multiple senses; candidate meaning remains anchored to the report-visible source context.</x:v>
      </x:c>
      <x:c r="AB159" s="31" t="str">
        <x:v>Secondary: Component headword checked: afraid.; historical: Webster's Revised Unabridged Dictionary (1913 public-domain edition); source: https://websters1913.timcieplowski.com/word/afraid/; https://api.dictionaryapi.dev/api/v2/entries/en/afraid</x:v>
      </x:c>
      <x:c r="AC159" s="19" t="str">
        <x:v>INTERNET_ARCHIVE_METADATA_TEXT_ITEM_COUNT</x:v>
      </x:c>
      <x:c r="AD159" s="19" t="str">
        <x:v>"afraid" AND mediatype:texts</x:v>
      </x:c>
      <x:c r="AE159" s="31" t="str">
        <x:v>EXACT_PHRASE</x:v>
      </x:c>
      <x:c r="AF159" s="31" t="str">
        <x:v>COMPLETED_NONZERO</x:v>
      </x:c>
      <x:c r="AG159" s="28" t="n">
        <x:v>9411</x:v>
      </x:c>
      <x:c r="AH159" s="19" t="str">
        <x:v>125</x:v>
      </x:c>
      <x:c r="AI159" s="19" t="str">
        <x:v>2026-08-26</x:v>
      </x:c>
      <x:c r="AJ159" s="31" t="str">
        <x:v>Metadata text-item count; not a full-text lexical frequency. Secondary metric: Scholarly work discoverability count over OpenAlex search fields; not a corpus word frequency.</x:v>
      </x:c>
      <x:c r="AK159" s="31" t="str">
        <x:v>FULLY_COVERED</x:v>
      </x:c>
      <x:c r="AL159" s="19" t="str">
        <x:v>PENDING_SOURCE_REVIEW</x:v>
      </x:c>
      <x:c r="AM159" s="20" t="str">
        <x:v>MEDIUM</x:v>
      </x:c>
    </x:row>
    <x:row r="160" ht="34" customHeight="1">
      <x:c r="A160" s="25" t="str">
        <x:v>FT-SEED-R1B-P-2022-06</x:v>
      </x:c>
      <x:c r="B160" s="19" t="str">
        <x:v>2022</x:v>
      </x:c>
      <x:c r="C160" s="28" t="n">
        <x:v>6</x:v>
      </x:c>
      <x:c r="D160" s="31" t="str">
        <x:v>anxious</x:v>
      </x:c>
      <x:c r="E160" s="31" t="str">
        <x:v>anxious affect</x:v>
      </x:c>
      <x:c r="F160" s="19" t="str">
        <x:v>anxiety</x:v>
      </x:c>
      <x:c r="G160" s="19" t="str">
        <x:v>C</x:v>
      </x:c>
      <x:c r="H160" s="19" t="str">
        <x:v>V5</x:v>
      </x:c>
      <x:c r="I160" s="19" t="str">
        <x:v>NOT_EXPOSED_IN_REPORT</x:v>
      </x:c>
      <x:c r="J160" s="19" t="str">
        <x:v>S2022-YALE-US</x:v>
      </x:c>
      <x:c r="K160" s="31" t="str">
        <x:v>RECONSTRUCTED_FROM_REPORT; Fear of Temperature_ Stratified Lexical Expansion, Voice Mapping, and Semantic-Relational Pre-Valida.pdf; p.12; project candidate FT-SEED-R1B-P-2022-06; original visible ID not available</x:v>
      </x:c>
      <x:c r="L160" s="31" t="str">
        <x:v>SUCCEEDED_REUSED_BASELINE</x:v>
      </x:c>
      <x:c r="M160" s="31" t="str">
        <x:v>anxious</x:v>
      </x:c>
      <x:c r="N160" s="31" t="str">
        <x:v>EXACT</x:v>
      </x:c>
      <x:c r="O160" s="19" t="str">
        <x:v>1842</x:v>
      </x:c>
      <x:c r="P160" s="19" t="str">
        <x:v>1844</x:v>
      </x:c>
      <x:c r="Q160" s="34" t="n">
        <x:v>0.00004193757599324499</x:v>
      </x:c>
      <x:c r="R160" s="34" t="n">
        <x:v>0.000017530547914985928</x:v>
      </x:c>
      <x:c r="S160" s="34" t="n">
        <x:v>0.00001608468696928829</x:v>
      </x:c>
      <x:c r="T160" s="34" t="n">
        <x:v>0.000017530547914985928</x:v>
      </x:c>
      <x:c r="U160" s="31" t="str">
        <x:v>Candidate surface form is directly representable in the public Ngram interface. Complete 1842–2022 unsmoothed series reused from the audited quantitative-v0.1 baseline.</x:v>
      </x:c>
      <x:c r="V160" s="31" t="str">
        <x:v>DIRECT_HEADWORD</x:v>
      </x:c>
      <x:c r="W160" s="19" t="str">
        <x:v>Webster's Revised Unabridged Dictionary (1913 public-domain headword index)</x:v>
      </x:c>
      <x:c r="X160" s="31" t="str">
        <x:v>The candidate's affective or evaluative sense as used by the documented speaker/instrument/research voice at the anchor.</x:v>
      </x:c>
      <x:c r="Y160" s="31" t="str">
        <x:v>Anxious feeling directly expressed or endorsed by a participant; the candidate is interpreted in its documented anchor and voice context.</x:v>
      </x:c>
      <x:c r="Z160" s="31" t="str">
        <x:v>STRONG</x:v>
      </x:c>
      <x:c r="AA160" s="19" t="str">
        <x:v>The surface form may realize multiple senses; candidate meaning remains anchored to the report-visible source context.</x:v>
      </x:c>
      <x:c r="AB160" s="31" t="str">
        <x:v>Secondary: Component headword checked: anxious.; historical: Anchor-period research source/context; Webster 1913 stable component URL recorded but automated page retrieval was unavailable; source: https://websters1913.timcieplowski.com/word/anxious/; https://api.dictionaryapi.dev/api/v2/entries/en/anxious</x:v>
      </x:c>
      <x:c r="AC160" s="19" t="str">
        <x:v>INTERNET_ARCHIVE_METADATA_TEXT_ITEM_COUNT</x:v>
      </x:c>
      <x:c r="AD160" s="19" t="str">
        <x:v>"anxious" AND mediatype:texts</x:v>
      </x:c>
      <x:c r="AE160" s="31" t="str">
        <x:v>EXACT_PHRASE</x:v>
      </x:c>
      <x:c r="AF160" s="31" t="str">
        <x:v>COMPLETED_NONZERO</x:v>
      </x:c>
      <x:c r="AG160" s="28" t="n">
        <x:v>9274</x:v>
      </x:c>
      <x:c r="AH160" s="19" t="str">
        <x:v>124</x:v>
      </x:c>
      <x:c r="AI160" s="19" t="str">
        <x:v>2026-08-26</x:v>
      </x:c>
      <x:c r="AJ160" s="31" t="str">
        <x:v>Metadata text-item count; not a full-text lexical frequency. Secondary metric: Scholarly work discoverability count over OpenAlex search fields; not a corpus word frequency.</x:v>
      </x:c>
      <x:c r="AK160" s="31" t="str">
        <x:v>FULLY_COVERED</x:v>
      </x:c>
      <x:c r="AL160" s="19" t="str">
        <x:v>PENDING_SOURCE_REVIEW</x:v>
      </x:c>
      <x:c r="AM160" s="20" t="str">
        <x:v>MEDIUM</x:v>
      </x:c>
    </x:row>
    <x:row r="161" ht="34" customHeight="1">
      <x:c r="A161" s="25" t="str">
        <x:v>FT-SEED-R1B-P-2022-07</x:v>
      </x:c>
      <x:c r="B161" s="19" t="str">
        <x:v>2022</x:v>
      </x:c>
      <x:c r="C161" s="28" t="n">
        <x:v>7</x:v>
      </x:c>
      <x:c r="D161" s="31" t="str">
        <x:v>hopeless</x:v>
      </x:c>
      <x:c r="E161" s="31" t="str">
        <x:v>depressed affect</x:v>
      </x:c>
      <x:c r="F161" s="19" t="str">
        <x:v>distress_depression</x:v>
      </x:c>
      <x:c r="G161" s="19" t="str">
        <x:v>C</x:v>
      </x:c>
      <x:c r="H161" s="19" t="str">
        <x:v>V5</x:v>
      </x:c>
      <x:c r="I161" s="19" t="str">
        <x:v>NOT_EXPOSED_IN_REPORT</x:v>
      </x:c>
      <x:c r="J161" s="19" t="str">
        <x:v>S2022-YALE-US</x:v>
      </x:c>
      <x:c r="K161" s="31" t="str">
        <x:v>RECONSTRUCTED_FROM_REPORT; Fear of Temperature_ Stratified Lexical Expansion, Voice Mapping, and Semantic-Relational Pre-Valida.pdf; p.12; project candidate FT-SEED-R1B-P-2022-07; original visible ID not available</x:v>
      </x:c>
      <x:c r="L161" s="31" t="str">
        <x:v>SUCCEEDED_REUSED_BASELINE</x:v>
      </x:c>
      <x:c r="M161" s="31" t="str">
        <x:v>hopeless</x:v>
      </x:c>
      <x:c r="N161" s="31" t="str">
        <x:v>EXACT</x:v>
      </x:c>
      <x:c r="O161" s="19" t="str">
        <x:v>1842</x:v>
      </x:c>
      <x:c r="P161" s="19" t="str">
        <x:v>1848</x:v>
      </x:c>
      <x:c r="Q161" s="34" t="n">
        <x:v>0.000008843983238193687</x:v>
      </x:c>
      <x:c r="R161" s="34" t="n">
        <x:v>0.000004716772487256549</x:v>
      </x:c>
      <x:c r="S161" s="34" t="n">
        <x:v>0.0000043393091004872986</x:v>
      </x:c>
      <x:c r="T161" s="34" t="n">
        <x:v>0.000004716772487256549</x:v>
      </x:c>
      <x:c r="U161" s="31" t="str">
        <x:v>Candidate surface form is directly representable in the public Ngram interface. Complete 1842–2022 unsmoothed series reused from the audited quantitative-v0.1 baseline.</x:v>
      </x:c>
      <x:c r="V161" s="31" t="str">
        <x:v>DIRECT_HEADWORD</x:v>
      </x:c>
      <x:c r="W161" s="19" t="str">
        <x:v>Webster's Revised Unabridged Dictionary (1913 public-domain headword index)</x:v>
      </x:c>
      <x:c r="X161" s="31" t="str">
        <x:v>The candidate's affective or evaluative sense as used by the documented speaker/instrument/research voice at the anchor.</x:v>
      </x:c>
      <x:c r="Y161" s="31" t="str">
        <x:v>Depressed affect directly expressed or instrument-endorsed in a climate context; the candidate is interpreted in its documented anchor and voice context.</x:v>
      </x:c>
      <x:c r="Z161" s="31" t="str">
        <x:v>STRONG</x:v>
      </x:c>
      <x:c r="AA161" s="19" t="str">
        <x:v>The surface form may realize multiple senses; candidate meaning remains anchored to the report-visible source context.</x:v>
      </x:c>
      <x:c r="AB161" s="31" t="str">
        <x:v>Secondary: Component headword checked: hopeless.; historical: Anchor-period research source/context; Webster 1913 stable component URL recorded but automated page retrieval was unavailable; source: https://websters1913.timcieplowski.com/word/hopeless/; https://api.dictionaryapi.dev/api/v2/entries/en/hopeless</x:v>
      </x:c>
      <x:c r="AC161" s="19" t="str">
        <x:v>INTERNET_ARCHIVE_METADATA_TEXT_ITEM_COUNT</x:v>
      </x:c>
      <x:c r="AD161" s="19" t="str">
        <x:v>"hopeless" AND mediatype:texts</x:v>
      </x:c>
      <x:c r="AE161" s="31" t="str">
        <x:v>EXACT_PHRASE</x:v>
      </x:c>
      <x:c r="AF161" s="31" t="str">
        <x:v>COMPLETED_NONZERO</x:v>
      </x:c>
      <x:c r="AG161" s="28" t="n">
        <x:v>2257</x:v>
      </x:c>
      <x:c r="AH161" s="19" t="str">
        <x:v>36</x:v>
      </x:c>
      <x:c r="AI161" s="19" t="str">
        <x:v>2026-08-26</x:v>
      </x:c>
      <x:c r="AJ161" s="31" t="str">
        <x:v>Metadata text-item count; not a full-text lexical frequency. Secondary metric: NOT_RUN_OPENALEX_DAILY_BUDGET_EXHAUSTED: shared provider response retained; no count fabricated.</x:v>
      </x:c>
      <x:c r="AK161" s="31" t="str">
        <x:v>FULLY_COVERED</x:v>
      </x:c>
      <x:c r="AL161" s="19" t="str">
        <x:v>PENDING_SOURCE_REVIEW</x:v>
      </x:c>
      <x:c r="AM161" s="20" t="str">
        <x:v>MEDIUM</x:v>
      </x:c>
    </x:row>
    <x:row r="162" ht="34" customHeight="1">
      <x:c r="A162" s="25" t="str">
        <x:v>FT-SEED-R1B-P-2022-08</x:v>
      </x:c>
      <x:c r="B162" s="19" t="str">
        <x:v>2022</x:v>
      </x:c>
      <x:c r="C162" s="28" t="n">
        <x:v>8</x:v>
      </x:c>
      <x:c r="D162" s="31" t="str">
        <x:v>sad</x:v>
      </x:c>
      <x:c r="E162" s="31" t="str">
        <x:v>depressed affect</x:v>
      </x:c>
      <x:c r="F162" s="19" t="str">
        <x:v>distress_depression</x:v>
      </x:c>
      <x:c r="G162" s="19" t="str">
        <x:v>C</x:v>
      </x:c>
      <x:c r="H162" s="19" t="str">
        <x:v>V5</x:v>
      </x:c>
      <x:c r="I162" s="19" t="str">
        <x:v>NOT_EXPOSED_IN_REPORT</x:v>
      </x:c>
      <x:c r="J162" s="19" t="str">
        <x:v>S2022-YALE-US</x:v>
      </x:c>
      <x:c r="K162" s="31" t="str">
        <x:v>RECONSTRUCTED_FROM_REPORT; Fear of Temperature_ Stratified Lexical Expansion, Voice Mapping, and Semantic-Relational Pre-Valida.pdf; p.12; project candidate FT-SEED-R1B-P-2022-08; original visible ID not available</x:v>
      </x:c>
      <x:c r="L162" s="31" t="str">
        <x:v>SUCCEEDED_REUSED_BASELINE</x:v>
      </x:c>
      <x:c r="M162" s="31" t="str">
        <x:v>sad</x:v>
      </x:c>
      <x:c r="N162" s="31" t="str">
        <x:v>EXACT</x:v>
      </x:c>
      <x:c r="O162" s="19" t="str">
        <x:v>1842</x:v>
      </x:c>
      <x:c r="P162" s="19" t="str">
        <x:v>1850</x:v>
      </x:c>
      <x:c r="Q162" s="34" t="n">
        <x:v>0.00003509316660199602</x:v>
      </x:c>
      <x:c r="R162" s="34" t="n">
        <x:v>0.00002540873449891415</x:v>
      </x:c>
      <x:c r="S162" s="34" t="n">
        <x:v>0.000024303538081332787</x:v>
      </x:c>
      <x:c r="T162" s="34" t="n">
        <x:v>0.00002540873449891415</x:v>
      </x:c>
      <x:c r="U162" s="31" t="str">
        <x:v>Candidate surface form is directly representable in the public Ngram interface. Complete 1842–2022 unsmoothed series reused from the audited quantitative-v0.1 baseline.</x:v>
      </x:c>
      <x:c r="V162" s="31" t="str">
        <x:v>DIRECT_HEADWORD</x:v>
      </x:c>
      <x:c r="W162" s="19" t="str">
        <x:v>Webster's Revised Unabridged Dictionary (1913 public-domain headword index)</x:v>
      </x:c>
      <x:c r="X162" s="31" t="str">
        <x:v>The candidate's affective or evaluative sense as used by the documented speaker/instrument/research voice at the anchor.</x:v>
      </x:c>
      <x:c r="Y162" s="31" t="str">
        <x:v>Depressed affect directly expressed or instrument-endorsed in a climate context; the candidate is interpreted in its documented anchor and voice context.</x:v>
      </x:c>
      <x:c r="Z162" s="31" t="str">
        <x:v>STRONG</x:v>
      </x:c>
      <x:c r="AA162" s="19" t="str">
        <x:v>The surface form may realize multiple senses; candidate meaning remains anchored to the report-visible source context.</x:v>
      </x:c>
      <x:c r="AB162" s="31" t="str">
        <x:v>Secondary: Component headword checked: sad.; historical: Anchor-period research source/context; Webster 1913 stable component URL recorded but automated page retrieval was unavailable; source: https://websters1913.timcieplowski.com/word/sad/; https://api.dictionaryapi.dev/api/v2/entries/en/sad</x:v>
      </x:c>
      <x:c r="AC162" s="19" t="str">
        <x:v>INTERNET_ARCHIVE_METADATA_TEXT_ITEM_COUNT</x:v>
      </x:c>
      <x:c r="AD162" s="19" t="str">
        <x:v>"sad" AND mediatype:texts</x:v>
      </x:c>
      <x:c r="AE162" s="31" t="str">
        <x:v>EXACT_PHRASE</x:v>
      </x:c>
      <x:c r="AF162" s="31" t="str">
        <x:v>COMPLETED_NONZERO</x:v>
      </x:c>
      <x:c r="AG162" s="28" t="n">
        <x:v>21781</x:v>
      </x:c>
      <x:c r="AH162" s="19" t="str">
        <x:v>272</x:v>
      </x:c>
      <x:c r="AI162" s="19" t="str">
        <x:v>2026-08-26</x:v>
      </x:c>
      <x:c r="AJ162" s="31" t="str">
        <x:v>Metadata text-item count; not a full-text lexical frequency. Secondary metric: NOT_RUN_OPENALEX_DAILY_BUDGET_EXHAUSTED: shared provider response retained; no count fabricated.</x:v>
      </x:c>
      <x:c r="AK162" s="31" t="str">
        <x:v>FULLY_COVERED</x:v>
      </x:c>
      <x:c r="AL162" s="19" t="str">
        <x:v>PENDING_SOURCE_REVIEW</x:v>
      </x:c>
      <x:c r="AM162" s="20" t="str">
        <x:v>MEDIUM</x:v>
      </x:c>
    </x:row>
    <x:row r="163" ht="34" customHeight="1">
      <x:c r="A163" s="25" t="str">
        <x:v>FT-SEED-R1B-P-2022-09</x:v>
      </x:c>
      <x:c r="B163" s="19" t="str">
        <x:v>2022</x:v>
      </x:c>
      <x:c r="C163" s="28" t="n">
        <x:v>9</x:v>
      </x:c>
      <x:c r="D163" s="31" t="str">
        <x:v>angry</x:v>
      </x:c>
      <x:c r="E163" s="31" t="str">
        <x:v>depressed affect</x:v>
      </x:c>
      <x:c r="F163" s="19" t="str">
        <x:v>distress_depression</x:v>
      </x:c>
      <x:c r="G163" s="19" t="str">
        <x:v>C</x:v>
      </x:c>
      <x:c r="H163" s="19" t="str">
        <x:v>V5</x:v>
      </x:c>
      <x:c r="I163" s="19" t="str">
        <x:v>NOT_EXPOSED_IN_REPORT</x:v>
      </x:c>
      <x:c r="J163" s="19" t="str">
        <x:v>S2022-YALE-US</x:v>
      </x:c>
      <x:c r="K163" s="31" t="str">
        <x:v>RECONSTRUCTED_FROM_REPORT; Fear of Temperature_ Stratified Lexical Expansion, Voice Mapping, and Semantic-Relational Pre-Valida.pdf; p.13; project candidate FT-SEED-R1B-P-2022-09; original visible ID not available</x:v>
      </x:c>
      <x:c r="L163" s="31" t="str">
        <x:v>SUCCEEDED_REUSED_BASELINE</x:v>
      </x:c>
      <x:c r="M163" s="31" t="str">
        <x:v>angry</x:v>
      </x:c>
      <x:c r="N163" s="31" t="str">
        <x:v>EXACT</x:v>
      </x:c>
      <x:c r="O163" s="19" t="str">
        <x:v>1842</x:v>
      </x:c>
      <x:c r="P163" s="19" t="str">
        <x:v>2020</x:v>
      </x:c>
      <x:c r="Q163" s="34" t="n">
        <x:v>0.00005484382637632734</x:v>
      </x:c>
      <x:c r="R163" s="34" t="n">
        <x:v>0.00003134844381236235</x:v>
      </x:c>
      <x:c r="S163" s="34" t="n">
        <x:v>0.000030892590224596006</x:v>
      </x:c>
      <x:c r="T163" s="34" t="n">
        <x:v>0.00003134844381236235</x:v>
      </x:c>
      <x:c r="U163" s="31" t="str">
        <x:v>Candidate surface form is directly representable in the public Ngram interface. Complete 1842–2022 unsmoothed series reused from the audited quantitative-v0.1 baseline.</x:v>
      </x:c>
      <x:c r="V163" s="31" t="str">
        <x:v>DIRECT_HEADWORD</x:v>
      </x:c>
      <x:c r="W163" s="19" t="str">
        <x:v>Webster's Revised Unabridged Dictionary (1913 public-domain headword index)</x:v>
      </x:c>
      <x:c r="X163" s="31" t="str">
        <x:v>The candidate's affective or evaluative sense as used by the documented speaker/instrument/research voice at the anchor.</x:v>
      </x:c>
      <x:c r="Y163" s="31" t="str">
        <x:v>Depressed affect directly expressed or instrument-endorsed in a climate context; the candidate is interpreted in its documented anchor and voice context.</x:v>
      </x:c>
      <x:c r="Z163" s="31" t="str">
        <x:v>STRONG</x:v>
      </x:c>
      <x:c r="AA163" s="19" t="str">
        <x:v>The surface form may realize multiple senses; candidate meaning remains anchored to the report-visible source context.</x:v>
      </x:c>
      <x:c r="AB163" s="31" t="str">
        <x:v>Secondary: Component headword checked: angry.; historical: Anchor-period research source/context; Webster 1913 stable component URL recorded but automated page retrieval was unavailable; source: https://websters1913.timcieplowski.com/word/angry/; https://api.dictionaryapi.dev/api/v2/entries/en/angry</x:v>
      </x:c>
      <x:c r="AC163" s="19" t="str">
        <x:v>INTERNET_ARCHIVE_METADATA_TEXT_ITEM_COUNT</x:v>
      </x:c>
      <x:c r="AD163" s="19" t="str">
        <x:v>"angry" AND mediatype:texts</x:v>
      </x:c>
      <x:c r="AE163" s="31" t="str">
        <x:v>EXACT_PHRASE</x:v>
      </x:c>
      <x:c r="AF163" s="31" t="str">
        <x:v>COMPLETED_NONZERO</x:v>
      </x:c>
      <x:c r="AG163" s="28" t="n">
        <x:v>8245</x:v>
      </x:c>
      <x:c r="AH163" s="19" t="str">
        <x:v>113</x:v>
      </x:c>
      <x:c r="AI163" s="19" t="str">
        <x:v>2026-08-26</x:v>
      </x:c>
      <x:c r="AJ163" s="31" t="str">
        <x:v>Metadata text-item count; not a full-text lexical frequency. Secondary metric: Scholarly work discoverability count over OpenAlex search fields; not a corpus word frequency.</x:v>
      </x:c>
      <x:c r="AK163" s="31" t="str">
        <x:v>FULLY_COVERED</x:v>
      </x:c>
      <x:c r="AL163" s="19" t="str">
        <x:v>PENDING_SOURCE_REVIEW</x:v>
      </x:c>
      <x:c r="AM163" s="20" t="str">
        <x:v>MEDIUM</x:v>
      </x:c>
    </x:row>
    <x:row r="164" ht="34" customHeight="1">
      <x:c r="A164" s="25" t="str">
        <x:v>FT-SEED-R1B-P-2022-10</x:v>
      </x:c>
      <x:c r="B164" s="19" t="str">
        <x:v>2022</x:v>
      </x:c>
      <x:c r="C164" s="28" t="n">
        <x:v>10</x:v>
      </x:c>
      <x:c r="D164" s="31" t="str">
        <x:v>frustrated</x:v>
      </x:c>
      <x:c r="E164" s="31" t="str">
        <x:v>depressed affect</x:v>
      </x:c>
      <x:c r="F164" s="19" t="str">
        <x:v>distress_depression</x:v>
      </x:c>
      <x:c r="G164" s="19" t="str">
        <x:v>C</x:v>
      </x:c>
      <x:c r="H164" s="19" t="str">
        <x:v>V5</x:v>
      </x:c>
      <x:c r="I164" s="19" t="str">
        <x:v>NOT_EXPOSED_IN_REPORT</x:v>
      </x:c>
      <x:c r="J164" s="19" t="str">
        <x:v>S2022-YALE-US</x:v>
      </x:c>
      <x:c r="K164" s="31" t="str">
        <x:v>RECONSTRUCTED_FROM_REPORT; Fear of Temperature_ Stratified Lexical Expansion, Voice Mapping, and Semantic-Relational Pre-Valida.pdf; p.13; project candidate FT-SEED-R1B-P-2022-10; original visible ID not available</x:v>
      </x:c>
      <x:c r="L164" s="31" t="str">
        <x:v>SUCCEEDED_REUSED_BASELINE</x:v>
      </x:c>
      <x:c r="M164" s="31" t="str">
        <x:v>frustrated</x:v>
      </x:c>
      <x:c r="N164" s="31" t="str">
        <x:v>EXACT</x:v>
      </x:c>
      <x:c r="O164" s="19" t="str">
        <x:v>1842</x:v>
      </x:c>
      <x:c r="P164" s="19" t="str">
        <x:v>2015</x:v>
      </x:c>
      <x:c r="Q164" s="34" t="n">
        <x:v>0.000008185089514611832</x:v>
      </x:c>
      <x:c r="R164" s="34" t="n">
        <x:v>0.000007597455986996238</x:v>
      </x:c>
      <x:c r="S164" s="34" t="n">
        <x:v>0.00000782013771072343</x:v>
      </x:c>
      <x:c r="T164" s="34" t="n">
        <x:v>0.000007597455986996238</x:v>
      </x:c>
      <x:c r="U164" s="31" t="str">
        <x:v>Candidate surface form is directly representable in the public Ngram interface. Complete 1842–2022 unsmoothed series reused from the audited quantitative-v0.1 baseline.</x:v>
      </x:c>
      <x:c r="V164" s="31" t="str">
        <x:v>DIRECT_HEADWORD</x:v>
      </x:c>
      <x:c r="W164" s="19" t="str">
        <x:v>Webster's Revised Unabridged Dictionary (1913 public-domain headword index)</x:v>
      </x:c>
      <x:c r="X164" s="31" t="str">
        <x:v>The candidate's affective or evaluative sense as used by the documented speaker/instrument/research voice at the anchor.</x:v>
      </x:c>
      <x:c r="Y164" s="31" t="str">
        <x:v>Depressed affect directly expressed or instrument-endorsed in a climate context; the candidate is interpreted in its documented anchor and voice context.</x:v>
      </x:c>
      <x:c r="Z164" s="31" t="str">
        <x:v>STRONG</x:v>
      </x:c>
      <x:c r="AA164" s="19" t="str">
        <x:v>The surface form may realize multiple senses; candidate meaning remains anchored to the report-visible source context.</x:v>
      </x:c>
      <x:c r="AB164" s="31" t="str">
        <x:v>Secondary: Component headword checked: frustrated.; historical: Anchor-period research source/context; Webster 1913 stable component URL recorded but automated page retrieval was unavailable; source: https://websters1913.timcieplowski.com/word/frustrated/; https://api.dictionaryapi.dev/api/v2/entries/en/frustrated</x:v>
      </x:c>
      <x:c r="AC164" s="19" t="str">
        <x:v>INTERNET_ARCHIVE_METADATA_TEXT_ITEM_COUNT</x:v>
      </x:c>
      <x:c r="AD164" s="19" t="str">
        <x:v>"frustrated" AND mediatype:texts</x:v>
      </x:c>
      <x:c r="AE164" s="31" t="str">
        <x:v>EXACT_PHRASE</x:v>
      </x:c>
      <x:c r="AF164" s="31" t="str">
        <x:v>COMPLETED_NONZERO</x:v>
      </x:c>
      <x:c r="AG164" s="28" t="n">
        <x:v>6866</x:v>
      </x:c>
      <x:c r="AH164" s="19" t="str">
        <x:v>42</x:v>
      </x:c>
      <x:c r="AI164" s="19" t="str">
        <x:v>2026-08-26</x:v>
      </x:c>
      <x:c r="AJ164" s="31" t="str">
        <x:v>Metadata text-item count; not a full-text lexical frequency. Secondary metric: NOT_RUN_OPENALEX_DAILY_BUDGET_EXHAUSTED: shared provider response retained; no count fabricated.</x:v>
      </x:c>
      <x:c r="AK164" s="31" t="str">
        <x:v>FULLY_COVERED</x:v>
      </x:c>
      <x:c r="AL164" s="19" t="str">
        <x:v>PENDING_SOURCE_REVIEW</x:v>
      </x:c>
      <x:c r="AM164" s="20" t="str">
        <x:v>MEDIUM</x:v>
      </x:c>
    </x:row>
    <x:row r="165" ht="34" customHeight="1">
      <x:c r="A165" s="25" t="str">
        <x:v>FT-SEED-R1B-P-2022-11</x:v>
      </x:c>
      <x:c r="B165" s="19" t="str">
        <x:v>2022</x:v>
      </x:c>
      <x:c r="C165" s="28" t="n">
        <x:v>11</x:v>
      </x:c>
      <x:c r="D165" s="31" t="str">
        <x:v>hopeful</x:v>
      </x:c>
      <x:c r="E165" s="31" t="str">
        <x:v>personal concern</x:v>
      </x:c>
      <x:c r="F165" s="19" t="str">
        <x:v>concern_alarm</x:v>
      </x:c>
      <x:c r="G165" s="19" t="str">
        <x:v>C</x:v>
      </x:c>
      <x:c r="H165" s="19" t="str">
        <x:v>V5</x:v>
      </x:c>
      <x:c r="I165" s="19" t="str">
        <x:v>NOT_EXPOSED_IN_REPORT</x:v>
      </x:c>
      <x:c r="J165" s="19" t="str">
        <x:v>S2022-YALE-US</x:v>
      </x:c>
      <x:c r="K165" s="31" t="str">
        <x:v>RECONSTRUCTED_FROM_REPORT; Fear of Temperature_ Stratified Lexical Expansion, Voice Mapping, and Semantic-Relational Pre-Valida.pdf; p.12; project candidate FT-SEED-R1B-P-2022-11; original visible ID not available</x:v>
      </x:c>
      <x:c r="L165" s="31" t="str">
        <x:v>SUCCEEDED_REUSED_BASELINE</x:v>
      </x:c>
      <x:c r="M165" s="31" t="str">
        <x:v>hopeful</x:v>
      </x:c>
      <x:c r="N165" s="31" t="str">
        <x:v>EXACT</x:v>
      </x:c>
      <x:c r="O165" s="19" t="str">
        <x:v>1842</x:v>
      </x:c>
      <x:c r="P165" s="19" t="str">
        <x:v>1862</x:v>
      </x:c>
      <x:c r="Q165" s="34" t="n">
        <x:v>0.000005405065621744143</x:v>
      </x:c>
      <x:c r="R165" s="34" t="n">
        <x:v>0.000004994718922901598</x:v>
      </x:c>
      <x:c r="S165" s="34" t="n">
        <x:v>0.000004901949312241527</x:v>
      </x:c>
      <x:c r="T165" s="34" t="n">
        <x:v>0.000004994718922901598</x:v>
      </x:c>
      <x:c r="U165" s="31" t="str">
        <x:v>Candidate surface form is directly representable in the public Ngram interface. Complete 1842–2022 unsmoothed series reused from the audited quantitative-v0.1 baseline.</x:v>
      </x:c>
      <x:c r="V165" s="31" t="str">
        <x:v>DIRECT_HEADWORD</x:v>
      </x:c>
      <x:c r="W165" s="19" t="str">
        <x:v>Webster's Revised Unabridged Dictionary (1913 public-domain headword index)</x:v>
      </x:c>
      <x:c r="X165" s="31" t="str">
        <x:v>The candidate's affective or evaluative sense as used by the documented speaker/instrument/research voice at the anchor.</x:v>
      </x:c>
      <x:c r="Y165" s="31" t="str">
        <x:v>Concern expressed or endorsed by an identifiable person about a climate or heat object; the candidate is interpreted in its documented anchor and voice context.</x:v>
      </x:c>
      <x:c r="Z165" s="31" t="str">
        <x:v>STRONG</x:v>
      </x:c>
      <x:c r="AA165" s="19" t="str">
        <x:v>The surface form may realize multiple senses; candidate meaning remains anchored to the report-visible source context.</x:v>
      </x:c>
      <x:c r="AB165" s="31" t="str">
        <x:v>Secondary: Component headword checked: hopeful.; historical: Anchor-period research source/context; Webster 1913 stable component URL recorded but automated page retrieval was unavailable; source: https://websters1913.timcieplowski.com/word/hopeful/; https://api.dictionaryapi.dev/api/v2/entries/en/hopeful</x:v>
      </x:c>
      <x:c r="AC165" s="19" t="str">
        <x:v>INTERNET_ARCHIVE_METADATA_TEXT_ITEM_COUNT</x:v>
      </x:c>
      <x:c r="AD165" s="19" t="str">
        <x:v>"hopeful" AND mediatype:texts</x:v>
      </x:c>
      <x:c r="AE165" s="31" t="str">
        <x:v>EXACT_PHRASE</x:v>
      </x:c>
      <x:c r="AF165" s="31" t="str">
        <x:v>COMPLETED_NONZERO</x:v>
      </x:c>
      <x:c r="AG165" s="28" t="n">
        <x:v>4932</x:v>
      </x:c>
      <x:c r="AH165" s="19" t="str">
        <x:v>66</x:v>
      </x:c>
      <x:c r="AI165" s="19" t="str">
        <x:v>2026-08-26</x:v>
      </x:c>
      <x:c r="AJ165" s="31" t="str">
        <x:v>Metadata text-item count; not a full-text lexical frequency. Secondary metric: NOT_RUN_OPENALEX_DAILY_BUDGET_EXHAUSTED: shared provider response retained; no count fabricated.</x:v>
      </x:c>
      <x:c r="AK165" s="31" t="str">
        <x:v>FULLY_COVERED</x:v>
      </x:c>
      <x:c r="AL165" s="19" t="str">
        <x:v>PENDING_SOURCE_REVIEW</x:v>
      </x:c>
      <x:c r="AM165" s="20" t="str">
        <x:v>MEDIUM</x:v>
      </x:c>
    </x:row>
    <x:row r="166" ht="34" customHeight="1">
      <x:c r="A166" s="25" t="str">
        <x:v>FT-SEED-R1B-P-2022-12</x:v>
      </x:c>
      <x:c r="B166" s="19" t="str">
        <x:v>2022</x:v>
      </x:c>
      <x:c r="C166" s="28" t="n">
        <x:v>12</x:v>
      </x:c>
      <x:c r="D166" s="31" t="str">
        <x:v>disgusted</x:v>
      </x:c>
      <x:c r="E166" s="31" t="str">
        <x:v>depressed affect</x:v>
      </x:c>
      <x:c r="F166" s="19" t="str">
        <x:v>distress_depression</x:v>
      </x:c>
      <x:c r="G166" s="19" t="str">
        <x:v>C</x:v>
      </x:c>
      <x:c r="H166" s="19" t="str">
        <x:v>V5</x:v>
      </x:c>
      <x:c r="I166" s="19" t="str">
        <x:v>NOT_EXPOSED_IN_REPORT</x:v>
      </x:c>
      <x:c r="J166" s="19" t="str">
        <x:v>S2022-YALE-US</x:v>
      </x:c>
      <x:c r="K166" s="31" t="str">
        <x:v>RECONSTRUCTED_FROM_REPORT; Fear of Temperature_ Stratified Lexical Expansion, Voice Mapping, and Semantic-Relational Pre-Valida.pdf; p.12; project candidate FT-SEED-R1B-P-2022-12; original visible ID not available</x:v>
      </x:c>
      <x:c r="L166" s="31" t="str">
        <x:v>SUCCEEDED_REUSED_BASELINE</x:v>
      </x:c>
      <x:c r="M166" s="31" t="str">
        <x:v>disgusted</x:v>
      </x:c>
      <x:c r="N166" s="31" t="str">
        <x:v>EXACT</x:v>
      </x:c>
      <x:c r="O166" s="19" t="str">
        <x:v>1842</x:v>
      </x:c>
      <x:c r="P166" s="19" t="str">
        <x:v>2020</x:v>
      </x:c>
      <x:c r="Q166" s="34" t="n">
        <x:v>0.000003836883327501539</x:v>
      </x:c>
      <x:c r="R166" s="34" t="n">
        <x:v>0.000002543607640959067</x:v>
      </x:c>
      <x:c r="S166" s="34" t="n">
        <x:v>0.0000024089870889199005</x:v>
      </x:c>
      <x:c r="T166" s="34" t="n">
        <x:v>0.000002543607640959067</x:v>
      </x:c>
      <x:c r="U166" s="31" t="str">
        <x:v>Candidate surface form is directly representable in the public Ngram interface. Complete 1842–2022 unsmoothed series reused from the audited quantitative-v0.1 baseline.</x:v>
      </x:c>
      <x:c r="V166" s="31" t="str">
        <x:v>DIRECT_HEADWORD</x:v>
      </x:c>
      <x:c r="W166" s="19" t="str">
        <x:v>Webster's Revised Unabridged Dictionary (1913 public-domain headword index)</x:v>
      </x:c>
      <x:c r="X166" s="31" t="str">
        <x:v>The candidate's affective or evaluative sense as used by the documented speaker/instrument/research voice at the anchor.</x:v>
      </x:c>
      <x:c r="Y166" s="31" t="str">
        <x:v>Depressed affect directly expressed or instrument-endorsed in a climate context; the candidate is interpreted in its documented anchor and voice context.</x:v>
      </x:c>
      <x:c r="Z166" s="31" t="str">
        <x:v>STRONG</x:v>
      </x:c>
      <x:c r="AA166" s="19" t="str">
        <x:v>The surface form may realize multiple senses; candidate meaning remains anchored to the report-visible source context.</x:v>
      </x:c>
      <x:c r="AB166" s="31" t="str">
        <x:v>Secondary: Component headword checked: disgusted.; historical: Anchor-period research source/context; Webster 1913 stable component URL recorded but automated page retrieval was unavailable; source: https://websters1913.timcieplowski.com/word/disgusted/; https://api.dictionaryapi.dev/api/v2/entries/en/disgusted</x:v>
      </x:c>
      <x:c r="AC166" s="19" t="str">
        <x:v>INTERNET_ARCHIVE_METADATA_TEXT_ITEM_COUNT</x:v>
      </x:c>
      <x:c r="AD166" s="19" t="str">
        <x:v>"disgusted" AND mediatype:texts</x:v>
      </x:c>
      <x:c r="AE166" s="31" t="str">
        <x:v>EXACT_PHRASE</x:v>
      </x:c>
      <x:c r="AF166" s="31" t="str">
        <x:v>COMPLETED_NONZERO</x:v>
      </x:c>
      <x:c r="AG166" s="28" t="n">
        <x:v>556</x:v>
      </x:c>
      <x:c r="AH166" s="19" t="str">
        <x:v>9</x:v>
      </x:c>
      <x:c r="AI166" s="19" t="str">
        <x:v>2026-08-26</x:v>
      </x:c>
      <x:c r="AJ166" s="31" t="str">
        <x:v>Metadata text-item count; not a full-text lexical frequency. Secondary metric: NOT_RUN_OPENALEX_DAILY_BUDGET_EXHAUSTED: shared provider response retained; no count fabricated.</x:v>
      </x:c>
      <x:c r="AK166" s="31" t="str">
        <x:v>FULLY_COVERED</x:v>
      </x:c>
      <x:c r="AL166" s="19" t="str">
        <x:v>PENDING_SOURCE_REVIEW</x:v>
      </x:c>
      <x:c r="AM166" s="20" t="str">
        <x:v>MEDIUM</x:v>
      </x:c>
    </x:row>
    <x:row r="167" ht="34" customHeight="1">
      <x:c r="A167" s="25" t="str">
        <x:v>FT-SEED-R1B-P-2022-13</x:v>
      </x:c>
      <x:c r="B167" s="19" t="str">
        <x:v>2022</x:v>
      </x:c>
      <x:c r="C167" s="28" t="n">
        <x:v>13</x:v>
      </x:c>
      <x:c r="D167" s="31" t="str">
        <x:v>outraged</x:v>
      </x:c>
      <x:c r="E167" s="31" t="str">
        <x:v>depressed affect</x:v>
      </x:c>
      <x:c r="F167" s="19" t="str">
        <x:v>distress_depression</x:v>
      </x:c>
      <x:c r="G167" s="19" t="str">
        <x:v>C</x:v>
      </x:c>
      <x:c r="H167" s="19" t="str">
        <x:v>V5</x:v>
      </x:c>
      <x:c r="I167" s="19" t="str">
        <x:v>NOT_EXPOSED_IN_REPORT</x:v>
      </x:c>
      <x:c r="J167" s="19" t="str">
        <x:v>S2022-YALE-US</x:v>
      </x:c>
      <x:c r="K167" s="31" t="str">
        <x:v>RECONSTRUCTED_FROM_REPORT; Fear of Temperature_ Stratified Lexical Expansion, Voice Mapping, and Semantic-Relational Pre-Valida.pdf; p.12; project candidate FT-SEED-R1B-P-2022-13; original visible ID not available</x:v>
      </x:c>
      <x:c r="L167" s="31" t="str">
        <x:v>SUCCEEDED_REUSED_BASELINE</x:v>
      </x:c>
      <x:c r="M167" s="31" t="str">
        <x:v>outraged</x:v>
      </x:c>
      <x:c r="N167" s="31" t="str">
        <x:v>EXACT</x:v>
      </x:c>
      <x:c r="O167" s="19" t="str">
        <x:v>1842</x:v>
      </x:c>
      <x:c r="P167" s="19" t="str">
        <x:v>2014</x:v>
      </x:c>
      <x:c r="Q167" s="34" t="n">
        <x:v>0.000002010090121018493</x:v>
      </x:c>
      <x:c r="R167" s="34" t="n">
        <x:v>0.00000170548937417081</x:v>
      </x:c>
      <x:c r="S167" s="34" t="n">
        <x:v>0.0000017016414597392782</x:v>
      </x:c>
      <x:c r="T167" s="34" t="n">
        <x:v>0.00000170548937417081</x:v>
      </x:c>
      <x:c r="U167" s="31" t="str">
        <x:v>Candidate surface form is directly representable in the public Ngram interface. Complete 1842–2022 unsmoothed series reused from the audited quantitative-v0.1 baseline.</x:v>
      </x:c>
      <x:c r="V167" s="31" t="str">
        <x:v>DIRECT_HEADWORD</x:v>
      </x:c>
      <x:c r="W167" s="19" t="str">
        <x:v>Webster's Revised Unabridged Dictionary (1913 public-domain headword index)</x:v>
      </x:c>
      <x:c r="X167" s="31" t="str">
        <x:v>The candidate's affective or evaluative sense as used by the documented speaker/instrument/research voice at the anchor.</x:v>
      </x:c>
      <x:c r="Y167" s="31" t="str">
        <x:v>Depressed affect directly expressed or instrument-endorsed in a climate context; the candidate is interpreted in its documented anchor and voice context.</x:v>
      </x:c>
      <x:c r="Z167" s="31" t="str">
        <x:v>STRONG</x:v>
      </x:c>
      <x:c r="AA167" s="19" t="str">
        <x:v>The surface form may realize multiple senses; candidate meaning remains anchored to the report-visible source context.</x:v>
      </x:c>
      <x:c r="AB167" s="31" t="str">
        <x:v>Secondary: Component headword checked: outraged.; historical: Anchor-period research source/context; Webster 1913 stable component URL recorded but automated page retrieval was unavailable; source: https://websters1913.timcieplowski.com/word/outraged/; https://api.dictionaryapi.dev/api/v2/entries/en/outraged</x:v>
      </x:c>
      <x:c r="AC167" s="19" t="str">
        <x:v>INTERNET_ARCHIVE_METADATA_TEXT_ITEM_COUNT</x:v>
      </x:c>
      <x:c r="AD167" s="19" t="str">
        <x:v>"outraged" AND mediatype:texts</x:v>
      </x:c>
      <x:c r="AE167" s="31" t="str">
        <x:v>EXACT_PHRASE</x:v>
      </x:c>
      <x:c r="AF167" s="31" t="str">
        <x:v>COMPLETED_NONZERO</x:v>
      </x:c>
      <x:c r="AG167" s="28" t="n">
        <x:v>1006</x:v>
      </x:c>
      <x:c r="AH167" s="19" t="str">
        <x:v>7</x:v>
      </x:c>
      <x:c r="AI167" s="19" t="str">
        <x:v>2026-08-26</x:v>
      </x:c>
      <x:c r="AJ167" s="31" t="str">
        <x:v>Metadata text-item count; not a full-text lexical frequency. Secondary metric: NOT_RUN_OPENALEX_DAILY_BUDGET_EXHAUSTED: shared provider response retained; no count fabricated.</x:v>
      </x:c>
      <x:c r="AK167" s="31" t="str">
        <x:v>FULLY_COVERED</x:v>
      </x:c>
      <x:c r="AL167" s="19" t="str">
        <x:v>PENDING_SOURCE_REVIEW</x:v>
      </x:c>
      <x:c r="AM167" s="20" t="str">
        <x:v>MEDIUM</x:v>
      </x:c>
    </x:row>
    <x:row r="168" ht="34" customHeight="1">
      <x:c r="A168" s="25" t="str">
        <x:v>FT-SEED-R1B-P-2022-14</x:v>
      </x:c>
      <x:c r="B168" s="19" t="str">
        <x:v>2022</x:v>
      </x:c>
      <x:c r="C168" s="28" t="n">
        <x:v>14</x:v>
      </x:c>
      <x:c r="D168" s="31" t="str">
        <x:v>depressed</x:v>
      </x:c>
      <x:c r="E168" s="31" t="str">
        <x:v>depressed affect</x:v>
      </x:c>
      <x:c r="F168" s="19" t="str">
        <x:v>distress_depression</x:v>
      </x:c>
      <x:c r="G168" s="19" t="str">
        <x:v>C</x:v>
      </x:c>
      <x:c r="H168" s="19" t="str">
        <x:v>V5</x:v>
      </x:c>
      <x:c r="I168" s="19" t="str">
        <x:v>NOT_EXPOSED_IN_REPORT</x:v>
      </x:c>
      <x:c r="J168" s="19" t="str">
        <x:v>S2022-YALE-US</x:v>
      </x:c>
      <x:c r="K168" s="31" t="str">
        <x:v>RECONSTRUCTED_FROM_REPORT; Fear of Temperature_ Stratified Lexical Expansion, Voice Mapping, and Semantic-Relational Pre-Valida.pdf; p.12; project candidate FT-SEED-R1B-P-2022-14; original visible ID not available</x:v>
      </x:c>
      <x:c r="L168" s="31" t="str">
        <x:v>SUCCEEDED_REUSED_BASELINE</x:v>
      </x:c>
      <x:c r="M168" s="31" t="str">
        <x:v>depressed</x:v>
      </x:c>
      <x:c r="N168" s="31" t="str">
        <x:v>EXACT</x:v>
      </x:c>
      <x:c r="O168" s="19" t="str">
        <x:v>1842</x:v>
      </x:c>
      <x:c r="P168" s="19" t="str">
        <x:v>1843</x:v>
      </x:c>
      <x:c r="Q168" s="34" t="n">
        <x:v>0.000011124992417066437</x:v>
      </x:c>
      <x:c r="R168" s="34" t="n">
        <x:v>0.000006592711166319987</x:v>
      </x:c>
      <x:c r="S168" s="34" t="n">
        <x:v>0.000006748224906871769</x:v>
      </x:c>
      <x:c r="T168" s="34" t="n">
        <x:v>0.000006592711166319987</x:v>
      </x:c>
      <x:c r="U168" s="31" t="str">
        <x:v>Candidate surface form is directly representable in the public Ngram interface. Complete 1842–2022 unsmoothed series reused from the audited quantitative-v0.1 baseline.</x:v>
      </x:c>
      <x:c r="V168" s="31" t="str">
        <x:v>DIRECT_HEADWORD</x:v>
      </x:c>
      <x:c r="W168" s="19" t="str">
        <x:v>Webster's Revised Unabridged Dictionary (1913 public-domain headword index)</x:v>
      </x:c>
      <x:c r="X168" s="31" t="str">
        <x:v>The candidate's affective or evaluative sense as used by the documented speaker/instrument/research voice at the anchor.</x:v>
      </x:c>
      <x:c r="Y168" s="31" t="str">
        <x:v>Depressed affect directly expressed or instrument-endorsed in a climate context; the candidate is interpreted in its documented anchor and voice context.</x:v>
      </x:c>
      <x:c r="Z168" s="31" t="str">
        <x:v>STRONG</x:v>
      </x:c>
      <x:c r="AA168" s="19" t="str">
        <x:v>The surface form may realize multiple senses; candidate meaning remains anchored to the report-visible source context.</x:v>
      </x:c>
      <x:c r="AB168" s="31" t="str">
        <x:v>Secondary: Component headword checked: depressed.; historical: Anchor-period research source/context; Webster 1913 stable component URL recorded but automated page retrieval was unavailable; source: https://websters1913.timcieplowski.com/word/depressed/; https://api.dictionaryapi.dev/api/v2/entries/en/depressed</x:v>
      </x:c>
      <x:c r="AC168" s="19" t="str">
        <x:v>INTERNET_ARCHIVE_METADATA_TEXT_ITEM_COUNT</x:v>
      </x:c>
      <x:c r="AD168" s="19" t="str">
        <x:v>"depressed" AND mediatype:texts</x:v>
      </x:c>
      <x:c r="AE168" s="31" t="str">
        <x:v>EXACT_PHRASE</x:v>
      </x:c>
      <x:c r="AF168" s="31" t="str">
        <x:v>COMPLETED_NONZERO</x:v>
      </x:c>
      <x:c r="AG168" s="28" t="n">
        <x:v>6441</x:v>
      </x:c>
      <x:c r="AH168" s="19" t="str">
        <x:v>85</x:v>
      </x:c>
      <x:c r="AI168" s="19" t="str">
        <x:v>2026-08-26</x:v>
      </x:c>
      <x:c r="AJ168" s="31" t="str">
        <x:v>Metadata text-item count; not a full-text lexical frequency. Secondary metric: NOT_RUN_OPENALEX_DAILY_BUDGET_EXHAUSTED: shared provider response retained; no count fabricated.</x:v>
      </x:c>
      <x:c r="AK168" s="31" t="str">
        <x:v>FULLY_COVERED</x:v>
      </x:c>
      <x:c r="AL168" s="19" t="str">
        <x:v>PENDING_SOURCE_REVIEW</x:v>
      </x:c>
      <x:c r="AM168" s="20" t="str">
        <x:v>MEDIUM</x:v>
      </x:c>
    </x:row>
    <x:row r="169" ht="34" customHeight="1">
      <x:c r="A169" s="25" t="str">
        <x:v>FT-SEED-R1B-P-2022-15</x:v>
      </x:c>
      <x:c r="B169" s="19" t="str">
        <x:v>2022</x:v>
      </x:c>
      <x:c r="C169" s="28" t="n">
        <x:v>15</x:v>
      </x:c>
      <x:c r="D169" s="31" t="str">
        <x:v>symptoms of anxiety</x:v>
      </x:c>
      <x:c r="E169" s="31" t="str">
        <x:v>anxiety symptom measure</x:v>
      </x:c>
      <x:c r="F169" s="19" t="str">
        <x:v>anxiety</x:v>
      </x:c>
      <x:c r="G169" s="19" t="str">
        <x:v>C</x:v>
      </x:c>
      <x:c r="H169" s="19" t="str">
        <x:v>V5</x:v>
      </x:c>
      <x:c r="I169" s="19" t="str">
        <x:v>NOT_EXPOSED_IN_REPORT</x:v>
      </x:c>
      <x:c r="J169" s="19" t="str">
        <x:v>S2022-YALE-US</x:v>
      </x:c>
      <x:c r="K169" s="31" t="str">
        <x:v>RECONSTRUCTED_FROM_REPORT; Fear of Temperature_ Stratified Lexical Expansion, Voice Mapping, and Semantic-Relational Pre-Valida.pdf; p.12; project candidate FT-SEED-R1B-P-2022-15; original visible ID not available</x:v>
      </x:c>
      <x:c r="L169" s="31" t="str">
        <x:v>SUCCEEDED_REUSED_BASELINE</x:v>
      </x:c>
      <x:c r="M169" s="31" t="str">
        <x:v>symptoms of anxiety</x:v>
      </x:c>
      <x:c r="N169" s="31" t="str">
        <x:v>EXACT</x:v>
      </x:c>
      <x:c r="O169" s="19" t="str">
        <x:v>1842</x:v>
      </x:c>
      <x:c r="P169" s="19" t="str">
        <x:v>2022</x:v>
      </x:c>
      <x:c r="Q169" s="34" t="n">
        <x:v>1.9264715700462176e-7</x:v>
      </x:c>
      <x:c r="R169" s="34" t="n">
        <x:v>1.9264715700462176e-7</x:v>
      </x:c>
      <x:c r="S169" s="34" t="n">
        <x:v>1.8940394040656283e-7</x:v>
      </x:c>
      <x:c r="T169" s="34" t="n">
        <x:v>1.9264715700462176e-7</x:v>
      </x:c>
      <x:c r="U169" s="31" t="str">
        <x:v>Candidate surface form is directly representable in the public Ngram interface. Complete 1842–2022 unsmoothed series reused from the audited quantitative-v0.1 baseline.</x:v>
      </x:c>
      <x:c r="V169" s="31" t="str">
        <x:v>NO_STANDALONE_HEADWORD</x:v>
      </x:c>
      <x:c r="W169" s="19" t="str">
        <x:v>Component lexical analysis plus anchor-source contextual meaning</x:v>
      </x:c>
      <x:c r="X169" s="31" t="str">
        <x:v>The candidate's affective or evaluative sense as used by the documented speaker/instrument/research voice at the anchor.</x:v>
      </x:c>
      <x:c r="Y169" s="31" t="str">
        <x:v>Anxiety operationalised as a symptom or health measure; the candidate is interpreted in its documented anchor and voice context.</x:v>
      </x:c>
      <x:c r="Z169" s="31" t="str">
        <x:v>STRONG</x:v>
      </x:c>
      <x:c r="AA169" s="19" t="str">
        <x:v>The surface form may realize multiple senses; candidate meaning remains anchored to the report-visible source context.</x:v>
      </x:c>
      <x:c r="AB169" s="31" t="str">
        <x:v>Secondary: Component headword checked: anxiety.;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https://api.dictionaryapi.dev/api/v2/entries/en/symptoms%20of%20anxiety; https://websters1913.timcieplowski.com/word/anxiety/</x:v>
      </x:c>
      <x:c r="AC169" s="19" t="str">
        <x:v>INTERNET_ARCHIVE_METADATA_TEXT_ITEM_COUNT</x:v>
      </x:c>
      <x:c r="AD169" s="19" t="str">
        <x:v>"symptoms of anxiety" AND mediatype:texts</x:v>
      </x:c>
      <x:c r="AE169" s="31" t="str">
        <x:v>EXACT_PHRASE</x:v>
      </x:c>
      <x:c r="AF169" s="31" t="str">
        <x:v>COMPLETED_NONZERO</x:v>
      </x:c>
      <x:c r="AG169" s="28" t="n">
        <x:v>96</x:v>
      </x:c>
      <x:c r="AH169" s="19" t="str">
        <x:v>5</x:v>
      </x:c>
      <x:c r="AI169" s="19" t="str">
        <x:v>2026-08-26</x:v>
      </x:c>
      <x:c r="AJ169" s="31" t="str">
        <x:v>Metadata text-item count; not a full-text lexical frequency. Secondary metric: NOT_RUN_OPENALEX_DAILY_BUDGET_EXHAUSTED: shared provider response retained; no count fabricated.</x:v>
      </x:c>
      <x:c r="AK169" s="31" t="str">
        <x:v>FULLY_COVERED</x:v>
      </x:c>
      <x:c r="AL169" s="19" t="str">
        <x:v>PENDING_SOURCE_REVIEW</x:v>
      </x:c>
      <x:c r="AM169" s="20" t="str">
        <x:v>MEDIUM</x:v>
      </x:c>
    </x:row>
    <x:row r="170" ht="34" customHeight="1">
      <x:c r="A170" s="25" t="str">
        <x:v>FT-SEED-R1B-P-2022-16</x:v>
      </x:c>
      <x:c r="B170" s="19" t="str">
        <x:v>2022</x:v>
      </x:c>
      <x:c r="C170" s="28" t="n">
        <x:v>16</x:v>
      </x:c>
      <x:c r="D170" s="31" t="str">
        <x:v>climate anxiety</x:v>
      </x:c>
      <x:c r="E170" s="31" t="str">
        <x:v>climate anxiety research construct</x:v>
      </x:c>
      <x:c r="F170" s="19" t="str">
        <x:v>anxiety</x:v>
      </x:c>
      <x:c r="G170" s="19" t="str">
        <x:v>C</x:v>
      </x:c>
      <x:c r="H170" s="19" t="str">
        <x:v>V1</x:v>
      </x:c>
      <x:c r="I170" s="19" t="str">
        <x:v>E4</x:v>
      </x:c>
      <x:c r="J170" s="19" t="str">
        <x:v>S2022-NATURE</x:v>
      </x:c>
      <x:c r="K170" s="31" t="str">
        <x:v>RECONSTRUCTED_FROM_REPORT; Fear of Temperature_ Stratified Lexical Expansion, Voice Mapping, and Semantic-Relational Pre-Valida.pdf; p.12; project candidate FT-SEED-R1B-P-2022-16; original visible ID not available</x:v>
      </x:c>
      <x:c r="L170" s="31" t="str">
        <x:v>SUCCEEDED_REUSED_BASELINE</x:v>
      </x:c>
      <x:c r="M170" s="31" t="str">
        <x:v>climate anxiety</x:v>
      </x:c>
      <x:c r="N170" s="31" t="str">
        <x:v>EXACT</x:v>
      </x:c>
      <x:c r="O170" s="19" t="str">
        <x:v>1972</x:v>
      </x:c>
      <x:c r="P170" s="19" t="str">
        <x:v>2022</x:v>
      </x:c>
      <x:c r="Q170" s="34" t="n">
        <x:v>3.579004737019886e-8</x:v>
      </x:c>
      <x:c r="R170" s="34" t="n">
        <x:v>3.579004737019886e-8</x:v>
      </x:c>
      <x:c r="S170" s="34" t="n">
        <x:v>2.4057332459470615e-8</x:v>
      </x:c>
      <x:c r="T170" s="34" t="n">
        <x:v>3.579004737019886e-8</x:v>
      </x:c>
      <x:c r="U170" s="31" t="str">
        <x:v>Candidate surface form is directly representable in the public Ngram interface. Complete 1842–2022 unsmoothed series reused from the audited quantitative-v0.1 baseline.</x:v>
      </x:c>
      <x:c r="V170" s="31" t="str">
        <x:v>TECHNICAL_GLOSSARY</x:v>
      </x:c>
      <x:c r="W170" s="19" t="str">
        <x:v>American Psychological Association / ecoAmerica mental-health terminology</x:v>
      </x:c>
      <x:c r="X170" s="31" t="str">
        <x:v>A 2022 research construct for anxiety or distress related to climate change; lay self-labelling requires independent source evidence.</x:v>
      </x:c>
      <x:c r="Y170" s="31" t="str">
        <x:v>Current usage can refer to climate-related apprehension or distress, but researcher construct, instrument wording and participant self-description remain distinct evidence states.</x:v>
      </x:c>
      <x:c r="Z170" s="31" t="str">
        <x:v>PARTIAL</x:v>
      </x:c>
      <x:c r="AA170" s="19" t="str">
        <x:v>Researcher-coded construct, instrument wording, symptoms, and participant self-use must remain distinct.</x:v>
      </x:c>
      <x:c r="AB170" s="31" t="str">
        <x:v>Secondary: Component headword checked: anxiety.; historical: Anchor-period research source/context; Webster 1913 stable component URL recorded but automated page retrieval was unavailable; source: https://www.apa.org/news/press/releases/2021/11/mental-health-effects-climate-change; https://api.dictionaryapi.dev/api/v2/entries/en/climate%20anxiety; https://websters1913.timcieplowski.com/word/anxiety/</x:v>
      </x:c>
      <x:c r="AC170" s="19" t="str">
        <x:v>INTERNET_ARCHIVE_METADATA_TEXT_ITEM_COUNT</x:v>
      </x:c>
      <x:c r="AD170" s="19" t="str">
        <x:v>"climate anxiety" AND mediatype:texts</x:v>
      </x:c>
      <x:c r="AE170" s="31" t="str">
        <x:v>EXACT_PHRASE</x:v>
      </x:c>
      <x:c r="AF170" s="31" t="str">
        <x:v>COMPLETED_NONZERO</x:v>
      </x:c>
      <x:c r="AG170" s="28" t="n">
        <x:v>17</x:v>
      </x:c>
      <x:c r="AH170" s="19" t="str">
        <x:v>4</x:v>
      </x:c>
      <x:c r="AI170" s="19" t="str">
        <x:v>2026-08-26</x:v>
      </x:c>
      <x:c r="AJ170" s="31" t="str">
        <x:v>Metadata text-item count; not a full-text lexical frequency. Secondary metric: Scholarly work discoverability count over OpenAlex search fields; not a corpus word frequency.</x:v>
      </x:c>
      <x:c r="AK170" s="31" t="str">
        <x:v>FULLY_COVERED</x:v>
      </x:c>
      <x:c r="AL170" s="19" t="str">
        <x:v>NOT_APPLICABLE</x:v>
      </x:c>
      <x:c r="AM170" s="20" t="str">
        <x:v>MEDIUM</x:v>
      </x:c>
    </x:row>
    <x:row r="171" ht="34" customHeight="1">
      <x:c r="A171" s="25" t="str">
        <x:v>FT-SEED-R1B-P-2022-17</x:v>
      </x:c>
      <x:c r="B171" s="19" t="str">
        <x:v>2022</x:v>
      </x:c>
      <x:c r="C171" s="28" t="n">
        <x:v>17</x:v>
      </x:c>
      <x:c r="D171" s="31" t="str">
        <x:v>eco-anxiety</x:v>
      </x:c>
      <x:c r="E171" s="31" t="str">
        <x:v>eco-anxiety research construct</x:v>
      </x:c>
      <x:c r="F171" s="19" t="str">
        <x:v>anxiety</x:v>
      </x:c>
      <x:c r="G171" s="19" t="str">
        <x:v>C</x:v>
      </x:c>
      <x:c r="H171" s="19" t="str">
        <x:v>V1</x:v>
      </x:c>
      <x:c r="I171" s="19" t="str">
        <x:v>NOT_EXPOSED_IN_REPORT</x:v>
      </x:c>
      <x:c r="J171" s="19" t="str">
        <x:v>S2022-REHLING</x:v>
      </x:c>
      <x:c r="K171" s="31" t="str">
        <x:v>RECONSTRUCTED_FROM_REPORT; Fear of Temperature_ Stratified Lexical Expansion, Voice Mapping, and Semantic-Relational Pre-Valida.pdf; p.12; project candidate FT-SEED-R1B-P-2022-17; original visible ID not available</x:v>
      </x:c>
      <x:c r="L171" s="31" t="str">
        <x:v>SUCCEEDED_REUSED_BASELINE</x:v>
      </x:c>
      <x:c r="M171" s="31" t="str">
        <x:v>eco-anxiety</x:v>
      </x:c>
      <x:c r="N171" s="31" t="str">
        <x:v>EXACT</x:v>
      </x:c>
      <x:c r="O171" s="19" t="str">
        <x:v>1901</x:v>
      </x:c>
      <x:c r="P171" s="19" t="str">
        <x:v>2022</x:v>
      </x:c>
      <x:c r="Q171" s="34" t="n">
        <x:v>5.496096178170262e-8</x:v>
      </x:c>
      <x:c r="R171" s="34" t="n">
        <x:v>5.496096178170262e-8</x:v>
      </x:c>
      <x:c r="S171" s="34" t="n">
        <x:v>4.02901724205762e-8</x:v>
      </x:c>
      <x:c r="T171" s="34" t="n">
        <x:v>5.496096178170262e-8</x:v>
      </x:c>
      <x:c r="U171" s="31" t="str">
        <x:v>Candidate surface form is directly representable in the public Ngram interface. Complete 1842–2022 unsmoothed series reused from the audited quantitative-v0.1 baseline.</x:v>
      </x:c>
      <x:c r="V171" s="31" t="str">
        <x:v>TECHNICAL_GLOSSARY</x:v>
      </x:c>
      <x:c r="W171" s="19" t="str">
        <x:v>American Psychological Association / ecoAmerica mental-health terminology</x:v>
      </x:c>
      <x:c r="X171" s="31" t="str">
        <x:v>The candidate's affective or evaluative sense as used by the documented speaker/instrument/research voice at the anchor.</x:v>
      </x:c>
      <x:c r="Y171" s="31" t="str">
        <x:v>Persistent worry or distress associated with environmental and ecological threats; provenance is required to distinguish clinical/research labelling from self-description.</x:v>
      </x:c>
      <x:c r="Z171" s="31" t="str">
        <x:v>STRONG</x:v>
      </x:c>
      <x:c r="AA171" s="19" t="str">
        <x:v>The surface form may realize multiple senses; candidate meaning remains anchored to the report-visible source context.</x:v>
      </x:c>
      <x:c r="AB171" s="31" t="str">
        <x:v>Secondary: Component headword checked: eco-anxiety.; historical: Anchor-period research source/context; Webster 1913 stable component URL recorded but automated page retrieval was unavailable; source: https://www.apa.org/news/press/releases/2021/11/mental-health-effects-climate-change; https://api.dictionaryapi.dev/api/v2/entries/en/eco-anxiety; https://websters1913.timcieplowski.com/word/eco-anxiety/</x:v>
      </x:c>
      <x:c r="AC171" s="19" t="str">
        <x:v>INTERNET_ARCHIVE_METADATA_TEXT_ITEM_COUNT</x:v>
      </x:c>
      <x:c r="AD171" s="19" t="str">
        <x:v>"eco-anxiety" AND mediatype:texts</x:v>
      </x:c>
      <x:c r="AE171" s="31" t="str">
        <x:v>EXACT_PHRASE</x:v>
      </x:c>
      <x:c r="AF171" s="31" t="str">
        <x:v>COMPLETED_NONZERO</x:v>
      </x:c>
      <x:c r="AG171" s="28" t="n">
        <x:v>23</x:v>
      </x:c>
      <x:c r="AH171" s="19" t="str">
        <x:v>3</x:v>
      </x:c>
      <x:c r="AI171" s="19" t="str">
        <x:v>2026-08-26</x:v>
      </x:c>
      <x:c r="AJ171" s="31" t="str">
        <x:v>Metadata text-item count; not a full-text lexical frequency. Secondary metric: NOT_RUN_OPENALEX_DAILY_BUDGET_EXHAUSTED: shared provider response retained; no count fabricated.</x:v>
      </x:c>
      <x:c r="AK171" s="31" t="str">
        <x:v>FULLY_COVERED</x:v>
      </x:c>
      <x:c r="AL171" s="19" t="str">
        <x:v>PENDING_SOURCE_REVIEW</x:v>
      </x:c>
      <x:c r="AM171" s="20" t="str">
        <x:v>MEDIUM</x:v>
      </x:c>
    </x:row>
    <x:row r="172" ht="34" customHeight="1">
      <x:c r="A172" s="25" t="str">
        <x:v>FT-SEED-R1B-P-2022-18</x:v>
      </x:c>
      <x:c r="B172" s="19" t="str">
        <x:v>2022</x:v>
      </x:c>
      <x:c r="C172" s="28" t="n">
        <x:v>18</x:v>
      </x:c>
      <x:c r="D172" s="31" t="str">
        <x:v>psychological distress</x:v>
      </x:c>
      <x:c r="E172" s="31" t="str">
        <x:v>psychological distress</x:v>
      </x:c>
      <x:c r="F172" s="19" t="str">
        <x:v>distress_depression</x:v>
      </x:c>
      <x:c r="G172" s="19" t="str">
        <x:v>C</x:v>
      </x:c>
      <x:c r="H172" s="19" t="str">
        <x:v>V1</x:v>
      </x:c>
      <x:c r="I172" s="19" t="str">
        <x:v>NOT_EXPOSED_IN_REPORT</x:v>
      </x:c>
      <x:c r="J172" s="19" t="str">
        <x:v>S2022-ANU</x:v>
      </x:c>
      <x:c r="K172" s="31" t="str">
        <x:v>RECONSTRUCTED_FROM_REPORT; Fear of Temperature_ Stratified Lexical Expansion, Voice Mapping, and Semantic-Relational Pre-Valida.pdf; p.12; project candidate FT-SEED-R1B-P-2022-18; original visible ID not available</x:v>
      </x:c>
      <x:c r="L172" s="31" t="str">
        <x:v>SUCCEEDED_REUSED_BASELINE</x:v>
      </x:c>
      <x:c r="M172" s="31" t="str">
        <x:v>psychological distress</x:v>
      </x:c>
      <x:c r="N172" s="31" t="str">
        <x:v>EXACT</x:v>
      </x:c>
      <x:c r="O172" s="19" t="str">
        <x:v>1886</x:v>
      </x:c>
      <x:c r="P172" s="19" t="str">
        <x:v>2022</x:v>
      </x:c>
      <x:c r="Q172" s="34" t="n">
        <x:v>8.442735095481879e-7</x:v>
      </x:c>
      <x:c r="R172" s="34" t="n">
        <x:v>8.442735095481879e-7</x:v>
      </x:c>
      <x:c r="S172" s="34" t="n">
        <x:v>7.65441606265238e-7</x:v>
      </x:c>
      <x:c r="T172" s="34" t="n">
        <x:v>8.442735095481879e-7</x:v>
      </x:c>
      <x:c r="U172" s="31" t="str">
        <x:v>Candidate surface form is directly representable in the public Ngram interface. Complete 1842–2022 unsmoothed series reused from the audited quantitative-v0.1 baseline.</x:v>
      </x:c>
      <x:c r="V172" s="31" t="str">
        <x:v>TECHNICAL_GLOSSARY</x:v>
      </x:c>
      <x:c r="W172" s="19" t="str">
        <x:v>World Health Organization mental-health terminology</x:v>
      </x:c>
      <x:c r="X172" s="31" t="str">
        <x:v>The candidate's affective or evaluative sense as used by the documented speaker/instrument/research voice at the anchor.</x:v>
      </x:c>
      <x:c r="Y172" s="31" t="str">
        <x:v>Modern psychological distress as a research, health, or participant category; the candidate is interpreted in its documented anchor and voice context.</x:v>
      </x:c>
      <x:c r="Z172" s="31" t="str">
        <x:v>STRONG</x:v>
      </x:c>
      <x:c r="AA172" s="19" t="str">
        <x:v>The surface form may realize multiple senses; candidate meaning remains anchored to the report-visible source context.</x:v>
      </x:c>
      <x:c r="AB172" s="31" t="str">
        <x:v>Secondary: Component headword checked: distress.; historical: Anchor-period research source/context; Webster 1913 stable component URL recorded but automated page retrieval was unavailable; source: https://www.who.int/news-room/fact-sheets/detail/climate-change-and-health; https://api.dictionaryapi.dev/api/v2/entries/en/psychological%20distress; https://websters1913.timcieplowski.com/word/distress/</x:v>
      </x:c>
      <x:c r="AC172" s="19" t="str">
        <x:v>INTERNET_ARCHIVE_METADATA_TEXT_ITEM_COUNT</x:v>
      </x:c>
      <x:c r="AD172" s="19" t="str">
        <x:v>"psychological distress" AND mediatype:texts</x:v>
      </x:c>
      <x:c r="AE172" s="31" t="str">
        <x:v>EXACT_PHRASE</x:v>
      </x:c>
      <x:c r="AF172" s="31" t="str">
        <x:v>COMPLETED_NONZERO</x:v>
      </x:c>
      <x:c r="AG172" s="28" t="n">
        <x:v>694</x:v>
      </x:c>
      <x:c r="AH172" s="19" t="str">
        <x:v>44</x:v>
      </x:c>
      <x:c r="AI172" s="19" t="str">
        <x:v>2026-08-26</x:v>
      </x:c>
      <x:c r="AJ172" s="31" t="str">
        <x:v>Metadata text-item count; not a full-text lexical frequency. Secondary metric: NOT_RUN_OPENALEX_DAILY_BUDGET_EXHAUSTED: shared provider response retained; no count fabricated.</x:v>
      </x:c>
      <x:c r="AK172" s="31" t="str">
        <x:v>FULLY_COVERED</x:v>
      </x:c>
      <x:c r="AL172" s="19" t="str">
        <x:v>PENDING_SOURCE_REVIEW</x:v>
      </x:c>
      <x:c r="AM172" s="20" t="str">
        <x:v>MEDIUM</x:v>
      </x:c>
    </x:row>
    <x:row r="173" ht="34" customHeight="1">
      <x:c r="A173" s="25" t="str">
        <x:v>FT-SEED-R1B-P-2022-19</x:v>
      </x:c>
      <x:c r="B173" s="19" t="str">
        <x:v>2022</x:v>
      </x:c>
      <x:c r="C173" s="28" t="n">
        <x:v>19</x:v>
      </x:c>
      <x:c r="D173" s="31" t="str">
        <x:v>distress</x:v>
      </x:c>
      <x:c r="E173" s="31" t="str">
        <x:v>psychological distress</x:v>
      </x:c>
      <x:c r="F173" s="19" t="str">
        <x:v>distress_depression</x:v>
      </x:c>
      <x:c r="G173" s="19" t="str">
        <x:v>C</x:v>
      </x:c>
      <x:c r="H173" s="19" t="str">
        <x:v>V1</x:v>
      </x:c>
      <x:c r="I173" s="19" t="str">
        <x:v>NOT_EXPOSED_IN_REPORT</x:v>
      </x:c>
      <x:c r="J173" s="19" t="str">
        <x:v>S2022-REHLING</x:v>
      </x:c>
      <x:c r="K173" s="31" t="str">
        <x:v>RECONSTRUCTED_FROM_REPORT; Fear of Temperature_ Stratified Lexical Expansion, Voice Mapping, and Semantic-Relational Pre-Valida.pdf; p.13; project candidate FT-SEED-R1B-P-2022-19; original visible ID not available</x:v>
      </x:c>
      <x:c r="L173" s="31" t="str">
        <x:v>SUCCEEDED_REUSED_BASELINE</x:v>
      </x:c>
      <x:c r="M173" s="31" t="str">
        <x:v>distress</x:v>
      </x:c>
      <x:c r="N173" s="31" t="str">
        <x:v>EXACT</x:v>
      </x:c>
      <x:c r="O173" s="19" t="str">
        <x:v>1842</x:v>
      </x:c>
      <x:c r="P173" s="19" t="str">
        <x:v>1842</x:v>
      </x:c>
      <x:c r="Q173" s="34" t="n">
        <x:v>0.000045284177929261205</x:v>
      </x:c>
      <x:c r="R173" s="34" t="n">
        <x:v>0.00001530569114294167</x:v>
      </x:c>
      <x:c r="S173" s="34" t="n">
        <x:v>0.000014732708390141624</x:v>
      </x:c>
      <x:c r="T173" s="34" t="n">
        <x:v>0.00001530569114294167</x:v>
      </x:c>
      <x:c r="U173" s="31" t="str">
        <x:v>Candidate surface form is directly representable in the public Ngram interface. Complete 1842–2022 unsmoothed series reused from the audited quantitative-v0.1 baseline.</x:v>
      </x:c>
      <x:c r="V173" s="31" t="str">
        <x:v>DIRECT_HEADWORD</x:v>
      </x:c>
      <x:c r="W173" s="19" t="str">
        <x:v>Webster's Revised Unabridged Dictionary (1913 public-domain headword index)</x:v>
      </x:c>
      <x:c r="X173" s="31" t="str">
        <x:v>The candidate's affective or evaluative sense as used by the documented speaker/instrument/research voice at the anchor.</x:v>
      </x:c>
      <x:c r="Y173" s="31" t="str">
        <x:v>Modern psychological distress as a research, health, or participant category; the candidate is interpreted in its documented anchor and voice context.</x:v>
      </x:c>
      <x:c r="Z173" s="31" t="str">
        <x:v>STRONG</x:v>
      </x:c>
      <x:c r="AA173" s="19" t="str">
        <x:v>The surface form may realize multiple senses; candidate meaning remains anchored to the report-visible source context.</x:v>
      </x:c>
      <x:c r="AB173" s="31" t="str">
        <x:v>Secondary: Component headword checked: distress.; historical: Anchor-period research source/context; Webster 1913 stable component URL recorded but automated page retrieval was unavailable; source: https://websters1913.timcieplowski.com/word/distress/; https://api.dictionaryapi.dev/api/v2/entries/en/distress</x:v>
      </x:c>
      <x:c r="AC173" s="19" t="str">
        <x:v>INTERNET_ARCHIVE_METADATA_TEXT_ITEM_COUNT</x:v>
      </x:c>
      <x:c r="AD173" s="19" t="str">
        <x:v>"distress" AND mediatype:texts</x:v>
      </x:c>
      <x:c r="AE173" s="31" t="str">
        <x:v>EXACT_PHRASE</x:v>
      </x:c>
      <x:c r="AF173" s="31" t="str">
        <x:v>COMPLETED_NONZERO</x:v>
      </x:c>
      <x:c r="AG173" s="28" t="n">
        <x:v>10884</x:v>
      </x:c>
      <x:c r="AH173" s="19" t="str">
        <x:v>244</x:v>
      </x:c>
      <x:c r="AI173" s="19" t="str">
        <x:v>2026-08-26</x:v>
      </x:c>
      <x:c r="AJ173" s="31" t="str">
        <x:v>Metadata text-item count; not a full-text lexical frequency. Secondary metric: NOT_RUN_OPENALEX_DAILY_BUDGET_EXHAUSTED: shared provider response retained; no count fabricated.</x:v>
      </x:c>
      <x:c r="AK173" s="31" t="str">
        <x:v>FULLY_COVERED</x:v>
      </x:c>
      <x:c r="AL173" s="19" t="str">
        <x:v>PENDING_SOURCE_REVIEW</x:v>
      </x:c>
      <x:c r="AM173" s="20" t="str">
        <x:v>MEDIUM</x:v>
      </x:c>
    </x:row>
    <x:row r="174" ht="34" customHeight="1">
      <x:c r="A174" s="25" t="str">
        <x:v>FT-SEED-R1B-P-2022-20</x:v>
      </x:c>
      <x:c r="B174" s="19" t="str">
        <x:v>2022</x:v>
      </x:c>
      <x:c r="C174" s="28" t="n">
        <x:v>20</x:v>
      </x:c>
      <x:c r="D174" s="31" t="str">
        <x:v>powerlessness</x:v>
      </x:c>
      <x:c r="E174" s="31" t="str">
        <x:v>depressed affect</x:v>
      </x:c>
      <x:c r="F174" s="19" t="str">
        <x:v>distress_depression</x:v>
      </x:c>
      <x:c r="G174" s="19" t="str">
        <x:v>C</x:v>
      </x:c>
      <x:c r="H174" s="19" t="str">
        <x:v>V1</x:v>
      </x:c>
      <x:c r="I174" s="19" t="str">
        <x:v>NOT_EXPOSED_IN_REPORT</x:v>
      </x:c>
      <x:c r="J174" s="19" t="str">
        <x:v>S2022-REHLING</x:v>
      </x:c>
      <x:c r="K174" s="31" t="str">
        <x:v>RECONSTRUCTED_FROM_REPORT; Fear of Temperature_ Stratified Lexical Expansion, Voice Mapping, and Semantic-Relational Pre-Valida.pdf; p.13; project candidate FT-SEED-R1B-P-2022-20; original visible ID not available</x:v>
      </x:c>
      <x:c r="L174" s="31" t="str">
        <x:v>SUCCEEDED_REUSED_BASELINE</x:v>
      </x:c>
      <x:c r="M174" s="31" t="str">
        <x:v>powerlessness</x:v>
      </x:c>
      <x:c r="N174" s="31" t="str">
        <x:v>EXACT</x:v>
      </x:c>
      <x:c r="O174" s="19" t="str">
        <x:v>1842</x:v>
      </x:c>
      <x:c r="P174" s="19" t="str">
        <x:v>2016</x:v>
      </x:c>
      <x:c r="Q174" s="34" t="n">
        <x:v>9.903161126700866e-7</x:v>
      </x:c>
      <x:c r="R174" s="34" t="n">
        <x:v>8.604735197703661e-7</x:v>
      </x:c>
      <x:c r="S174" s="34" t="n">
        <x:v>9.170843425776454e-7</x:v>
      </x:c>
      <x:c r="T174" s="34" t="n">
        <x:v>8.604735197703661e-7</x:v>
      </x:c>
      <x:c r="U174" s="31" t="str">
        <x:v>Candidate surface form is directly representable in the public Ngram interface. Complete 1842–2022 unsmoothed series reused from the audited quantitative-v0.1 baseline.</x:v>
      </x:c>
      <x:c r="V174" s="31" t="str">
        <x:v>DIRECT_HEADWORD</x:v>
      </x:c>
      <x:c r="W174" s="19" t="str">
        <x:v>Webster's Revised Unabridged Dictionary (1913 public-domain headword index)</x:v>
      </x:c>
      <x:c r="X174" s="31" t="str">
        <x:v>The candidate's affective or evaluative sense as used by the documented speaker/instrument/research voice at the anchor.</x:v>
      </x:c>
      <x:c r="Y174" s="31" t="str">
        <x:v>Depressed affect directly expressed or instrument-endorsed in a climate context; the candidate is interpreted in its documented anchor and voice context.</x:v>
      </x:c>
      <x:c r="Z174" s="31" t="str">
        <x:v>STRONG</x:v>
      </x:c>
      <x:c r="AA174" s="19" t="str">
        <x:v>The surface form may realize multiple senses; candidate meaning remains anchored to the report-visible source context.</x:v>
      </x:c>
      <x:c r="AB174" s="31" t="str">
        <x:v>Secondary: Component headword checked: powerlessness.; historical: Anchor-period research source/context; Webster 1913 stable component URL recorded but automated page retrieval was unavailable; source: https://websters1913.timcieplowski.com/word/powerlessness/; https://api.dictionaryapi.dev/api/v2/entries/en/powerlessness</x:v>
      </x:c>
      <x:c r="AC174" s="19" t="str">
        <x:v>INTERNET_ARCHIVE_METADATA_TEXT_ITEM_COUNT</x:v>
      </x:c>
      <x:c r="AD174" s="19" t="str">
        <x:v>"powerlessness" AND mediatype:texts</x:v>
      </x:c>
      <x:c r="AE174" s="31" t="str">
        <x:v>EXACT_PHRASE</x:v>
      </x:c>
      <x:c r="AF174" s="31" t="str">
        <x:v>COMPLETED_NONZERO</x:v>
      </x:c>
      <x:c r="AG174" s="28" t="n">
        <x:v>575</x:v>
      </x:c>
      <x:c r="AH174" s="19" t="str">
        <x:v>12</x:v>
      </x:c>
      <x:c r="AI174" s="19" t="str">
        <x:v>2026-08-26</x:v>
      </x:c>
      <x:c r="AJ174" s="31" t="str">
        <x:v>Metadata text-item count; not a full-text lexical frequency. Secondary metric: NOT_RUN_OPENALEX_DAILY_BUDGET_EXHAUSTED: shared provider response retained; no count fabricated.</x:v>
      </x:c>
      <x:c r="AK174" s="31" t="str">
        <x:v>FULLY_COVERED</x:v>
      </x:c>
      <x:c r="AL174" s="19" t="str">
        <x:v>PENDING_SOURCE_REVIEW</x:v>
      </x:c>
      <x:c r="AM174" s="20" t="str">
        <x:v>MEDIUM</x:v>
      </x:c>
    </x:row>
    <x:row r="175" ht="34" customHeight="1">
      <x:c r="A175" s="25" t="str">
        <x:v>FT-SEED-R1B-P-2022-21</x:v>
      </x:c>
      <x:c r="B175" s="19" t="str">
        <x:v>2022</x:v>
      </x:c>
      <x:c r="C175" s="28" t="n">
        <x:v>21</x:v>
      </x:c>
      <x:c r="D175" s="31" t="str">
        <x:v>guilt</x:v>
      </x:c>
      <x:c r="E175" s="31" t="str">
        <x:v>depressed affect</x:v>
      </x:c>
      <x:c r="F175" s="19" t="str">
        <x:v>distress_depression</x:v>
      </x:c>
      <x:c r="G175" s="19" t="str">
        <x:v>C</x:v>
      </x:c>
      <x:c r="H175" s="19" t="str">
        <x:v>V1</x:v>
      </x:c>
      <x:c r="I175" s="19" t="str">
        <x:v>NOT_EXPOSED_IN_REPORT</x:v>
      </x:c>
      <x:c r="J175" s="19" t="str">
        <x:v>S2022-REHLING</x:v>
      </x:c>
      <x:c r="K175" s="31" t="str">
        <x:v>RECONSTRUCTED_FROM_REPORT; Fear of Temperature_ Stratified Lexical Expansion, Voice Mapping, and Semantic-Relational Pre-Valida.pdf; p.12; project candidate FT-SEED-R1B-P-2022-21; original visible ID not available</x:v>
      </x:c>
      <x:c r="L175" s="31" t="str">
        <x:v>SUCCEEDED_REUSED_BASELINE</x:v>
      </x:c>
      <x:c r="M175" s="31" t="str">
        <x:v>guilt</x:v>
      </x:c>
      <x:c r="N175" s="31" t="str">
        <x:v>EXACT</x:v>
      </x:c>
      <x:c r="O175" s="19" t="str">
        <x:v>1842</x:v>
      </x:c>
      <x:c r="P175" s="19" t="str">
        <x:v>1844</x:v>
      </x:c>
      <x:c r="Q175" s="34" t="n">
        <x:v>0.000020787264730870447</x:v>
      </x:c>
      <x:c r="R175" s="34" t="n">
        <x:v>0.00001681260062724732</x:v>
      </x:c>
      <x:c r="S175" s="34" t="n">
        <x:v>0.000017060073389529862</x:v>
      </x:c>
      <x:c r="T175" s="34" t="n">
        <x:v>0.00001681260062724732</x:v>
      </x:c>
      <x:c r="U175" s="31" t="str">
        <x:v>Candidate surface form is directly representable in the public Ngram interface. Complete 1842–2022 unsmoothed series reused from the audited quantitative-v0.1 baseline.</x:v>
      </x:c>
      <x:c r="V175" s="31" t="str">
        <x:v>DIRECT_HEADWORD</x:v>
      </x:c>
      <x:c r="W175" s="19" t="str">
        <x:v>Webster's Revised Unabridged Dictionary (1913 public-domain headword index)</x:v>
      </x:c>
      <x:c r="X175" s="31" t="str">
        <x:v>The candidate's affective or evaluative sense as used by the documented speaker/instrument/research voice at the anchor.</x:v>
      </x:c>
      <x:c r="Y175" s="31" t="str">
        <x:v>Depressed affect directly expressed or instrument-endorsed in a climate context; the candidate is interpreted in its documented anchor and voice context.</x:v>
      </x:c>
      <x:c r="Z175" s="31" t="str">
        <x:v>STRONG</x:v>
      </x:c>
      <x:c r="AA175" s="19" t="str">
        <x:v>The surface form may realize multiple senses; candidate meaning remains anchored to the report-visible source context.</x:v>
      </x:c>
      <x:c r="AB175" s="31" t="str">
        <x:v>Secondary: Component headword checked: guilt.; historical: Anchor-period research source/context; Webster 1913 stable component URL recorded but automated page retrieval was unavailable; source: https://websters1913.timcieplowski.com/word/guilt/; https://api.dictionaryapi.dev/api/v2/entries/en/guilt</x:v>
      </x:c>
      <x:c r="AC175" s="19" t="str">
        <x:v>INTERNET_ARCHIVE_METADATA_TEXT_ITEM_COUNT</x:v>
      </x:c>
      <x:c r="AD175" s="19" t="str">
        <x:v>"guilt" AND mediatype:texts</x:v>
      </x:c>
      <x:c r="AE175" s="31" t="str">
        <x:v>EXACT_PHRASE</x:v>
      </x:c>
      <x:c r="AF175" s="31" t="str">
        <x:v>COMPLETED_NONZERO</x:v>
      </x:c>
      <x:c r="AG175" s="28" t="n">
        <x:v>8299</x:v>
      </x:c>
      <x:c r="AH175" s="19" t="str">
        <x:v>86</x:v>
      </x:c>
      <x:c r="AI175" s="19" t="str">
        <x:v>2026-08-26</x:v>
      </x:c>
      <x:c r="AJ175" s="31" t="str">
        <x:v>Metadata text-item count; not a full-text lexical frequency. Secondary metric: NOT_RUN_OPENALEX_DAILY_BUDGET_EXHAUSTED: shared provider response retained; no count fabricated.</x:v>
      </x:c>
      <x:c r="AK175" s="31" t="str">
        <x:v>FULLY_COVERED</x:v>
      </x:c>
      <x:c r="AL175" s="19" t="str">
        <x:v>PENDING_SOURCE_REVIEW</x:v>
      </x:c>
      <x:c r="AM175" s="20" t="str">
        <x:v>MEDIUM</x:v>
      </x:c>
    </x:row>
    <x:row r="176" ht="34" customHeight="1">
      <x:c r="A176" s="25" t="str">
        <x:v>FT-SEED-R1B-P-2022-22</x:v>
      </x:c>
      <x:c r="B176" s="19" t="str">
        <x:v>2022</x:v>
      </x:c>
      <x:c r="C176" s="28" t="n">
        <x:v>22</x:v>
      </x:c>
      <x:c r="D176" s="31" t="str">
        <x:v>heatwaves</x:v>
      </x:c>
      <x:c r="E176" s="31" t="str">
        <x:v>heatwave / weather event</x:v>
      </x:c>
      <x:c r="F176" s="19" t="str">
        <x:v>heat</x:v>
      </x:c>
      <x:c r="G176" s="19" t="str">
        <x:v>A</x:v>
      </x:c>
      <x:c r="H176" s="19" t="str">
        <x:v>V1</x:v>
      </x:c>
      <x:c r="I176" s="19" t="str">
        <x:v>NOT_EXPOSED_IN_REPORT</x:v>
      </x:c>
      <x:c r="J176" s="19" t="str">
        <x:v>S2022-IPCC</x:v>
      </x:c>
      <x:c r="K176" s="31" t="str">
        <x:v>RECONSTRUCTED_FROM_REPORT; Fear of Temperature_ Stratified Lexical Expansion, Voice Mapping, and Semantic-Relational Pre-Valida.pdf; p.12; project candidate FT-SEED-R1B-P-2022-22; original visible ID not available</x:v>
      </x:c>
      <x:c r="L176" s="31" t="str">
        <x:v>SUCCEEDED_NEW</x:v>
      </x:c>
      <x:c r="M176" s="31" t="str">
        <x:v>heatwaves</x:v>
      </x:c>
      <x:c r="N176" s="31" t="str">
        <x:v>EXACT</x:v>
      </x:c>
      <x:c r="O176" s="19" t="str">
        <x:v>1843</x:v>
      </x:c>
      <x:c r="P176" s="19" t="str">
        <x:v>2022</x:v>
      </x:c>
      <x:c r="Q176" s="34" t="n">
        <x:v>2.3539609864120514e-7</x:v>
      </x:c>
      <x:c r="R176" s="34" t="n">
        <x:v>2.3539609864120514e-7</x:v>
      </x:c>
      <x:c r="S176" s="34" t="n">
        <x:v>1.9697515064864834e-7</x:v>
      </x:c>
      <x:c r="T176" s="34" t="n">
        <x:v>2.3539609864120514e-7</x:v>
      </x:c>
      <x:c r="U176" s="31" t="str">
        <x:v>Candidate surface form is directly representable in the public Ngram interface. New unsmoothed 1842–2022 series retrieved for the candidate audit.</x:v>
      </x:c>
      <x:c r="V176" s="31" t="str">
        <x:v>DIRECT_HEADWORD</x:v>
      </x:c>
      <x:c r="W176" s="19" t="str">
        <x:v>Webster's Revised Unabridged Dictionary (1913 public-domain headword index)</x:v>
      </x:c>
      <x:c r="X176" s="31" t="str">
        <x:v>A physical temperature, warming, heat, or measurement sense in the documented anchor context.</x:v>
      </x:c>
      <x:c r="Y176" s="31" t="str">
        <x:v>A bounded hot-weather or heatwave event; the candidate is interpreted in its documented anchor and voice context.</x:v>
      </x:c>
      <x:c r="Z176" s="31" t="str">
        <x:v>STRONG</x:v>
      </x:c>
      <x:c r="AA176" s="19" t="str">
        <x:v>The surface form may realize multiple senses; candidate meaning remains anchored to the report-visible source context.</x:v>
      </x:c>
      <x:c r="AB176" s="31" t="str">
        <x:v>Secondary: Component headword checked: heatwaves.; historical: Anchor-period research source/context; Webster 1913 stable component URL recorded but automated page retrieval was unavailable; source: https://websters1913.timcieplowski.com/word/heatwaves/; https://api.dictionaryapi.dev/api/v2/entries/en/heatwaves</x:v>
      </x:c>
      <x:c r="AC176" s="19" t="str">
        <x:v>INTERNET_ARCHIVE_METADATA_TEXT_ITEM_COUNT</x:v>
      </x:c>
      <x:c r="AD176" s="19" t="str">
        <x:v>"heatwaves" AND mediatype:texts</x:v>
      </x:c>
      <x:c r="AE176" s="31" t="str">
        <x:v>EXACT_PHRASE</x:v>
      </x:c>
      <x:c r="AF176" s="31" t="str">
        <x:v>COMPLETED_NONZERO</x:v>
      </x:c>
      <x:c r="AG176" s="28" t="n">
        <x:v>115</x:v>
      </x:c>
      <x:c r="AH176" s="19" t="str">
        <x:v>26</x:v>
      </x:c>
      <x:c r="AI176" s="19" t="str">
        <x:v>2026-08-26</x:v>
      </x:c>
      <x:c r="AJ176" s="31" t="str">
        <x:v>Metadata text-item count; not a full-text lexical frequency. Secondary metric: NOT_RUN_OPENALEX_DAILY_BUDGET_EXHAUSTED: shared provider response retained; no count fabricated.</x:v>
      </x:c>
      <x:c r="AK176" s="31" t="str">
        <x:v>FULLY_COVERED</x:v>
      </x:c>
      <x:c r="AL176" s="19" t="str">
        <x:v>PENDING_SOURCE_REVIEW</x:v>
      </x:c>
      <x:c r="AM176" s="20" t="str">
        <x:v>MEDIUM</x:v>
      </x:c>
    </x:row>
    <x:row r="177" ht="34" customHeight="1">
      <x:c r="A177" s="25" t="str">
        <x:v>FT-SEED-R1B-P-2022-23</x:v>
      </x:c>
      <x:c r="B177" s="19" t="str">
        <x:v>2022</x:v>
      </x:c>
      <x:c r="C177" s="28" t="n">
        <x:v>23</x:v>
      </x:c>
      <x:c r="D177" s="31" t="str">
        <x:v>heat-related mortality</x:v>
      </x:c>
      <x:c r="E177" s="31" t="str">
        <x:v>extreme-heat hazard</x:v>
      </x:c>
      <x:c r="F177" s="19" t="str">
        <x:v>heat</x:v>
      </x:c>
      <x:c r="G177" s="19" t="str">
        <x:v>D</x:v>
      </x:c>
      <x:c r="H177" s="19" t="str">
        <x:v>V1</x:v>
      </x:c>
      <x:c r="I177" s="19" t="str">
        <x:v>NOT_EXPOSED_IN_REPORT</x:v>
      </x:c>
      <x:c r="J177" s="19" t="str">
        <x:v>S2022-IPCC</x:v>
      </x:c>
      <x:c r="K177" s="31" t="str">
        <x:v>RECONSTRUCTED_FROM_REPORT; Fear of Temperature_ Stratified Lexical Expansion, Voice Mapping, and Semantic-Relational Pre-Valida.pdf; p.12; project candidate FT-SEED-R1B-P-2022-23; original visible ID not available</x:v>
      </x:c>
      <x:c r="L177" s="31" t="str">
        <x:v>SUCCEEDED_NEW</x:v>
      </x:c>
      <x:c r="M177" s="31" t="str">
        <x:v>heat-related mortality</x:v>
      </x:c>
      <x:c r="N177" s="31" t="str">
        <x:v>EXACT</x:v>
      </x:c>
      <x:c r="O177" s="19" t="str">
        <x:v>1901</x:v>
      </x:c>
      <x:c r="P177" s="19" t="str">
        <x:v>2022</x:v>
      </x:c>
      <x:c r="Q177" s="34" t="n">
        <x:v>3.4297885746770174e-8</x:v>
      </x:c>
      <x:c r="R177" s="34" t="n">
        <x:v>3.4297885746770174e-8</x:v>
      </x:c>
      <x:c r="S177" s="34" t="n">
        <x:v>2.5230117672164765e-8</x:v>
      </x:c>
      <x:c r="T177" s="34" t="n">
        <x:v>3.4297885746770174e-8</x:v>
      </x:c>
      <x:c r="U177" s="31" t="str">
        <x:v>Candidate surface form is directly representable in the public Ngram interface. New unsmoothed 1842–2022 series retrieved for the candidate audit.</x:v>
      </x:c>
      <x:c r="V177" s="31" t="str">
        <x:v>TECHNICAL_GLOSSARY</x:v>
      </x:c>
      <x:c r="W177" s="19" t="str">
        <x:v>IPCC climate-science glossary / assessment terminology</x:v>
      </x:c>
      <x:c r="X177" s="31" t="str">
        <x:v>A threat, risk, harm, severity, or consequence sense in the documented source; it is not automatically an emotion.</x:v>
      </x:c>
      <x:c r="Y177" s="31" t="str">
        <x:v>Deaths attributable to, or materially associated with, exposure to high ambient temperatures.</x:v>
      </x:c>
      <x:c r="Z177" s="31" t="str">
        <x:v>STRONG</x:v>
      </x:c>
      <x:c r="AA177" s="19" t="str">
        <x:v>The surface form may realize multiple senses; candidate meaning remains anchored to the report-visible source context.</x:v>
      </x:c>
      <x:c r="AB177" s="31" t="str">
        <x:v>Secondary: Component headword checked: mortality.; historical: Anchor-period research source/context; Webster 1913 stable component URL recorded but automated page retrieval was unavailable; source: https://www.ipcc.ch/site/assets/uploads/2018/02/WGIIAR5-AnnexII_FINAL.pdf; https://api.dictionaryapi.dev/api/v2/entries/en/heat-related%20mortality; https://websters1913.timcieplowski.com/word/mortality/</x:v>
      </x:c>
      <x:c r="AC177" s="19" t="str">
        <x:v>INTERNET_ARCHIVE_METADATA_TEXT_ITEM_COUNT</x:v>
      </x:c>
      <x:c r="AD177" s="19" t="str">
        <x:v>"heat-related mortality" AND mediatype:texts</x:v>
      </x:c>
      <x:c r="AE177" s="31" t="str">
        <x:v>EXACT_PHRASE</x:v>
      </x:c>
      <x:c r="AF177" s="31" t="str">
        <x:v>COMPLETED_NONZERO</x:v>
      </x:c>
      <x:c r="AG177" s="28" t="n">
        <x:v>25</x:v>
      </x:c>
      <x:c r="AH177" s="19" t="str">
        <x:v>1</x:v>
      </x:c>
      <x:c r="AI177" s="19" t="str">
        <x:v>2026-08-26</x:v>
      </x:c>
      <x:c r="AJ177" s="31" t="str">
        <x:v>Metadata text-item count; not a full-text lexical frequency. Secondary metric: NOT_RUN_OPENALEX_DAILY_BUDGET_EXHAUSTED: shared provider response retained; no count fabricated.</x:v>
      </x:c>
      <x:c r="AK177" s="31" t="str">
        <x:v>FULLY_COVERED</x:v>
      </x:c>
      <x:c r="AL177" s="19" t="str">
        <x:v>PENDING_SOURCE_REVIEW</x:v>
      </x:c>
      <x:c r="AM177" s="20" t="str">
        <x:v>MEDIUM</x:v>
      </x:c>
    </x:row>
    <x:row r="178" ht="34" customHeight="1">
      <x:c r="A178" s="25" t="str">
        <x:v>FT-SEED-R1B-P-2022-24</x:v>
      </x:c>
      <x:c r="B178" s="19" t="str">
        <x:v>2022</x:v>
      </x:c>
      <x:c r="C178" s="28" t="n">
        <x:v>24</x:v>
      </x:c>
      <x:c r="D178" s="31" t="str">
        <x:v>mental health challenges</x:v>
      </x:c>
      <x:c r="E178" s="31" t="str">
        <x:v>generic damage</x:v>
      </x:c>
      <x:c r="F178" s="19" t="str">
        <x:v>harm_loss_consequences</x:v>
      </x:c>
      <x:c r="G178" s="19" t="str">
        <x:v>D</x:v>
      </x:c>
      <x:c r="H178" s="19" t="str">
        <x:v>V1</x:v>
      </x:c>
      <x:c r="I178" s="19" t="str">
        <x:v>NOT_EXPOSED_IN_REPORT</x:v>
      </x:c>
      <x:c r="J178" s="19" t="str">
        <x:v>S2022-IPCC</x:v>
      </x:c>
      <x:c r="K178" s="31" t="str">
        <x:v>RECONSTRUCTED_FROM_REPORT; Fear of Temperature_ Stratified Lexical Expansion, Voice Mapping, and Semantic-Relational Pre-Valida.pdf; p.12; project candidate FT-SEED-R1B-P-2022-24; original visible ID not available</x:v>
      </x:c>
      <x:c r="L178" s="31" t="str">
        <x:v>SUCCEEDED_NEW</x:v>
      </x:c>
      <x:c r="M178" s="31" t="str">
        <x:v>mental health challenges</x:v>
      </x:c>
      <x:c r="N178" s="31" t="str">
        <x:v>EXACT</x:v>
      </x:c>
      <x:c r="O178" s="19" t="str">
        <x:v>1900</x:v>
      </x:c>
      <x:c r="P178" s="19" t="str">
        <x:v>2022</x:v>
      </x:c>
      <x:c r="Q178" s="34" t="n">
        <x:v>1.5939624659067064e-7</x:v>
      </x:c>
      <x:c r="R178" s="34" t="n">
        <x:v>1.5939624659067064e-7</x:v>
      </x:c>
      <x:c r="S178" s="34" t="n">
        <x:v>1.470317696761203e-7</x:v>
      </x:c>
      <x:c r="T178" s="34" t="n">
        <x:v>1.5939624659067064e-7</x:v>
      </x:c>
      <x:c r="U178" s="31" t="str">
        <x:v>Candidate surface form is directly representable in the public Ngram interface. New unsmoothed 1842–2022 series retrieved for the candidate audit.</x:v>
      </x:c>
      <x:c r="V178" s="31" t="str">
        <x:v>NO_STANDALONE_HEADWORD</x:v>
      </x:c>
      <x:c r="W178" s="19" t="str">
        <x:v>Component lexical analysis plus anchor-source contextual meaning</x:v>
      </x:c>
      <x:c r="X178" s="31" t="str">
        <x:v>A threat, risk, harm, severity, or consequence sense in the documented source; it is not automatically an emotion.</x:v>
      </x:c>
      <x:c r="Y178" s="31" t="str">
        <x:v>Generic material, ecological, or social damage; the candidate is interpreted in its documented anchor and voice context.</x:v>
      </x:c>
      <x:c r="Z178" s="31" t="str">
        <x:v>STRONG</x:v>
      </x:c>
      <x:c r="AA178" s="19" t="str">
        <x:v>The surface form may realize multiple senses; candidate meaning remains anchored to the report-visible source context.</x:v>
      </x:c>
      <x:c r="AB178" s="31" t="str">
        <x:v>Secondary: Component headword checked: challenges.;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https://api.dictionaryapi.dev/api/v2/entries/en/mental%20health%20challenges; https://websters1913.timcieplowski.com/word/challenges/</x:v>
      </x:c>
      <x:c r="AC178" s="19" t="str">
        <x:v>INTERNET_ARCHIVE_METADATA_TEXT_ITEM_COUNT</x:v>
      </x:c>
      <x:c r="AD178" s="19" t="str">
        <x:v>"mental health challenges" AND mediatype:texts</x:v>
      </x:c>
      <x:c r="AE178" s="31" t="str">
        <x:v>EXACT_PHRASE</x:v>
      </x:c>
      <x:c r="AF178" s="31" t="str">
        <x:v>COMPLETED_NONZERO</x:v>
      </x:c>
      <x:c r="AG178" s="28" t="n">
        <x:v>134</x:v>
      </x:c>
      <x:c r="AH178" s="19" t="str">
        <x:v>23</x:v>
      </x:c>
      <x:c r="AI178" s="19" t="str">
        <x:v>2026-08-26</x:v>
      </x:c>
      <x:c r="AJ178" s="31" t="str">
        <x:v>Metadata text-item count; not a full-text lexical frequency. Secondary metric: NOT_RUN_OPENALEX_DAILY_BUDGET_EXHAUSTED: shared provider response retained; no count fabricated.</x:v>
      </x:c>
      <x:c r="AK178" s="31" t="str">
        <x:v>FULLY_COVERED</x:v>
      </x:c>
      <x:c r="AL178" s="19" t="str">
        <x:v>PENDING_SOURCE_REVIEW</x:v>
      </x:c>
      <x:c r="AM178" s="20" t="str">
        <x:v>MEDIUM</x:v>
      </x:c>
    </x:row>
    <x:row r="179" ht="34" customHeight="1">
      <x:c r="A179" s="25" t="str">
        <x:v>FT-SEED-R1B-P-2022-25</x:v>
      </x:c>
      <x:c r="B179" s="19" t="str">
        <x:v>2022</x:v>
      </x:c>
      <x:c r="C179" s="28" t="n">
        <x:v>25</x:v>
      </x:c>
      <x:c r="D179" s="31" t="str">
        <x:v>anxiety and stress</x:v>
      </x:c>
      <x:c r="E179" s="31" t="str">
        <x:v>anxiety symptom measure</x:v>
      </x:c>
      <x:c r="F179" s="19" t="str">
        <x:v>anxiety</x:v>
      </x:c>
      <x:c r="G179" s="19" t="str">
        <x:v>C</x:v>
      </x:c>
      <x:c r="H179" s="19" t="str">
        <x:v>V1</x:v>
      </x:c>
      <x:c r="I179" s="19" t="str">
        <x:v>NOT_EXPOSED_IN_REPORT</x:v>
      </x:c>
      <x:c r="J179" s="19" t="str">
        <x:v>S2022-IPCC</x:v>
      </x:c>
      <x:c r="K179" s="31" t="str">
        <x:v>RECONSTRUCTED_FROM_REPORT; Fear of Temperature_ Stratified Lexical Expansion, Voice Mapping, and Semantic-Relational Pre-Valida.pdf; p.12; project candidate FT-SEED-R1B-P-2022-25; original visible ID not available</x:v>
      </x:c>
      <x:c r="L179" s="31" t="str">
        <x:v>SUCCEEDED_NEW</x:v>
      </x:c>
      <x:c r="M179" s="31" t="str">
        <x:v>anxiety and stress</x:v>
      </x:c>
      <x:c r="N179" s="31" t="str">
        <x:v>EXACT</x:v>
      </x:c>
      <x:c r="O179" s="19" t="str">
        <x:v>1844</x:v>
      </x:c>
      <x:c r="P179" s="19" t="str">
        <x:v>2022</x:v>
      </x:c>
      <x:c r="Q179" s="34" t="n">
        <x:v>2.2447910766332235e-7</x:v>
      </x:c>
      <x:c r="R179" s="34" t="n">
        <x:v>2.2447910766332235e-7</x:v>
      </x:c>
      <x:c r="S179" s="34" t="n">
        <x:v>2.2406331945390434e-7</x:v>
      </x:c>
      <x:c r="T179" s="34" t="n">
        <x:v>2.2447910766332235e-7</x:v>
      </x:c>
      <x:c r="U179" s="31" t="str">
        <x:v>Candidate surface form is directly representable in the public Ngram interface. New unsmoothed 1842–2022 series retrieved for the candidate audit.</x:v>
      </x:c>
      <x:c r="V179" s="31" t="str">
        <x:v>NO_STANDALONE_HEADWORD</x:v>
      </x:c>
      <x:c r="W179" s="19" t="str">
        <x:v>Component lexical analysis plus anchor-source contextual meaning</x:v>
      </x:c>
      <x:c r="X179" s="31" t="str">
        <x:v>The candidate's affective or evaluative sense as used by the documented speaker/instrument/research voice at the anchor.</x:v>
      </x:c>
      <x:c r="Y179" s="31" t="str">
        <x:v>Anxiety operationalised as a symptom or health measure; the candidate is interpreted in its documented anchor and voice context.</x:v>
      </x:c>
      <x:c r="Z179" s="31" t="str">
        <x:v>STRONG</x:v>
      </x:c>
      <x:c r="AA179" s="19" t="str">
        <x:v>The surface form may realize multiple senses; candidate meaning remains anchored to the report-visible source context.</x:v>
      </x:c>
      <x:c r="AB179" s="31" t="str">
        <x:v>Secondary: Component headword checked: stress.;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https://api.dictionaryapi.dev/api/v2/entries/en/anxiety%20and%20stress; https://websters1913.timcieplowski.com/word/stress/</x:v>
      </x:c>
      <x:c r="AC179" s="19" t="str">
        <x:v>INTERNET_ARCHIVE_METADATA_TEXT_ITEM_COUNT</x:v>
      </x:c>
      <x:c r="AD179" s="19" t="str">
        <x:v>"anxiety and stress" AND mediatype:texts</x:v>
      </x:c>
      <x:c r="AE179" s="31" t="str">
        <x:v>EXACT_PHRASE</x:v>
      </x:c>
      <x:c r="AF179" s="31" t="str">
        <x:v>COMPLETED_NONZERO</x:v>
      </x:c>
      <x:c r="AG179" s="28" t="n">
        <x:v>256</x:v>
      </x:c>
      <x:c r="AH179" s="19" t="str">
        <x:v>34</x:v>
      </x:c>
      <x:c r="AI179" s="19" t="str">
        <x:v>2026-08-26</x:v>
      </x:c>
      <x:c r="AJ179" s="31" t="str">
        <x:v>Metadata text-item count; not a full-text lexical frequency. Secondary metric: Scholarly work discoverability count over OpenAlex search fields; not a corpus word frequency.</x:v>
      </x:c>
      <x:c r="AK179" s="31" t="str">
        <x:v>FULLY_COVERED</x:v>
      </x:c>
      <x:c r="AL179" s="19" t="str">
        <x:v>PENDING_SOURCE_REVIEW</x:v>
      </x:c>
      <x:c r="AM179" s="20" t="str">
        <x:v>MEDIUM</x:v>
      </x:c>
    </x:row>
    <x:row r="180" ht="34" customHeight="1">
      <x:c r="A180" s="25" t="str">
        <x:v>FT-SEED-R1B-P-2022-26</x:v>
      </x:c>
      <x:c r="B180" s="19" t="str">
        <x:v>2022</x:v>
      </x:c>
      <x:c r="C180" s="28" t="n">
        <x:v>26</x:v>
      </x:c>
      <x:c r="D180" s="31" t="str">
        <x:v>ill health</x:v>
      </x:c>
      <x:c r="E180" s="31" t="str">
        <x:v>generic damage</x:v>
      </x:c>
      <x:c r="F180" s="19" t="str">
        <x:v>harm_loss_consequences</x:v>
      </x:c>
      <x:c r="G180" s="19" t="str">
        <x:v>D</x:v>
      </x:c>
      <x:c r="H180" s="19" t="str">
        <x:v>V1</x:v>
      </x:c>
      <x:c r="I180" s="19" t="str">
        <x:v>NOT_EXPOSED_IN_REPORT</x:v>
      </x:c>
      <x:c r="J180" s="19" t="str">
        <x:v>S2022-IPCC</x:v>
      </x:c>
      <x:c r="K180" s="31" t="str">
        <x:v>RECONSTRUCTED_FROM_REPORT; Fear of Temperature_ Stratified Lexical Expansion, Voice Mapping, and Semantic-Relational Pre-Valida.pdf; p.12; project candidate FT-SEED-R1B-P-2022-26; original visible ID not available</x:v>
      </x:c>
      <x:c r="L180" s="31" t="str">
        <x:v>SUCCEEDED_NEW</x:v>
      </x:c>
      <x:c r="M180" s="31" t="str">
        <x:v>ill health</x:v>
      </x:c>
      <x:c r="N180" s="31" t="str">
        <x:v>EXACT</x:v>
      </x:c>
      <x:c r="O180" s="19" t="str">
        <x:v>1842</x:v>
      </x:c>
      <x:c r="P180" s="19" t="str">
        <x:v>1850</x:v>
      </x:c>
      <x:c r="Q180" s="34" t="n">
        <x:v>0.000002420165740923963</x:v>
      </x:c>
      <x:c r="R180" s="34" t="n">
        <x:v>8.053424292442379e-7</x:v>
      </x:c>
      <x:c r="S180" s="34" t="n">
        <x:v>8.071232997682032e-7</x:v>
      </x:c>
      <x:c r="T180" s="34" t="n">
        <x:v>8.053424292442379e-7</x:v>
      </x:c>
      <x:c r="U180" s="31" t="str">
        <x:v>Candidate surface form is directly representable in the public Ngram interface. New unsmoothed 1842–2022 series retrieved for the candidate audit.</x:v>
      </x:c>
      <x:c r="V180" s="31" t="str">
        <x:v>NO_STANDALONE_HEADWORD</x:v>
      </x:c>
      <x:c r="W180" s="19" t="str">
        <x:v>Component lexical analysis plus anchor-source contextual meaning</x:v>
      </x:c>
      <x:c r="X180" s="31" t="str">
        <x:v>A threat, risk, harm, severity, or consequence sense in the documented source; it is not automatically an emotion.</x:v>
      </x:c>
      <x:c r="Y180" s="31" t="str">
        <x:v>Generic material, ecological, or social damage; the candidate is interpreted in its documented anchor and voice context.</x:v>
      </x:c>
      <x:c r="Z180" s="31" t="str">
        <x:v>STRONG</x:v>
      </x:c>
      <x:c r="AA180" s="19" t="str">
        <x:v>The surface form may realize multiple senses; candidate meaning remains anchored to the report-visible source context.</x:v>
      </x:c>
      <x:c r="AB180" s="31" t="str">
        <x:v>Secondary: Component headword checked: health.;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https://api.dictionaryapi.dev/api/v2/entries/en/ill%20health; https://websters1913.timcieplowski.com/word/health/</x:v>
      </x:c>
      <x:c r="AC180" s="19" t="str">
        <x:v>INTERNET_ARCHIVE_METADATA_TEXT_ITEM_COUNT</x:v>
      </x:c>
      <x:c r="AD180" s="19" t="str">
        <x:v>"ill health" AND mediatype:texts</x:v>
      </x:c>
      <x:c r="AE180" s="31" t="str">
        <x:v>EXACT_PHRASE</x:v>
      </x:c>
      <x:c r="AF180" s="31" t="str">
        <x:v>COMPLETED_NONZERO</x:v>
      </x:c>
      <x:c r="AG180" s="28" t="n">
        <x:v>1084</x:v>
      </x:c>
      <x:c r="AH180" s="19" t="str">
        <x:v>12</x:v>
      </x:c>
      <x:c r="AI180" s="19" t="str">
        <x:v>2026-08-26</x:v>
      </x:c>
      <x:c r="AJ180" s="31" t="str">
        <x:v>Metadata text-item count; not a full-text lexical frequency. Secondary metric: NOT_RUN_OPENALEX_DAILY_BUDGET_EXHAUSTED: shared provider response retained; no count fabricated.</x:v>
      </x:c>
      <x:c r="AK180" s="31" t="str">
        <x:v>FULLY_COVERED</x:v>
      </x:c>
      <x:c r="AL180" s="19" t="str">
        <x:v>PENDING_SOURCE_REVIEW</x:v>
      </x:c>
      <x:c r="AM180" s="20" t="str">
        <x:v>MEDIUM</x:v>
      </x:c>
    </x:row>
    <x:row r="181" ht="34" customHeight="1">
      <x:c r="A181" s="25" t="str">
        <x:v>FT-SEED-R1B-P-2022-27</x:v>
      </x:c>
      <x:c r="B181" s="19" t="str">
        <x:v>2022</x:v>
      </x:c>
      <x:c r="C181" s="28" t="n">
        <x:v>27</x:v>
      </x:c>
      <x:c r="D181" s="31" t="str">
        <x:v>premature deaths</x:v>
      </x:c>
      <x:c r="E181" s="31" t="str">
        <x:v>mortality</x:v>
      </x:c>
      <x:c r="F181" s="19" t="str">
        <x:v>harm_loss_consequences</x:v>
      </x:c>
      <x:c r="G181" s="19" t="str">
        <x:v>D</x:v>
      </x:c>
      <x:c r="H181" s="19" t="str">
        <x:v>V1</x:v>
      </x:c>
      <x:c r="I181" s="19" t="str">
        <x:v>NOT_EXPOSED_IN_REPORT</x:v>
      </x:c>
      <x:c r="J181" s="19" t="str">
        <x:v>S2022-IPCC</x:v>
      </x:c>
      <x:c r="K181" s="31" t="str">
        <x:v>RECONSTRUCTED_FROM_REPORT; Fear of Temperature_ Stratified Lexical Expansion, Voice Mapping, and Semantic-Relational Pre-Valida.pdf; p.12; project candidate FT-SEED-R1B-P-2022-27; original visible ID not available</x:v>
      </x:c>
      <x:c r="L181" s="31" t="str">
        <x:v>SUCCEEDED_NEW</x:v>
      </x:c>
      <x:c r="M181" s="31" t="str">
        <x:v>premature deaths</x:v>
      </x:c>
      <x:c r="N181" s="31" t="str">
        <x:v>EXACT</x:v>
      </x:c>
      <x:c r="O181" s="19" t="str">
        <x:v>1842</x:v>
      </x:c>
      <x:c r="P181" s="19" t="str">
        <x:v>2021</x:v>
      </x:c>
      <x:c r="Q181" s="34" t="n">
        <x:v>1.5945866710387335e-7</x:v>
      </x:c>
      <x:c r="R181" s="34" t="n">
        <x:v>1.3586060954029477e-7</x:v>
      </x:c>
      <x:c r="S181" s="34" t="n">
        <x:v>1.4765963832208406e-7</x:v>
      </x:c>
      <x:c r="T181" s="34" t="n">
        <x:v>1.3586060954029477e-7</x:v>
      </x:c>
      <x:c r="U181" s="31" t="str">
        <x:v>Candidate surface form is directly representable in the public Ngram interface. New unsmoothed 1842–2022 series retrieved for the candidate audit.</x:v>
      </x:c>
      <x:c r="V181" s="31" t="str">
        <x:v>NO_STANDALONE_HEADWORD</x:v>
      </x:c>
      <x:c r="W181" s="19" t="str">
        <x:v>Component lexical analysis plus anchor-source contextual meaning</x:v>
      </x:c>
      <x:c r="X181" s="31" t="str">
        <x:v>A threat, risk, harm, severity, or consequence sense in the documented source; it is not automatically an emotion.</x:v>
      </x:c>
      <x:c r="Y181" s="31" t="str">
        <x:v>Death or mortality attributed to heat or climate consequences; the candidate is interpreted in its documented anchor and voice context.</x:v>
      </x:c>
      <x:c r="Z181" s="31" t="str">
        <x:v>STRONG</x:v>
      </x:c>
      <x:c r="AA181" s="19" t="str">
        <x:v>The surface form may realize multiple senses; candidate meaning remains anchored to the report-visible source context.</x:v>
      </x:c>
      <x:c r="AB181" s="31" t="str">
        <x:v>Secondary: Component headword checked: deaths.;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https://api.dictionaryapi.dev/api/v2/entries/en/premature%20deaths; https://websters1913.timcieplowski.com/word/deaths/</x:v>
      </x:c>
      <x:c r="AC181" s="19" t="str">
        <x:v>INTERNET_ARCHIVE_METADATA_TEXT_ITEM_COUNT</x:v>
      </x:c>
      <x:c r="AD181" s="19" t="str">
        <x:v>"premature deaths" AND mediatype:texts</x:v>
      </x:c>
      <x:c r="AE181" s="31" t="str">
        <x:v>EXACT_PHRASE</x:v>
      </x:c>
      <x:c r="AF181" s="31" t="str">
        <x:v>COMPLETED_NONZERO</x:v>
      </x:c>
      <x:c r="AG181" s="28" t="n">
        <x:v>61</x:v>
      </x:c>
      <x:c r="AH181" s="19" t="str">
        <x:v>7</x:v>
      </x:c>
      <x:c r="AI181" s="19" t="str">
        <x:v>2026-08-26</x:v>
      </x:c>
      <x:c r="AJ181" s="31" t="str">
        <x:v>Metadata text-item count; not a full-text lexical frequency. Secondary metric: NOT_RUN_OPENALEX_DAILY_BUDGET_EXHAUSTED: shared provider response retained; no count fabricated.</x:v>
      </x:c>
      <x:c r="AK181" s="31" t="str">
        <x:v>FULLY_COVERED</x:v>
      </x:c>
      <x:c r="AL181" s="19" t="str">
        <x:v>PENDING_SOURCE_REVIEW</x:v>
      </x:c>
      <x:c r="AM181" s="20" t="str">
        <x:v>MEDIUM</x:v>
      </x:c>
    </x:row>
    <x:row r="182" ht="34" customHeight="1">
      <x:c r="A182" s="25" t="str">
        <x:v>FT-SEED-R1B-P-2022-28</x:v>
      </x:c>
      <x:c r="B182" s="19" t="str">
        <x:v>2022</x:v>
      </x:c>
      <x:c r="C182" s="28" t="n">
        <x:v>28</x:v>
      </x:c>
      <x:c r="D182" s="31" t="str">
        <x:v>very serious threat</x:v>
      </x:c>
      <x:c r="E182" s="31" t="str">
        <x:v>institutional climate threat</x:v>
      </x:c>
      <x:c r="F182" s="19" t="str">
        <x:v>danger_threat</x:v>
      </x:c>
      <x:c r="G182" s="19" t="str">
        <x:v>D</x:v>
      </x:c>
      <x:c r="H182" s="19" t="str">
        <x:v>V5</x:v>
      </x:c>
      <x:c r="I182" s="19" t="str">
        <x:v>NOT_EXPOSED_IN_REPORT</x:v>
      </x:c>
      <x:c r="J182" s="19" t="str">
        <x:v>S2022-YALE-INT</x:v>
      </x:c>
      <x:c r="K182" s="31" t="str">
        <x:v>RECONSTRUCTED_FROM_REPORT; Fear of Temperature_ Stratified Lexical Expansion, Voice Mapping, and Semantic-Relational Pre-Valida.pdf; p.12; project candidate FT-SEED-R1B-P-2022-28; original visible ID not available</x:v>
      </x:c>
      <x:c r="L182" s="31" t="str">
        <x:v>SUCCEEDED_NEW</x:v>
      </x:c>
      <x:c r="M182" s="31" t="str">
        <x:v>very serious threat</x:v>
      </x:c>
      <x:c r="N182" s="31" t="str">
        <x:v>EXACT</x:v>
      </x:c>
      <x:c r="O182" s="19" t="str">
        <x:v>1844</x:v>
      </x:c>
      <x:c r="P182" s="19" t="str">
        <x:v>1980</x:v>
      </x:c>
      <x:c r="Q182" s="34" t="n">
        <x:v>2.482974169326635e-8</x:v>
      </x:c>
      <x:c r="R182" s="34" t="n">
        <x:v>1.0925974208708666e-8</x:v>
      </x:c>
      <x:c r="S182" s="34" t="n">
        <x:v>1.068363673917272e-8</x:v>
      </x:c>
      <x:c r="T182" s="34" t="n">
        <x:v>1.0925974208708666e-8</x:v>
      </x:c>
      <x:c r="U182" s="31" t="str">
        <x:v>Candidate surface form is directly representable in the public Ngram interface. New unsmoothed 1842–2022 series retrieved for the candidate audit.</x:v>
      </x:c>
      <x:c r="V182" s="31" t="str">
        <x:v>NO_STANDALONE_HEADWORD</x:v>
      </x:c>
      <x:c r="W182" s="19" t="str">
        <x:v>Component lexical analysis plus anchor-source contextual meaning</x:v>
      </x:c>
      <x:c r="X182" s="31" t="str">
        <x:v>A threat, risk, harm, severity, or consequence sense in the documented source; it is not automatically an emotion.</x:v>
      </x:c>
      <x:c r="Y182" s="31" t="str">
        <x:v>Climate change framed as an institutional threat; the candidate is interpreted in its documented anchor and voice context.</x:v>
      </x:c>
      <x:c r="Z182" s="31" t="str">
        <x:v>STRONG</x:v>
      </x:c>
      <x:c r="AA182" s="19" t="str">
        <x:v>The surface form may realize multiple senses; candidate meaning remains anchored to the report-visible source context.</x:v>
      </x:c>
      <x:c r="AB182" s="31" t="str">
        <x:v>Secondary: Component headword checked: threat.; historical: Anchor-period research source/context; Webster 1913 stable component URL recorded but automated page retrieval was unavailable; source: Fear of Temperature_ Stratified Lexical Expansion, Voice Mapping, and Semantic-Relational Pre-Valida.pdf#page=12; https://api.dictionaryapi.dev/api/v2/entries/en/very%20serious%20threat; https://websters1913.timcieplowski.com/word/threat/</x:v>
      </x:c>
      <x:c r="AC182" s="19" t="str">
        <x:v>INTERNET_ARCHIVE_METADATA_TEXT_ITEM_COUNT</x:v>
      </x:c>
      <x:c r="AD182" s="19" t="str">
        <x:v>"very serious threat" AND mediatype:texts</x:v>
      </x:c>
      <x:c r="AE182" s="31" t="str">
        <x:v>EXACT_PHRASE</x:v>
      </x:c>
      <x:c r="AF182" s="31" t="str">
        <x:v>COMPLETED_NONZERO</x:v>
      </x:c>
      <x:c r="AG182" s="28" t="n">
        <x:v>19</x:v>
      </x:c>
      <x:c r="AH182" s="19" t="str">
        <x:v>1</x:v>
      </x:c>
      <x:c r="AI182" s="19" t="str">
        <x:v>2026-08-26</x:v>
      </x:c>
      <x:c r="AJ182" s="31" t="str">
        <x:v>Metadata text-item count; not a full-text lexical frequency. Secondary metric: NOT_RUN_OPENALEX_DAILY_BUDGET_EXHAUSTED: shared provider response retained; no count fabricated.</x:v>
      </x:c>
      <x:c r="AK182" s="31" t="str">
        <x:v>FULLY_COVERED</x:v>
      </x:c>
      <x:c r="AL182" s="19" t="str">
        <x:v>PENDING_SOURCE_REVIEW</x:v>
      </x:c>
      <x:c r="AM182" s="20" t="str">
        <x:v>MEDIUM</x:v>
      </x:c>
    </x:row>
    <x:row r="183" ht="34" customHeight="1">
      <x:c r="A183" s="25" t="str">
        <x:v>FT-SEED-R1B-P-2022-29</x:v>
      </x:c>
      <x:c r="B183" s="19" t="str">
        <x:v>2022</x:v>
      </x:c>
      <x:c r="C183" s="28" t="n">
        <x:v>29</x:v>
      </x:c>
      <x:c r="D183" s="31" t="str">
        <x:v>harm future generations</x:v>
      </x:c>
      <x:c r="E183" s="31" t="str">
        <x:v>future-generation harm</x:v>
      </x:c>
      <x:c r="F183" s="19" t="str">
        <x:v>harm_loss_consequences</x:v>
      </x:c>
      <x:c r="G183" s="19" t="str">
        <x:v>D</x:v>
      </x:c>
      <x:c r="H183" s="19" t="str">
        <x:v>V5</x:v>
      </x:c>
      <x:c r="I183" s="19" t="str">
        <x:v>NOT_EXPOSED_IN_REPORT</x:v>
      </x:c>
      <x:c r="J183" s="19" t="str">
        <x:v>S2022-YALE-INT</x:v>
      </x:c>
      <x:c r="K183" s="31" t="str">
        <x:v>RECONSTRUCTED_FROM_REPORT; Fear of Temperature_ Stratified Lexical Expansion, Voice Mapping, and Semantic-Relational Pre-Valida.pdf; p.13; project candidate FT-SEED-R1B-P-2022-29; original visible ID not available</x:v>
      </x:c>
      <x:c r="L183" s="31" t="str">
        <x:v>SUCCEEDED_NEW</x:v>
      </x:c>
      <x:c r="M183" s="31" t="str">
        <x:v>harm future generations</x:v>
      </x:c>
      <x:c r="N183" s="31" t="str">
        <x:v>EXACT</x:v>
      </x:c>
      <x:c r="O183" s="19" t="str">
        <x:v>1883</x:v>
      </x:c>
      <x:c r="P183" s="19" t="str">
        <x:v>2017</x:v>
      </x:c>
      <x:c r="Q183" s="34" t="n">
        <x:v>1.9909478510271583e-9</x:v>
      </x:c>
      <x:c r="R183" s="34" t="n">
        <x:v>8.040760279826031e-10</x:v>
      </x:c>
      <x:c r="S183" s="34" t="n">
        <x:v>1.318835041175248e-9</x:v>
      </x:c>
      <x:c r="T183" s="34" t="n">
        <x:v>8.040760279826031e-10</x:v>
      </x:c>
      <x:c r="U183" s="31" t="str">
        <x:v>Candidate surface form is directly representable in the public Ngram interface. New unsmoothed 1842–2022 series retrieved for the candidate audit.</x:v>
      </x:c>
      <x:c r="V183" s="31" t="str">
        <x:v>NO_STANDALONE_HEADWORD</x:v>
      </x:c>
      <x:c r="W183" s="19" t="str">
        <x:v>Component lexical analysis plus anchor-source contextual meaning</x:v>
      </x:c>
      <x:c r="X183" s="31" t="str">
        <x:v>A threat, risk, harm, severity, or consequence sense in the documented source; it is not automatically an emotion.</x:v>
      </x:c>
      <x:c r="Y183" s="31" t="str">
        <x:v>Harm or loss explicitly attributed to future generations; the candidate is interpreted in its documented anchor and voice context.</x:v>
      </x:c>
      <x:c r="Z183" s="31" t="str">
        <x:v>STRONG</x:v>
      </x:c>
      <x:c r="AA183" s="19" t="str">
        <x:v>The surface form may realize multiple senses; candidate meaning remains anchored to the report-visible source context.</x:v>
      </x:c>
      <x:c r="AB183" s="31" t="str">
        <x:v>Secondary: Component headword checked: generations.; historical: Anchor-period research source/context; Webster 1913 stable component URL recorded but automated page retrieval was unavailable; source: Fear of Temperature_ Stratified Lexical Expansion, Voice Mapping, and Semantic-Relational Pre-Valida.pdf#page=13; https://api.dictionaryapi.dev/api/v2/entries/en/harm%20future%20generations; https://websters1913.timcieplowski.com/word/generations/</x:v>
      </x:c>
      <x:c r="AC183" s="19" t="str">
        <x:v>INTERNET_ARCHIVE_METADATA_TEXT_ITEM_COUNT</x:v>
      </x:c>
      <x:c r="AD183" s="19" t="str">
        <x:v>"harm future generations" AND mediatype:texts</x:v>
      </x:c>
      <x:c r="AE183" s="31" t="str">
        <x:v>EXACT_PHRASE</x:v>
      </x:c>
      <x:c r="AF183" s="31" t="str">
        <x:v>COMPLETED_ZERO</x:v>
      </x:c>
      <x:c r="AG183" s="28" t="n">
        <x:v>0</x:v>
      </x:c>
      <x:c r="AH183" s="19" t="str">
        <x:v>0</x:v>
      </x:c>
      <x:c r="AI183" s="19" t="str">
        <x:v>2026-08-26</x:v>
      </x:c>
      <x:c r="AJ183" s="31" t="str">
        <x:v>Metadata text-item count; not a full-text lexical frequency. Secondary metric: NOT_RUN_OPENALEX_DAILY_BUDGET_EXHAUSTED: shared provider response retained; no count fabricated.</x:v>
      </x:c>
      <x:c r="AK183" s="31" t="str">
        <x:v>FULLY_COVERED</x:v>
      </x:c>
      <x:c r="AL183" s="19" t="str">
        <x:v>PENDING_SOURCE_REVIEW</x:v>
      </x:c>
      <x:c r="AM183" s="20" t="str">
        <x:v>MEDIUM</x:v>
      </x:c>
    </x:row>
    <x:row r="184" ht="34" customHeight="1">
      <x:c r="A184" s="26" t="str">
        <x:v>FT-SEED-R1B-P-2022-30</x:v>
      </x:c>
      <x:c r="B184" s="22" t="str">
        <x:v>2022</x:v>
      </x:c>
      <x:c r="C184" s="29" t="n">
        <x:v>30</x:v>
      </x:c>
      <x:c r="D184" s="32" t="str">
        <x:v>climate crisis</x:v>
      </x:c>
      <x:c r="E184" s="32" t="str">
        <x:v>climate crisis issue label</x:v>
      </x:c>
      <x:c r="F184" s="22" t="str">
        <x:v>crisis_emergency</x:v>
      </x:c>
      <x:c r="G184" s="22" t="str">
        <x:v>D</x:v>
      </x:c>
      <x:c r="H184" s="22" t="str">
        <x:v>V4</x:v>
      </x:c>
      <x:c r="I184" s="22" t="str">
        <x:v>NOT_EXPOSED_IN_REPORT</x:v>
      </x:c>
      <x:c r="J184" s="22" t="str">
        <x:v>S2022-XR</x:v>
      </x:c>
      <x:c r="K184" s="32" t="str">
        <x:v>RECONSTRUCTED_FROM_REPORT; Fear of Temperature_ Stratified Lexical Expansion, Voice Mapping, and Semantic-Relational Pre-Valida.pdf; p.13; project candidate FT-SEED-R1B-P-2022-30; original visible ID not available</x:v>
      </x:c>
      <x:c r="L184" s="32" t="str">
        <x:v>SUCCEEDED_REUSED_BASELINE</x:v>
      </x:c>
      <x:c r="M184" s="32" t="str">
        <x:v>climate crisis</x:v>
      </x:c>
      <x:c r="N184" s="32" t="str">
        <x:v>EXACT</x:v>
      </x:c>
      <x:c r="O184" s="22" t="str">
        <x:v>1867</x:v>
      </x:c>
      <x:c r="P184" s="22" t="str">
        <x:v>2022</x:v>
      </x:c>
      <x:c r="Q184" s="35" t="n">
        <x:v>9.38814122442011e-7</x:v>
      </x:c>
      <x:c r="R184" s="35" t="n">
        <x:v>9.38814122442011e-7</x:v>
      </x:c>
      <x:c r="S184" s="35" t="n">
        <x:v>8.728122682377659e-7</x:v>
      </x:c>
      <x:c r="T184" s="35" t="n">
        <x:v>9.38814122442011e-7</x:v>
      </x:c>
      <x:c r="U184" s="32" t="str">
        <x:v>Candidate surface form is directly representable in the public Ngram interface. Complete 1842–2022 unsmoothed series reused from the audited quantitative-v0.1 baseline.</x:v>
      </x:c>
      <x:c r="V184" s="32" t="str">
        <x:v>TECHNICAL_GLOSSARY</x:v>
      </x:c>
      <x:c r="W184" s="22" t="str">
        <x:v>IPCC climate-science glossary / assessment terminology</x:v>
      </x:c>
      <x:c r="X184" s="32" t="str">
        <x:v>A threat, risk, harm, severity, or consequence sense in the documented source; it is not automatically an emotion.</x:v>
      </x:c>
      <x:c r="Y184" s="32" t="str">
        <x:v>Climate crisis used as an established issue label; the candidate is interpreted in its documented anchor and voice context.</x:v>
      </x:c>
      <x:c r="Z184" s="32" t="str">
        <x:v>STRONG</x:v>
      </x:c>
      <x:c r="AA184" s="22" t="str">
        <x:v>The surface form may realize multiple senses; candidate meaning remains anchored to the report-visible source context.</x:v>
      </x:c>
      <x:c r="AB184" s="32" t="str">
        <x:v>Secondary: Component headword checked: crisis.; historical: Anchor-period research source/context; Webster 1913 stable component URL recorded but automated page retrieval was unavailable; source: https://www.ipcc.ch/site/assets/uploads/2018/02/WGIIAR5-AnnexII_FINAL.pdf; https://api.dictionaryapi.dev/api/v2/entries/en/climate%20crisis; https://websters1913.timcieplowski.com/word/crisis/</x:v>
      </x:c>
      <x:c r="AC184" s="22" t="str">
        <x:v>INTERNET_ARCHIVE_METADATA_TEXT_ITEM_COUNT</x:v>
      </x:c>
      <x:c r="AD184" s="22" t="str">
        <x:v>"climate crisis" AND mediatype:texts</x:v>
      </x:c>
      <x:c r="AE184" s="32" t="str">
        <x:v>EXACT_PHRASE</x:v>
      </x:c>
      <x:c r="AF184" s="32" t="str">
        <x:v>COMPLETED_NONZERO</x:v>
      </x:c>
      <x:c r="AG184" s="29" t="n">
        <x:v>439</x:v>
      </x:c>
      <x:c r="AH184" s="22" t="str">
        <x:v>114</x:v>
      </x:c>
      <x:c r="AI184" s="22" t="str">
        <x:v>2026-08-26</x:v>
      </x:c>
      <x:c r="AJ184" s="32" t="str">
        <x:v>Metadata text-item count; not a full-text lexical frequency. Secondary metric: Scholarly work discoverability count over OpenAlex search fields; not a corpus word frequency.</x:v>
      </x:c>
      <x:c r="AK184" s="32" t="str">
        <x:v>FULLY_COVERED</x:v>
      </x:c>
      <x:c r="AL184" s="22" t="str">
        <x:v>PENDING_SOURCE_REVIEW</x:v>
      </x:c>
      <x:c r="AM184" s="23" t="str">
        <x:v>MEDIUM</x:v>
      </x:c>
    </x:row>
  </x:sheetData>
  <x:mergeCells>
    <x:mergeCell ref="A1:AM1"/>
    <x:mergeCell ref="A2:AM2"/>
  </x:mergeCells>
  <x:conditionalFormatting sqref="L5:L184">
    <x:cfRule type="containsText" dxfId="0" priority="1" operator="containsText" text="FULLY"/>
    <x:cfRule type="containsText" dxfId="1" priority="2" operator="containsText" text="SUCCESS"/>
    <x:cfRule type="containsText" dxfId="2" priority="3" operator="containsText" text="DIRECT_HEADWORD"/>
    <x:cfRule type="containsText" dxfId="3" priority="4" operator="containsText" text="TECHNICAL_GLOSSARY"/>
    <x:cfRule type="containsText" dxfId="4" priority="5" operator="containsText" text="ZERO"/>
    <x:cfRule type="containsText" dxfId="5" priority="6" operator="containsText" text="UNRESOLVED"/>
    <x:cfRule type="containsText" dxfId="6" priority="7" operator="containsText" text="PENDING"/>
    <x:cfRule type="containsText" dxfId="7" priority="8" operator="containsText" text="NOT_EXPOSED"/>
    <x:cfRule type="containsText" dxfId="8" priority="9" operator="containsText" text="NOT_ANNOTATED"/>
    <x:cfRule type="containsText" dxfId="9" priority="10" operator="containsText" text="NOT_LOCATED"/>
    <x:cfRule type="containsText" dxfId="10" priority="11" operator="containsText" text="NOT_APPLICABLE"/>
  </x:conditionalFormatting>
  <x:conditionalFormatting sqref="N5:N184">
    <x:cfRule type="containsText" dxfId="11" priority="12" operator="containsText" text="FULLY"/>
    <x:cfRule type="containsText" dxfId="12" priority="13" operator="containsText" text="SUCCESS"/>
    <x:cfRule type="containsText" dxfId="13" priority="14" operator="containsText" text="DIRECT_HEADWORD"/>
    <x:cfRule type="containsText" dxfId="14" priority="15" operator="containsText" text="TECHNICAL_GLOSSARY"/>
    <x:cfRule type="containsText" dxfId="15" priority="16" operator="containsText" text="ZERO"/>
    <x:cfRule type="containsText" dxfId="16" priority="17" operator="containsText" text="UNRESOLVED"/>
    <x:cfRule type="containsText" dxfId="17" priority="18" operator="containsText" text="PENDING"/>
    <x:cfRule type="containsText" dxfId="18" priority="19" operator="containsText" text="NOT_EXPOSED"/>
    <x:cfRule type="containsText" dxfId="19" priority="20" operator="containsText" text="NOT_ANNOTATED"/>
    <x:cfRule type="containsText" dxfId="20" priority="21" operator="containsText" text="NOT_LOCATED"/>
    <x:cfRule type="containsText" dxfId="21" priority="22" operator="containsText" text="NOT_APPLICABLE"/>
  </x:conditionalFormatting>
  <x:conditionalFormatting sqref="V5:V184">
    <x:cfRule type="containsText" dxfId="22" priority="23" operator="containsText" text="FULLY"/>
    <x:cfRule type="containsText" dxfId="23" priority="24" operator="containsText" text="SUCCESS"/>
    <x:cfRule type="containsText" dxfId="24" priority="25" operator="containsText" text="DIRECT_HEADWORD"/>
    <x:cfRule type="containsText" dxfId="25" priority="26" operator="containsText" text="TECHNICAL_GLOSSARY"/>
    <x:cfRule type="containsText" dxfId="26" priority="27" operator="containsText" text="ZERO"/>
    <x:cfRule type="containsText" dxfId="27" priority="28" operator="containsText" text="UNRESOLVED"/>
    <x:cfRule type="containsText" dxfId="28" priority="29" operator="containsText" text="PENDING"/>
    <x:cfRule type="containsText" dxfId="29" priority="30" operator="containsText" text="NOT_EXPOSED"/>
    <x:cfRule type="containsText" dxfId="30" priority="31" operator="containsText" text="NOT_ANNOTATED"/>
    <x:cfRule type="containsText" dxfId="31" priority="32" operator="containsText" text="NOT_LOCATED"/>
    <x:cfRule type="containsText" dxfId="32" priority="33" operator="containsText" text="NOT_APPLICABLE"/>
  </x:conditionalFormatting>
  <x:conditionalFormatting sqref="Z5:Z184">
    <x:cfRule type="containsText" dxfId="33" priority="34" operator="containsText" text="FULLY"/>
    <x:cfRule type="containsText" dxfId="34" priority="35" operator="containsText" text="SUCCESS"/>
    <x:cfRule type="containsText" dxfId="35" priority="36" operator="containsText" text="DIRECT_HEADWORD"/>
    <x:cfRule type="containsText" dxfId="36" priority="37" operator="containsText" text="TECHNICAL_GLOSSARY"/>
    <x:cfRule type="containsText" dxfId="37" priority="38" operator="containsText" text="ZERO"/>
    <x:cfRule type="containsText" dxfId="38" priority="39" operator="containsText" text="UNRESOLVED"/>
    <x:cfRule type="containsText" dxfId="39" priority="40" operator="containsText" text="PENDING"/>
    <x:cfRule type="containsText" dxfId="40" priority="41" operator="containsText" text="NOT_EXPOSED"/>
    <x:cfRule type="containsText" dxfId="41" priority="42" operator="containsText" text="NOT_ANNOTATED"/>
    <x:cfRule type="containsText" dxfId="42" priority="43" operator="containsText" text="NOT_LOCATED"/>
    <x:cfRule type="containsText" dxfId="43" priority="44" operator="containsText" text="NOT_APPLICABLE"/>
  </x:conditionalFormatting>
  <x:conditionalFormatting sqref="AE5:AE184">
    <x:cfRule type="containsText" dxfId="44" priority="45" operator="containsText" text="FULLY"/>
    <x:cfRule type="containsText" dxfId="45" priority="46" operator="containsText" text="SUCCESS"/>
    <x:cfRule type="containsText" dxfId="46" priority="47" operator="containsText" text="DIRECT_HEADWORD"/>
    <x:cfRule type="containsText" dxfId="47" priority="48" operator="containsText" text="TECHNICAL_GLOSSARY"/>
    <x:cfRule type="containsText" dxfId="48" priority="49" operator="containsText" text="ZERO"/>
    <x:cfRule type="containsText" dxfId="49" priority="50" operator="containsText" text="UNRESOLVED"/>
    <x:cfRule type="containsText" dxfId="50" priority="51" operator="containsText" text="PENDING"/>
    <x:cfRule type="containsText" dxfId="51" priority="52" operator="containsText" text="NOT_EXPOSED"/>
    <x:cfRule type="containsText" dxfId="52" priority="53" operator="containsText" text="NOT_ANNOTATED"/>
    <x:cfRule type="containsText" dxfId="53" priority="54" operator="containsText" text="NOT_LOCATED"/>
    <x:cfRule type="containsText" dxfId="54" priority="55" operator="containsText" text="NOT_APPLICABLE"/>
  </x:conditionalFormatting>
  <x:conditionalFormatting sqref="AF5:AF184">
    <x:cfRule type="containsText" dxfId="55" priority="56" operator="containsText" text="FULLY"/>
    <x:cfRule type="containsText" dxfId="56" priority="57" operator="containsText" text="SUCCESS"/>
    <x:cfRule type="containsText" dxfId="57" priority="58" operator="containsText" text="DIRECT_HEADWORD"/>
    <x:cfRule type="containsText" dxfId="58" priority="59" operator="containsText" text="TECHNICAL_GLOSSARY"/>
    <x:cfRule type="containsText" dxfId="59" priority="60" operator="containsText" text="ZERO"/>
    <x:cfRule type="containsText" dxfId="60" priority="61" operator="containsText" text="UNRESOLVED"/>
    <x:cfRule type="containsText" dxfId="61" priority="62" operator="containsText" text="PENDING"/>
    <x:cfRule type="containsText" dxfId="62" priority="63" operator="containsText" text="NOT_EXPOSED"/>
    <x:cfRule type="containsText" dxfId="63" priority="64" operator="containsText" text="NOT_ANNOTATED"/>
    <x:cfRule type="containsText" dxfId="64" priority="65" operator="containsText" text="NOT_LOCATED"/>
    <x:cfRule type="containsText" dxfId="65" priority="66" operator="containsText" text="NOT_APPLICABLE"/>
  </x:conditionalFormatting>
  <x:conditionalFormatting sqref="AK5:AK184">
    <x:cfRule type="containsText" dxfId="66" priority="67" operator="containsText" text="FULLY"/>
    <x:cfRule type="containsText" dxfId="67" priority="68" operator="containsText" text="SUCCESS"/>
    <x:cfRule type="containsText" dxfId="68" priority="69" operator="containsText" text="DIRECT_HEADWORD"/>
    <x:cfRule type="containsText" dxfId="69" priority="70" operator="containsText" text="TECHNICAL_GLOSSARY"/>
    <x:cfRule type="containsText" dxfId="70" priority="71" operator="containsText" text="ZERO"/>
    <x:cfRule type="containsText" dxfId="71" priority="72" operator="containsText" text="UNRESOLVED"/>
    <x:cfRule type="containsText" dxfId="72" priority="73" operator="containsText" text="PENDING"/>
    <x:cfRule type="containsText" dxfId="73" priority="74" operator="containsText" text="NOT_EXPOSED"/>
    <x:cfRule type="containsText" dxfId="74" priority="75" operator="containsText" text="NOT_ANNOTATED"/>
    <x:cfRule type="containsText" dxfId="75" priority="76" operator="containsText" text="NOT_LOCATED"/>
    <x:cfRule type="containsText" dxfId="76" priority="77" operator="containsText" text="NOT_APPLICABLE"/>
  </x:conditionalFormatting>
  <x:conditionalFormatting sqref="AL5:AL184">
    <x:cfRule type="containsText" dxfId="77" priority="78" operator="containsText" text="FULLY"/>
    <x:cfRule type="containsText" dxfId="78" priority="79" operator="containsText" text="SUCCESS"/>
    <x:cfRule type="containsText" dxfId="79" priority="80" operator="containsText" text="DIRECT_HEADWORD"/>
    <x:cfRule type="containsText" dxfId="80" priority="81" operator="containsText" text="TECHNICAL_GLOSSARY"/>
    <x:cfRule type="containsText" dxfId="81" priority="82" operator="containsText" text="ZERO"/>
    <x:cfRule type="containsText" dxfId="82" priority="83" operator="containsText" text="UNRESOLVED"/>
    <x:cfRule type="containsText" dxfId="83" priority="84" operator="containsText" text="PENDING"/>
    <x:cfRule type="containsText" dxfId="84" priority="85" operator="containsText" text="NOT_EXPOSED"/>
    <x:cfRule type="containsText" dxfId="85" priority="86" operator="containsText" text="NOT_ANNOTATED"/>
    <x:cfRule type="containsText" dxfId="86" priority="87" operator="containsText" text="NOT_LOCATED"/>
    <x:cfRule type="containsText" dxfId="87" priority="88" operator="containsText" text="NOT_APPLICABLE"/>
  </x:conditionalFormatting>
  <x:conditionalFormatting sqref="AM5:AM184">
    <x:cfRule type="containsText" dxfId="88" priority="89" operator="containsText" text="FULLY"/>
    <x:cfRule type="containsText" dxfId="89" priority="90" operator="containsText" text="SUCCESS"/>
    <x:cfRule type="containsText" dxfId="90" priority="91" operator="containsText" text="DIRECT_HEADWORD"/>
    <x:cfRule type="containsText" dxfId="91" priority="92" operator="containsText" text="TECHNICAL_GLOSSARY"/>
    <x:cfRule type="containsText" dxfId="92" priority="93" operator="containsText" text="ZERO"/>
    <x:cfRule type="containsText" dxfId="93" priority="94" operator="containsText" text="UNRESOLVED"/>
    <x:cfRule type="containsText" dxfId="94" priority="95" operator="containsText" text="PENDING"/>
    <x:cfRule type="containsText" dxfId="95" priority="96" operator="containsText" text="NOT_EXPOSED"/>
    <x:cfRule type="containsText" dxfId="96" priority="97" operator="containsText" text="NOT_ANNOTATED"/>
    <x:cfRule type="containsText" dxfId="97" priority="98" operator="containsText" text="NOT_LOCATED"/>
    <x:cfRule type="containsText" dxfId="98" priority="99" operator="containsText" text="NOT_APPLICABLE"/>
  </x:conditionalFormatting>
  <x:pageMargins left="0.7" right="0.7" top="0.75" bottom="0.75" header="0.3" footer="0.3"/>
  <x:tableParts count="1">
    <x:tablePart xmlns:r="http://schemas.openxmlformats.org/officeDocument/2006/relationships" r:id="R38f3e97b7d864d4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26" hidden="0" customWidth="1"/>
    <x:col min="4" max="4" width="23" hidden="0" customWidth="1"/>
    <x:col min="5" max="5" width="23" hidden="0" customWidth="1"/>
    <x:col min="6" max="6" width="16" hidden="0" customWidth="1"/>
    <x:col min="7" max="7" width="23" hidden="0" customWidth="1"/>
    <x:col min="8" max="8" width="16" hidden="0" customWidth="1"/>
    <x:col min="9" max="9" width="17" hidden="0" customWidth="1"/>
    <x:col min="10" max="10" width="26" hidden="0" customWidth="1"/>
    <x:col min="11" max="11" width="16" hidden="0" customWidth="1"/>
    <x:col min="12" max="12" width="42" hidden="0" customWidth="1"/>
    <x:col min="13" max="13" width="21" hidden="0" customWidth="1"/>
    <x:col min="14" max="14" width="38" hidden="0" customWidth="1"/>
    <x:col min="15" max="15" width="42" hidden="0" customWidth="1"/>
    <x:col min="17" max="17" width="24" hidden="0" customWidth="1"/>
    <x:col min="18" max="18" width="16" hidden="0" customWidth="1"/>
    <x:col min="19" max="19" width="26" hidden="0" customWidth="1"/>
    <x:col min="20" max="20" width="26" hidden="0" customWidth="1"/>
    <x:col min="21" max="21" width="23" hidden="0" customWidth="1"/>
    <x:col min="22" max="22" width="23" hidden="0" customWidth="1"/>
    <x:col min="23" max="23" width="24" hidden="0" customWidth="1"/>
    <x:col min="24" max="24" width="42" hidden="0" customWidth="1"/>
  </x:cols>
  <x:sheetData>
    <x:row r="1" ht="38" customHeight="1">
      <x:c r="A1" s="3" t="str">
        <x:v>Ngram Coverage and Rule Reconciliation</x:v>
      </x:c>
      <x:c r="B1" s="3" t="str">
        <x:v>Ngram Coverage and Rule Reconciliation</x:v>
      </x:c>
      <x:c r="C1" s="3" t="str">
        <x:v>Ngram Coverage and Rule Reconciliation</x:v>
      </x:c>
      <x:c r="D1" s="3" t="str">
        <x:v>Ngram Coverage and Rule Reconciliation</x:v>
      </x:c>
      <x:c r="E1" s="3" t="str">
        <x:v>Ngram Coverage and Rule Reconciliation</x:v>
      </x:c>
      <x:c r="F1" s="3" t="str">
        <x:v>Ngram Coverage and Rule Reconciliation</x:v>
      </x:c>
      <x:c r="G1" s="3" t="str">
        <x:v>Ngram Coverage and Rule Reconciliation</x:v>
      </x:c>
      <x:c r="H1" s="3" t="str">
        <x:v>Ngram Coverage and Rule Reconciliation</x:v>
      </x:c>
      <x:c r="I1" s="3" t="str">
        <x:v>Ngram Coverage and Rule Reconciliation</x:v>
      </x:c>
      <x:c r="J1" s="3" t="str">
        <x:v>Ngram Coverage and Rule Reconciliation</x:v>
      </x:c>
      <x:c r="K1" s="3" t="str">
        <x:v>Ngram Coverage and Rule Reconciliation</x:v>
      </x:c>
      <x:c r="L1" s="3" t="str">
        <x:v>Ngram Coverage and Rule Reconciliation</x:v>
      </x:c>
      <x:c r="M1" s="3" t="str">
        <x:v>Ngram Coverage and Rule Reconciliation</x:v>
      </x:c>
      <x:c r="N1" s="3" t="str">
        <x:v>Ngram Coverage and Rule Reconciliation</x:v>
      </x:c>
      <x:c r="O1" s="3" t="str">
        <x:v>Ngram Coverage and Rule Reconciliation</x:v>
      </x:c>
      <x:c r="Q1" s="49" t="str">
        <x:v>Priority candidate mapping exceptions</x:v>
      </x:c>
      <x:c r="R1" s="49" t="str">
        <x:v>Priority candidate mapping exceptions</x:v>
      </x:c>
      <x:c r="S1" s="49" t="str">
        <x:v>Priority candidate mapping exceptions</x:v>
      </x:c>
      <x:c r="T1" s="49" t="str">
        <x:v>Priority candidate mapping exceptions</x:v>
      </x:c>
      <x:c r="U1" s="49" t="str">
        <x:v>Priority candidate mapping exceptions</x:v>
      </x:c>
      <x:c r="V1" s="49" t="str">
        <x:v>Priority candidate mapping exceptions</x:v>
      </x:c>
      <x:c r="W1" s="49" t="str">
        <x:v>Priority candidate mapping exceptions</x:v>
      </x:c>
      <x:c r="X1" s="49" t="str">
        <x:v>Priority candidate mapping exceptions</x:v>
      </x:c>
    </x:row>
    <x:row r="2" ht="31" customHeight="1">
      <x:c r="A2" s="7" t="str">
        <x:v>All 143 provisional query rules are retained: 132 successful non-zero series, 6 zero results and 5 technically incompatible rules. NGRAM_UNEXPLAINED = 0. Observation Count is numeric and formula-summed in Summary.</x:v>
      </x:c>
      <x:c r="B2" s="7" t="str">
        <x:v>All 143 provisional query rules are retained: 132 successful non-zero series, 6 zero results and 5 technically incompatible rules. NGRAM_UNEXPLAINED = 0. Observation Count is numeric and formula-summed in Summary.</x:v>
      </x:c>
      <x:c r="C2" s="7" t="str">
        <x:v>All 143 provisional query rules are retained: 132 successful non-zero series, 6 zero results and 5 technically incompatible rules. NGRAM_UNEXPLAINED = 0. Observation Count is numeric and formula-summed in Summary.</x:v>
      </x:c>
      <x:c r="D2" s="7" t="str">
        <x:v>All 143 provisional query rules are retained: 132 successful non-zero series, 6 zero results and 5 technically incompatible rules. NGRAM_UNEXPLAINED = 0. Observation Count is numeric and formula-summed in Summary.</x:v>
      </x:c>
      <x:c r="E2" s="7" t="str">
        <x:v>All 143 provisional query rules are retained: 132 successful non-zero series, 6 zero results and 5 technically incompatible rules. NGRAM_UNEXPLAINED = 0. Observation Count is numeric and formula-summed in Summary.</x:v>
      </x:c>
      <x:c r="F2" s="7" t="str">
        <x:v>All 143 provisional query rules are retained: 132 successful non-zero series, 6 zero results and 5 technically incompatible rules. NGRAM_UNEXPLAINED = 0. Observation Count is numeric and formula-summed in Summary.</x:v>
      </x:c>
      <x:c r="G2" s="7" t="str">
        <x:v>All 143 provisional query rules are retained: 132 successful non-zero series, 6 zero results and 5 technically incompatible rules. NGRAM_UNEXPLAINED = 0. Observation Count is numeric and formula-summed in Summary.</x:v>
      </x:c>
      <x:c r="H2" s="7" t="str">
        <x:v>All 143 provisional query rules are retained: 132 successful non-zero series, 6 zero results and 5 technically incompatible rules. NGRAM_UNEXPLAINED = 0. Observation Count is numeric and formula-summed in Summary.</x:v>
      </x:c>
      <x:c r="I2" s="7" t="str">
        <x:v>All 143 provisional query rules are retained: 132 successful non-zero series, 6 zero results and 5 technically incompatible rules. NGRAM_UNEXPLAINED = 0. Observation Count is numeric and formula-summed in Summary.</x:v>
      </x:c>
      <x:c r="J2" s="7" t="str">
        <x:v>All 143 provisional query rules are retained: 132 successful non-zero series, 6 zero results and 5 technically incompatible rules. NGRAM_UNEXPLAINED = 0. Observation Count is numeric and formula-summed in Summary.</x:v>
      </x:c>
      <x:c r="K2" s="7" t="str">
        <x:v>All 143 provisional query rules are retained: 132 successful non-zero series, 6 zero results and 5 technically incompatible rules. NGRAM_UNEXPLAINED = 0. Observation Count is numeric and formula-summed in Summary.</x:v>
      </x:c>
      <x:c r="L2" s="7" t="str">
        <x:v>All 143 provisional query rules are retained: 132 successful non-zero series, 6 zero results and 5 technically incompatible rules. NGRAM_UNEXPLAINED = 0. Observation Count is numeric and formula-summed in Summary.</x:v>
      </x:c>
      <x:c r="M2" s="7" t="str">
        <x:v>All 143 provisional query rules are retained: 132 successful non-zero series, 6 zero results and 5 technically incompatible rules. NGRAM_UNEXPLAINED = 0. Observation Count is numeric and formula-summed in Summary.</x:v>
      </x:c>
      <x:c r="N2" s="7" t="str">
        <x:v>All 143 provisional query rules are retained: 132 successful non-zero series, 6 zero results and 5 technically incompatible rules. NGRAM_UNEXPLAINED = 0. Observation Count is numeric and formula-summed in Summary.</x:v>
      </x:c>
      <x:c r="O2" s="7" t="str">
        <x:v>All 143 provisional query rules are retained: 132 successful non-zero series, 6 zero results and 5 technically incompatible rules. NGRAM_UNEXPLAINED = 0. Observation Count is numeric and formula-summed in Summary.</x:v>
      </x:c>
      <x:c r="Q2" s="52" t="str">
        <x:v>Two normalized variants, three validated aliases and one technically unrepresentable Priority Candidate; each remains visible below.</x:v>
      </x:c>
      <x:c r="R2" s="52" t="str">
        <x:v>Two normalized variants, three validated aliases and one technically unrepresentable Priority Candidate; each remains visible below.</x:v>
      </x:c>
      <x:c r="S2" s="52" t="str">
        <x:v>Two normalized variants, three validated aliases and one technically unrepresentable Priority Candidate; each remains visible below.</x:v>
      </x:c>
      <x:c r="T2" s="52" t="str">
        <x:v>Two normalized variants, three validated aliases and one technically unrepresentable Priority Candidate; each remains visible below.</x:v>
      </x:c>
      <x:c r="U2" s="52" t="str">
        <x:v>Two normalized variants, three validated aliases and one technically unrepresentable Priority Candidate; each remains visible below.</x:v>
      </x:c>
      <x:c r="V2" s="52" t="str">
        <x:v>Two normalized variants, three validated aliases and one technically unrepresentable Priority Candidate; each remains visible below.</x:v>
      </x:c>
      <x:c r="W2" s="52" t="str">
        <x:v>Two normalized variants, three validated aliases and one technically unrepresentable Priority Candidate; each remains visible below.</x:v>
      </x:c>
      <x:c r="X2" s="52" t="str">
        <x:v>Two normalized variants, three validated aliases and one technically unrepresentable Priority Candidate; each remains visible below.</x:v>
      </x:c>
    </x:row>
    <x:row r="4" ht="42" customHeight="1">
      <x:c r="A4" s="14" t="str">
        <x:v>Query ID</x:v>
      </x:c>
      <x:c r="B4" s="14" t="str">
        <x:v>Anchor</x:v>
      </x:c>
      <x:c r="C4" s="14" t="str">
        <x:v>Surface Form</x:v>
      </x:c>
      <x:c r="D4" s="14" t="str">
        <x:v>Classification</x:v>
      </x:c>
      <x:c r="E4" s="14" t="str">
        <x:v>Compatibility Status</x:v>
      </x:c>
      <x:c r="F4" s="14" t="str">
        <x:v>Execution Eligible</x:v>
      </x:c>
      <x:c r="G4" s="14" t="str">
        <x:v>Execution Status</x:v>
      </x:c>
      <x:c r="H4" s="14" t="str">
        <x:v>Accounting State</x:v>
      </x:c>
      <x:c r="I4" s="14" t="str">
        <x:v>Observation Count</x:v>
      </x:c>
      <x:c r="J4" s="14" t="str">
        <x:v>Request Surface Form</x:v>
      </x:c>
      <x:c r="K4" s="14" t="str">
        <x:v>First Response Ngram</x:v>
      </x:c>
      <x:c r="L4" s="14" t="str">
        <x:v>Reason / Error</x:v>
      </x:c>
      <x:c r="M4" s="14" t="str">
        <x:v>Retrieved At</x:v>
      </x:c>
      <x:c r="N4" s="14" t="str">
        <x:v>Raw Response Path</x:v>
      </x:c>
      <x:c r="O4" s="14" t="str">
        <x:v>Provenance Status</x:v>
      </x:c>
      <x:c r="Q4" s="54" t="str">
        <x:v>Candidate ID</x:v>
      </x:c>
      <x:c r="R4" s="54" t="str">
        <x:v>Anchor</x:v>
      </x:c>
      <x:c r="S4" s="54" t="str">
        <x:v>Surface Form</x:v>
      </x:c>
      <x:c r="T4" s="54" t="str">
        <x:v>Measurement Form</x:v>
      </x:c>
      <x:c r="U4" s="54" t="str">
        <x:v>Mapping Type</x:v>
      </x:c>
      <x:c r="V4" s="54" t="str">
        <x:v>Ngram Status</x:v>
      </x:c>
      <x:c r="W4" s="54" t="str">
        <x:v>Query ID</x:v>
      </x:c>
      <x:c r="X4" s="54" t="str">
        <x:v>Note</x:v>
      </x:c>
    </x:row>
    <x:row r="5" ht="27" customHeight="1">
      <x:c r="A5" s="24" t="str">
        <x:v>FT-Q-V01-001</x:v>
      </x:c>
      <x:c r="B5" s="16" t="str">
        <x:v>1842</x:v>
      </x:c>
      <x:c r="C5" s="30" t="str">
        <x:v>temperature</x:v>
      </x:c>
      <x:c r="D5" s="30" t="str">
        <x:v>BACKGROUND_AMBIGUOUS</x:v>
      </x:c>
      <x:c r="E5" s="30" t="str">
        <x:v>COMPATIBLE</x:v>
      </x:c>
      <x:c r="F5" s="39" t="b">
        <x:v>1</x:v>
      </x:c>
      <x:c r="G5" s="30" t="str">
        <x:v>SUCCEEDED</x:v>
      </x:c>
      <x:c r="H5" s="16" t="str">
        <x:v>SUCCESS_NONZERO</x:v>
      </x:c>
      <x:c r="I5" s="27" t="n">
        <x:v>181</x:v>
      </x:c>
      <x:c r="J5" s="30" t="str">
        <x:v>temperature</x:v>
      </x:c>
      <x:c r="K5" s="16" t="str">
        <x:v>temperature (All)</x:v>
      </x:c>
      <x:c r="L5" s="30" t="str">
        <x:v>Compatible exact string/phrase for unsmoothed public Ngram retrieval (current interface supports up to seven words).</x:v>
      </x:c>
      <x:c r="M5" s="42" t="n">
        <x:v>46260.106770833336</x:v>
      </x:c>
      <x:c r="N5" s="30" t="str">
        <x:v>data/fear-temperature/ngram/raw/179a52b9336531c34b94ed0259d967ff017a402a8b91c8b496d5e31653598f08.json</x:v>
      </x:c>
      <x:c r="O5" s="45" t="str">
        <x:v>RECONSTRUCTED_FROM_REPORT</x:v>
      </x:c>
      <x:c r="Q5" s="55" t="str">
        <x:v>FT-SEED-R1B-P-1938-22</x:v>
      </x:c>
      <x:c r="R5" t="str">
        <x:v>1938</x:v>
      </x:c>
      <x:c r="S5" s="55" t="str">
        <x:v>40-degree temperatures</x:v>
      </x:c>
      <x:c r="T5" s="55" t="str">
        <x:v>40 degree temperatures</x:v>
      </x:c>
      <x:c r="U5" s="55" t="str">
        <x:v>NORMALIZED_VARIANT</x:v>
      </x:c>
      <x:c r="V5" s="55" t="str">
        <x:v>SUCCEEDED_NEW</x:v>
      </x:c>
      <x:c r="W5" s="55" t="str">
        <x:v>FT-Q-P180-C1E5FFD153A9</x:v>
      </x:c>
      <x:c r="X5" s="55" t="str">
        <x:v>Hyphenation is normalized; lexical content and temperature sense are unchanged. New unsmoothed 1842–2022 series retrieved for the candidate audit.</x:v>
      </x:c>
    </x:row>
    <x:row r="6" ht="27" customHeight="1">
      <x:c r="A6" s="25" t="str">
        <x:v>FT-Q-V01-002</x:v>
      </x:c>
      <x:c r="B6" s="19" t="str">
        <x:v>1842</x:v>
      </x:c>
      <x:c r="C6" s="31" t="str">
        <x:v>mean temperature</x:v>
      </x:c>
      <x:c r="D6" s="31" t="str">
        <x:v>EXECUTABLE_NGRAM</x:v>
      </x:c>
      <x:c r="E6" s="31" t="str">
        <x:v>COMPATIBLE</x:v>
      </x:c>
      <x:c r="F6" s="40" t="b">
        <x:v>1</x:v>
      </x:c>
      <x:c r="G6" s="31" t="str">
        <x:v>SUCCEEDED</x:v>
      </x:c>
      <x:c r="H6" s="19" t="str">
        <x:v>SUCCESS_NONZERO</x:v>
      </x:c>
      <x:c r="I6" s="28" t="n">
        <x:v>181</x:v>
      </x:c>
      <x:c r="J6" s="31" t="str">
        <x:v>mean temperature</x:v>
      </x:c>
      <x:c r="K6" s="19" t="str">
        <x:v>mean temperature (All)</x:v>
      </x:c>
      <x:c r="L6" s="31" t="str">
        <x:v>Compatible exact string/phrase for unsmoothed public Ngram retrieval (current interface supports up to seven words).</x:v>
      </x:c>
      <x:c r="M6" s="43" t="n">
        <x:v>46260.106782407405</x:v>
      </x:c>
      <x:c r="N6" s="31" t="str">
        <x:v>data/fear-temperature/ngram/raw/264e2d12fe20c5aa6284ae43253eabc03ec9e11aa2056afde9e77d33d8e97530.json</x:v>
      </x:c>
      <x:c r="O6" s="46" t="str">
        <x:v>RECONSTRUCTED_FROM_REPORT</x:v>
      </x:c>
      <x:c r="Q6" s="55" t="str">
        <x:v>FT-SEED-R1B-P-1988-10</x:v>
      </x:c>
      <x:c r="R6" t="str">
        <x:v>1988</x:v>
      </x:c>
      <x:c r="S6" s="55" t="str">
        <x:v>heat wave/drought occurrences</x:v>
      </x:c>
      <x:c r="T6" s="55" t="str">
        <x:v>NOT_APPLICABLE</x:v>
      </x:c>
      <x:c r="U6" s="55" t="str">
        <x:v>TECHNICALLY_UNREPRESENTABLE</x:v>
      </x:c>
      <x:c r="V6" s="55" t="str">
        <x:v>TECHNICALLY_UNREPRESENTABLE</x:v>
      </x:c>
      <x:c r="W6" s="55" t="str">
        <x:v>FT-Q-V01-050</x:v>
      </x:c>
      <x:c r="X6" s="55" t="str">
        <x:v>The slash coordinates two lexical objects; one linear Ngram would change the candidate's structure and sense.</x:v>
      </x:c>
    </x:row>
    <x:row r="7" ht="27" customHeight="1">
      <x:c r="A7" s="25" t="str">
        <x:v>FT-Q-V01-003</x:v>
      </x:c>
      <x:c r="B7" s="19" t="str">
        <x:v>1842</x:v>
      </x:c>
      <x:c r="C7" s="31" t="str">
        <x:v>temperature of the air in shade</x:v>
      </x:c>
      <x:c r="D7" s="31" t="str">
        <x:v>EXECUTABLE_NGRAM</x:v>
      </x:c>
      <x:c r="E7" s="31" t="str">
        <x:v>COMPATIBLE</x:v>
      </x:c>
      <x:c r="F7" s="40" t="b">
        <x:v>1</x:v>
      </x:c>
      <x:c r="G7" s="31" t="str">
        <x:v>SUCCEEDED</x:v>
      </x:c>
      <x:c r="H7" s="19" t="str">
        <x:v>SUCCESS_NONZERO</x:v>
      </x:c>
      <x:c r="I7" s="28" t="n">
        <x:v>181</x:v>
      </x:c>
      <x:c r="J7" s="31" t="str">
        <x:v>temperature of the air in shade</x:v>
      </x:c>
      <x:c r="K7" s="19" t="str">
        <x:v>temperature of the air in shade</x:v>
      </x:c>
      <x:c r="L7" s="31" t="str">
        <x:v>Compatible exact string/phrase for unsmoothed public Ngram retrieval (current interface supports up to seven words).</x:v>
      </x:c>
      <x:c r="M7" s="43" t="n">
        <x:v>46260.10679398148</x:v>
      </x:c>
      <x:c r="N7" s="31" t="str">
        <x:v>data/fear-temperature/ngram/raw/1524427f0c535f347e97e3332fb50571eca9bae9e865c6017848e2e009d95b39.json</x:v>
      </x:c>
      <x:c r="O7" s="46" t="str">
        <x:v>RECONSTRUCTED_FROM_REPORT</x:v>
      </x:c>
      <x:c r="Q7" s="55" t="str">
        <x:v>FT-SEED-R1B-P-0607-08</x:v>
      </x:c>
      <x:c r="R7" t="str">
        <x:v>2006–2007</x:v>
      </x:c>
      <x:c r="S7" s="55" t="str">
        <x:v>anthropogenic CO₂</x:v>
      </x:c>
      <x:c r="T7" s="55" t="str">
        <x:v>anthropogenic carbon dioxide</x:v>
      </x:c>
      <x:c r="U7" s="55" t="str">
        <x:v>VALIDATED_ALIAS</x:v>
      </x:c>
      <x:c r="V7" s="55" t="str">
        <x:v>SUCCEEDED_NEW</x:v>
      </x:c>
      <x:c r="W7" s="55" t="str">
        <x:v>FT-Q-V01-068</x:v>
      </x:c>
      <x:c r="X7" s="55" t="str">
        <x:v>CO₂ is expanded to its standard full lexical form; referent and historical sense are unchanged. New unsmoothed 1842–2022 series retrieved for the candidate audit.</x:v>
      </x:c>
    </x:row>
    <x:row r="8" ht="27" customHeight="1">
      <x:c r="A8" s="25" t="str">
        <x:v>FT-Q-V01-004</x:v>
      </x:c>
      <x:c r="B8" s="19" t="str">
        <x:v>1842</x:v>
      </x:c>
      <x:c r="C8" s="31" t="str">
        <x:v>maximum temperature</x:v>
      </x:c>
      <x:c r="D8" s="31" t="str">
        <x:v>EXECUTABLE_NGRAM</x:v>
      </x:c>
      <x:c r="E8" s="31" t="str">
        <x:v>COMPATIBLE</x:v>
      </x:c>
      <x:c r="F8" s="40" t="b">
        <x:v>1</x:v>
      </x:c>
      <x:c r="G8" s="31" t="str">
        <x:v>SUCCEEDED</x:v>
      </x:c>
      <x:c r="H8" s="19" t="str">
        <x:v>SUCCESS_NONZERO</x:v>
      </x:c>
      <x:c r="I8" s="28" t="n">
        <x:v>181</x:v>
      </x:c>
      <x:c r="J8" s="31" t="str">
        <x:v>maximum temperature</x:v>
      </x:c>
      <x:c r="K8" s="19" t="str">
        <x:v>maximum temperature (All)</x:v>
      </x:c>
      <x:c r="L8" s="31" t="str">
        <x:v>Compatible exact string/phrase for unsmoothed public Ngram retrieval (current interface supports up to seven words).</x:v>
      </x:c>
      <x:c r="M8" s="43" t="n">
        <x:v>46260.10680555556</x:v>
      </x:c>
      <x:c r="N8" s="31" t="str">
        <x:v>data/fear-temperature/ngram/raw/9ef1e684d6470a99165d520c50c1782090e9e2db528fdf5e71f55f8f1d4f7ce2.json</x:v>
      </x:c>
      <x:c r="O8" s="46" t="str">
        <x:v>RECONSTRUCTED_FROM_REPORT</x:v>
      </x:c>
      <x:c r="Q8" s="55" t="str">
        <x:v>FT-SEED-R1B-P-0607-21</x:v>
      </x:c>
      <x:c r="R8" t="str">
        <x:v>2006–2007</x:v>
      </x:c>
      <x:c r="S8" s="55" t="str">
        <x:v>Be Worried. Be Very Worried.</x:v>
      </x:c>
      <x:c r="T8" s="55" t="str">
        <x:v>be worried be very worried</x:v>
      </x:c>
      <x:c r="U8" s="55" t="str">
        <x:v>NORMALIZED_VARIANT</x:v>
      </x:c>
      <x:c r="V8" s="55" t="str">
        <x:v>ZERO_RESPONSE_NEW</x:v>
      </x:c>
      <x:c r="W8" s="55" t="str">
        <x:v>FT-Q-V01-141</x:v>
      </x:c>
      <x:c r="X8" s="55" t="str">
        <x:v>Sentence punctuation and capitalization are removed while the complete wording is preserved. The public Ngram endpoint returned an empty list; retained without fabricating annual zero frequencies.</x:v>
      </x:c>
    </x:row>
    <x:row r="9" ht="27" customHeight="1">
      <x:c r="A9" s="25" t="str">
        <x:v>FT-Q-V01-005</x:v>
      </x:c>
      <x:c r="B9" s="19" t="str">
        <x:v>1842</x:v>
      </x:c>
      <x:c r="C9" s="31" t="str">
        <x:v>minimum temperature</x:v>
      </x:c>
      <x:c r="D9" s="31" t="str">
        <x:v>EXECUTABLE_NGRAM</x:v>
      </x:c>
      <x:c r="E9" s="31" t="str">
        <x:v>COMPATIBLE</x:v>
      </x:c>
      <x:c r="F9" s="40" t="b">
        <x:v>1</x:v>
      </x:c>
      <x:c r="G9" s="31" t="str">
        <x:v>SUCCEEDED</x:v>
      </x:c>
      <x:c r="H9" s="19" t="str">
        <x:v>SUCCESS_NONZERO</x:v>
      </x:c>
      <x:c r="I9" s="28" t="n">
        <x:v>181</x:v>
      </x:c>
      <x:c r="J9" s="31" t="str">
        <x:v>minimum temperature</x:v>
      </x:c>
      <x:c r="K9" s="19" t="str">
        <x:v>minimum temperature (All)</x:v>
      </x:c>
      <x:c r="L9" s="31" t="str">
        <x:v>Compatible exact string/phrase for unsmoothed public Ngram retrieval (current interface supports up to seven words).</x:v>
      </x:c>
      <x:c r="M9" s="43" t="n">
        <x:v>46260.10681712963</x:v>
      </x:c>
      <x:c r="N9" s="31" t="str">
        <x:v>data/fear-temperature/ngram/raw/f32958ead9a4b7905bc78d007acd99b3363766a0ba25f1c363d262f5614f0be2.json</x:v>
      </x:c>
      <x:c r="O9" s="46" t="str">
        <x:v>RECONSTRUCTED_FROM_REPORT</x:v>
      </x:c>
      <x:c r="Q9" s="55" t="str">
        <x:v>FT-SEED-R1B-P-2015-04</x:v>
      </x:c>
      <x:c r="R9" t="str">
        <x:v>2015</x:v>
      </x:c>
      <x:c r="S9" s="55" t="str">
        <x:v>well below 2°C above pre-industrial levels</x:v>
      </x:c>
      <x:c r="T9" s="55" t="str">
        <x:v>well below two degrees above pre-industrial levels</x:v>
      </x:c>
      <x:c r="U9" s="55" t="str">
        <x:v>VALIDATED_ALIAS</x:v>
      </x:c>
      <x:c r="V9" s="55" t="str">
        <x:v>ZERO_RESPONSE_NEW</x:v>
      </x:c>
      <x:c r="W9" s="55" t="str">
        <x:v>FT-Q-V01-084</x:v>
      </x:c>
      <x:c r="X9" s="55" t="str">
        <x:v>The symbolic temperature is verbalized for the Ngram interface without changing the treaty threshold relation. The public Ngram endpoint returned an empty list; retained without fabricating annual zero frequencies.</x:v>
      </x:c>
    </x:row>
    <x:row r="10" ht="27" customHeight="1">
      <x:c r="A10" s="25" t="str">
        <x:v>FT-Q-V01-006</x:v>
      </x:c>
      <x:c r="B10" s="19" t="str">
        <x:v>1842</x:v>
      </x:c>
      <x:c r="C10" s="31" t="str">
        <x:v>mean temperature of sea at surface</x:v>
      </x:c>
      <x:c r="D10" s="31" t="str">
        <x:v>EXECUTABLE_NGRAM</x:v>
      </x:c>
      <x:c r="E10" s="31" t="str">
        <x:v>COMPATIBLE</x:v>
      </x:c>
      <x:c r="F10" s="40" t="b">
        <x:v>1</x:v>
      </x:c>
      <x:c r="G10" s="31" t="str">
        <x:v>ZERO_RESULT</x:v>
      </x:c>
      <x:c r="H10" s="19" t="str">
        <x:v>ZERO_RESULT</x:v>
      </x:c>
      <x:c r="I10" s="28" t="n">
        <x:v>0</x:v>
      </x:c>
      <x:c r="J10" s="31" t="str">
        <x:v>mean temperature of sea at surface</x:v>
      </x:c>
      <x:c r="K10" s="19" t="str">
        <x:v>NOT_APPLICABLE</x:v>
      </x:c>
      <x:c r="L10" s="31" t="str">
        <x:v>Compatible exact string/phrase for unsmoothed public Ngram retrieval (current interface supports up to seven words).</x:v>
      </x:c>
      <x:c r="M10" s="43" t="n">
        <x:v>46260.10681712963</x:v>
      </x:c>
      <x:c r="N10" s="31" t="str">
        <x:v>data/fear-temperature/ngram/raw/3821c7b527e63ea16225f9ddeb9ceaf467e51e1486c0c84fca0bc5502dcf20d4.json</x:v>
      </x:c>
      <x:c r="O10" s="46" t="str">
        <x:v>RECONSTRUCTED_FROM_REPORT</x:v>
      </x:c>
      <x:c r="Q10" s="55" t="str">
        <x:v>FT-SEED-R1B-P-2015-05</x:v>
      </x:c>
      <x:c r="R10" t="str">
        <x:v>2015</x:v>
      </x:c>
      <x:c r="S10" s="55" t="str">
        <x:v>1.5°C above pre-industrial levels</x:v>
      </x:c>
      <x:c r="T10" s="55" t="str">
        <x:v>one point five degrees above pre-industrial levels</x:v>
      </x:c>
      <x:c r="U10" s="55" t="str">
        <x:v>VALIDATED_ALIAS</x:v>
      </x:c>
      <x:c r="V10" s="55" t="str">
        <x:v>ZERO_RESPONSE_NEW</x:v>
      </x:c>
      <x:c r="W10" s="55" t="str">
        <x:v>FT-Q-V01-085</x:v>
      </x:c>
      <x:c r="X10" s="55" t="str">
        <x:v>The decimal degree notation is verbalized for the Ngram interface without changing the treaty threshold relation. The public Ngram endpoint returned an empty list; retained without fabricating annual zero frequencies.</x:v>
      </x:c>
    </x:row>
    <x:row r="11" ht="27" customHeight="1">
      <x:c r="A11" s="25" t="str">
        <x:v>FT-Q-V01-007</x:v>
      </x:c>
      <x:c r="B11" s="19" t="str">
        <x:v>1842</x:v>
      </x:c>
      <x:c r="C11" s="31" t="str">
        <x:v>dew point</x:v>
      </x:c>
      <x:c r="D11" s="31" t="str">
        <x:v>EXECUTABLE_NGRAM</x:v>
      </x:c>
      <x:c r="E11" s="31" t="str">
        <x:v>COMPATIBLE</x:v>
      </x:c>
      <x:c r="F11" s="40" t="b">
        <x:v>1</x:v>
      </x:c>
      <x:c r="G11" s="31" t="str">
        <x:v>SUCCEEDED</x:v>
      </x:c>
      <x:c r="H11" s="19" t="str">
        <x:v>SUCCESS_NONZERO</x:v>
      </x:c>
      <x:c r="I11" s="28" t="n">
        <x:v>181</x:v>
      </x:c>
      <x:c r="J11" s="31" t="str">
        <x:v>dew point</x:v>
      </x:c>
      <x:c r="K11" s="19" t="str">
        <x:v>dew point (All)</x:v>
      </x:c>
      <x:c r="L11" s="31" t="str">
        <x:v>Compatible exact string/phrase for unsmoothed public Ngram retrieval (current interface supports up to seven words).</x:v>
      </x:c>
      <x:c r="M11" s="43" t="n">
        <x:v>46260.106828703705</x:v>
      </x:c>
      <x:c r="N11" s="31" t="str">
        <x:v>data/fear-temperature/ngram/raw/4898435e13db75c393f88431adaa7c57e859e86e427c2a0c7f85ffed43c9489d.json</x:v>
      </x:c>
      <x:c r="O11" s="46" t="str">
        <x:v>RECONSTRUCTED_FROM_REPORT</x:v>
      </x:c>
    </x:row>
    <x:row r="12" ht="27" customHeight="1">
      <x:c r="A12" s="25" t="str">
        <x:v>FT-Q-V01-008</x:v>
      </x:c>
      <x:c r="B12" s="19" t="str">
        <x:v>1842</x:v>
      </x:c>
      <x:c r="C12" s="31" t="str">
        <x:v>standard thermometer</x:v>
      </x:c>
      <x:c r="D12" s="31" t="str">
        <x:v>EXECUTABLE_NGRAM</x:v>
      </x:c>
      <x:c r="E12" s="31" t="str">
        <x:v>COMPATIBLE</x:v>
      </x:c>
      <x:c r="F12" s="40" t="b">
        <x:v>1</x:v>
      </x:c>
      <x:c r="G12" s="31" t="str">
        <x:v>SUCCEEDED</x:v>
      </x:c>
      <x:c r="H12" s="19" t="str">
        <x:v>SUCCESS_NONZERO</x:v>
      </x:c>
      <x:c r="I12" s="28" t="n">
        <x:v>181</x:v>
      </x:c>
      <x:c r="J12" s="31" t="str">
        <x:v>standard thermometer</x:v>
      </x:c>
      <x:c r="K12" s="19" t="str">
        <x:v>standard thermometer (All)</x:v>
      </x:c>
      <x:c r="L12" s="31" t="str">
        <x:v>Compatible exact string/phrase for unsmoothed public Ngram retrieval (current interface supports up to seven words).</x:v>
      </x:c>
      <x:c r="M12" s="43" t="n">
        <x:v>46260.106840277775</x:v>
      </x:c>
      <x:c r="N12" s="31" t="str">
        <x:v>data/fear-temperature/ngram/raw/1b5489f7c11dc47a84c822f25bba9106c5bb57ed260344f09cccb40c2a47e5ab.json</x:v>
      </x:c>
      <x:c r="O12" s="46" t="str">
        <x:v>RECONSTRUCTED_FROM_REPORT</x:v>
      </x:c>
    </x:row>
    <x:row r="13" ht="27" customHeight="1">
      <x:c r="A13" s="25" t="str">
        <x:v>FT-Q-V01-009</x:v>
      </x:c>
      <x:c r="B13" s="19" t="str">
        <x:v>1842</x:v>
      </x:c>
      <x:c r="C13" s="31" t="str">
        <x:v>attached thermometer</x:v>
      </x:c>
      <x:c r="D13" s="31" t="str">
        <x:v>EXECUTABLE_NGRAM</x:v>
      </x:c>
      <x:c r="E13" s="31" t="str">
        <x:v>COMPATIBLE</x:v>
      </x:c>
      <x:c r="F13" s="40" t="b">
        <x:v>1</x:v>
      </x:c>
      <x:c r="G13" s="31" t="str">
        <x:v>SUCCEEDED</x:v>
      </x:c>
      <x:c r="H13" s="19" t="str">
        <x:v>SUCCESS_NONZERO</x:v>
      </x:c>
      <x:c r="I13" s="28" t="n">
        <x:v>181</x:v>
      </x:c>
      <x:c r="J13" s="31" t="str">
        <x:v>attached thermometer</x:v>
      </x:c>
      <x:c r="K13" s="19" t="str">
        <x:v>attached thermometer (All)</x:v>
      </x:c>
      <x:c r="L13" s="31" t="str">
        <x:v>Compatible exact string/phrase for unsmoothed public Ngram retrieval (current interface supports up to seven words).</x:v>
      </x:c>
      <x:c r="M13" s="43" t="n">
        <x:v>46260.10685185185</x:v>
      </x:c>
      <x:c r="N13" s="31" t="str">
        <x:v>data/fear-temperature/ngram/raw/6a0588ceb7b0cd726403d59e6ae13eb6618e91f3b5f21baa3ed0fa972b12fdf6.json</x:v>
      </x:c>
      <x:c r="O13" s="46" t="str">
        <x:v>RECONSTRUCTED_FROM_REPORT</x:v>
      </x:c>
    </x:row>
    <x:row r="14" ht="27" customHeight="1">
      <x:c r="A14" s="25" t="str">
        <x:v>FT-Q-V01-010</x:v>
      </x:c>
      <x:c r="B14" s="19" t="str">
        <x:v>1842</x:v>
      </x:c>
      <x:c r="C14" s="31" t="str">
        <x:v>dry bulb thermometer</x:v>
      </x:c>
      <x:c r="D14" s="31" t="str">
        <x:v>EXECUTABLE_NGRAM</x:v>
      </x:c>
      <x:c r="E14" s="31" t="str">
        <x:v>COMPATIBLE</x:v>
      </x:c>
      <x:c r="F14" s="40" t="b">
        <x:v>1</x:v>
      </x:c>
      <x:c r="G14" s="31" t="str">
        <x:v>SUCCEEDED</x:v>
      </x:c>
      <x:c r="H14" s="19" t="str">
        <x:v>SUCCESS_NONZERO</x:v>
      </x:c>
      <x:c r="I14" s="28" t="n">
        <x:v>181</x:v>
      </x:c>
      <x:c r="J14" s="31" t="str">
        <x:v>dry bulb thermometer</x:v>
      </x:c>
      <x:c r="K14" s="19" t="str">
        <x:v>dry bulb thermometer (All)</x:v>
      </x:c>
      <x:c r="L14" s="31" t="str">
        <x:v>Compatible exact string/phrase for unsmoothed public Ngram retrieval (current interface supports up to seven words).</x:v>
      </x:c>
      <x:c r="M14" s="43" t="n">
        <x:v>46260.10686342593</x:v>
      </x:c>
      <x:c r="N14" s="31" t="str">
        <x:v>data/fear-temperature/ngram/raw/ccf7b062d1c1fa3d9074e3f27879fdf37eb632c5d285dd90fa3bbaaeca5e0586.json</x:v>
      </x:c>
      <x:c r="O14" s="46" t="str">
        <x:v>RECONSTRUCTED_FROM_REPORT</x:v>
      </x:c>
    </x:row>
    <x:row r="15" ht="27" customHeight="1">
      <x:c r="A15" s="25" t="str">
        <x:v>FT-Q-V01-011</x:v>
      </x:c>
      <x:c r="B15" s="19" t="str">
        <x:v>1842</x:v>
      </x:c>
      <x:c r="C15" s="31" t="str">
        <x:v>wet bulb thermometer</x:v>
      </x:c>
      <x:c r="D15" s="31" t="str">
        <x:v>EXECUTABLE_NGRAM</x:v>
      </x:c>
      <x:c r="E15" s="31" t="str">
        <x:v>COMPATIBLE</x:v>
      </x:c>
      <x:c r="F15" s="40" t="b">
        <x:v>1</x:v>
      </x:c>
      <x:c r="G15" s="31" t="str">
        <x:v>SUCCEEDED</x:v>
      </x:c>
      <x:c r="H15" s="19" t="str">
        <x:v>SUCCESS_NONZERO</x:v>
      </x:c>
      <x:c r="I15" s="28" t="n">
        <x:v>181</x:v>
      </x:c>
      <x:c r="J15" s="31" t="str">
        <x:v>wet bulb thermometer</x:v>
      </x:c>
      <x:c r="K15" s="19" t="str">
        <x:v>wet bulb thermometer (All)</x:v>
      </x:c>
      <x:c r="L15" s="31" t="str">
        <x:v>Compatible exact string/phrase for unsmoothed public Ngram retrieval (current interface supports up to seven words).</x:v>
      </x:c>
      <x:c r="M15" s="43" t="n">
        <x:v>46260.106875</x:v>
      </x:c>
      <x:c r="N15" s="31" t="str">
        <x:v>data/fear-temperature/ngram/raw/39268f7b0edac2a3caeb7bce6236c526ab82e48a6b48cb0cc06bf5cf840cbe9a.json</x:v>
      </x:c>
      <x:c r="O15" s="46" t="str">
        <x:v>RECONSTRUCTED_FROM_REPORT</x:v>
      </x:c>
    </x:row>
    <x:row r="16" ht="27" customHeight="1">
      <x:c r="A16" s="25" t="str">
        <x:v>FT-Q-V01-012</x:v>
      </x:c>
      <x:c r="B16" s="19" t="str">
        <x:v>1842</x:v>
      </x:c>
      <x:c r="C16" s="31" t="str">
        <x:v>meteorological observations</x:v>
      </x:c>
      <x:c r="D16" s="31" t="str">
        <x:v>EXECUTABLE_NGRAM</x:v>
      </x:c>
      <x:c r="E16" s="31" t="str">
        <x:v>COMPATIBLE</x:v>
      </x:c>
      <x:c r="F16" s="40" t="b">
        <x:v>1</x:v>
      </x:c>
      <x:c r="G16" s="31" t="str">
        <x:v>SUCCEEDED</x:v>
      </x:c>
      <x:c r="H16" s="19" t="str">
        <x:v>SUCCESS_NONZERO</x:v>
      </x:c>
      <x:c r="I16" s="28" t="n">
        <x:v>181</x:v>
      </x:c>
      <x:c r="J16" s="31" t="str">
        <x:v>meteorological observations</x:v>
      </x:c>
      <x:c r="K16" s="19" t="str">
        <x:v>meteorological observations (All)</x:v>
      </x:c>
      <x:c r="L16" s="31" t="str">
        <x:v>Compatible exact string/phrase for unsmoothed public Ngram retrieval (current interface supports up to seven words).</x:v>
      </x:c>
      <x:c r="M16" s="43" t="n">
        <x:v>46260.106886574074</x:v>
      </x:c>
      <x:c r="N16" s="31" t="str">
        <x:v>data/fear-temperature/ngram/raw/32e5ce8ef7371cdbf27a5865c35c03777dcd78911b87337158ac77f129ae383f.json</x:v>
      </x:c>
      <x:c r="O16" s="46" t="str">
        <x:v>RECONSTRUCTED_FROM_REPORT</x:v>
      </x:c>
    </x:row>
    <x:row r="17" ht="27" customHeight="1">
      <x:c r="A17" s="25" t="str">
        <x:v>FT-Q-V01-013</x:v>
      </x:c>
      <x:c r="B17" s="19" t="str">
        <x:v>1842</x:v>
      </x:c>
      <x:c r="C17" s="31" t="str">
        <x:v>meteorological journal</x:v>
      </x:c>
      <x:c r="D17" s="31" t="str">
        <x:v>EXECUTABLE_NGRAM</x:v>
      </x:c>
      <x:c r="E17" s="31" t="str">
        <x:v>COMPATIBLE</x:v>
      </x:c>
      <x:c r="F17" s="40" t="b">
        <x:v>1</x:v>
      </x:c>
      <x:c r="G17" s="31" t="str">
        <x:v>SUCCEEDED</x:v>
      </x:c>
      <x:c r="H17" s="19" t="str">
        <x:v>SUCCESS_NONZERO</x:v>
      </x:c>
      <x:c r="I17" s="28" t="n">
        <x:v>181</x:v>
      </x:c>
      <x:c r="J17" s="31" t="str">
        <x:v>meteorological journal</x:v>
      </x:c>
      <x:c r="K17" s="19" t="str">
        <x:v>meteorological journal (All)</x:v>
      </x:c>
      <x:c r="L17" s="31" t="str">
        <x:v>Compatible exact string/phrase for unsmoothed public Ngram retrieval (current interface supports up to seven words).</x:v>
      </x:c>
      <x:c r="M17" s="43" t="n">
        <x:v>46260.106886574074</x:v>
      </x:c>
      <x:c r="N17" s="31" t="str">
        <x:v>data/fear-temperature/ngram/raw/e11a874b3aa528b4ca775a4792b211f9ae21d79d674027de8fdaf55138f5e246.json</x:v>
      </x:c>
      <x:c r="O17" s="46" t="str">
        <x:v>RECONSTRUCTED_FROM_REPORT</x:v>
      </x:c>
    </x:row>
    <x:row r="18" ht="27" customHeight="1">
      <x:c r="A18" s="25" t="str">
        <x:v>FT-Q-V01-014</x:v>
      </x:c>
      <x:c r="B18" s="19" t="str">
        <x:v>1842</x:v>
      </x:c>
      <x:c r="C18" s="31" t="str">
        <x:v>weather</x:v>
      </x:c>
      <x:c r="D18" s="31" t="str">
        <x:v>BACKGROUND_AMBIGUOUS</x:v>
      </x:c>
      <x:c r="E18" s="31" t="str">
        <x:v>COMPATIBLE</x:v>
      </x:c>
      <x:c r="F18" s="40" t="b">
        <x:v>1</x:v>
      </x:c>
      <x:c r="G18" s="31" t="str">
        <x:v>SUCCEEDED</x:v>
      </x:c>
      <x:c r="H18" s="19" t="str">
        <x:v>SUCCESS_NONZERO</x:v>
      </x:c>
      <x:c r="I18" s="28" t="n">
        <x:v>181</x:v>
      </x:c>
      <x:c r="J18" s="31" t="str">
        <x:v>weather</x:v>
      </x:c>
      <x:c r="K18" s="19" t="str">
        <x:v>weather (All)</x:v>
      </x:c>
      <x:c r="L18" s="31" t="str">
        <x:v>Compatible exact string/phrase for unsmoothed public Ngram retrieval (current interface supports up to seven words).</x:v>
      </x:c>
      <x:c r="M18" s="43" t="n">
        <x:v>46260.10689814815</x:v>
      </x:c>
      <x:c r="N18" s="31" t="str">
        <x:v>data/fear-temperature/ngram/raw/b1c235e1f9b54d9c47f30260c9750c598212bb32714ef6ab727ce897ed2fe408.json</x:v>
      </x:c>
      <x:c r="O18" s="46" t="str">
        <x:v>RECONSTRUCTED_FROM_REPORT</x:v>
      </x:c>
    </x:row>
    <x:row r="19" ht="27" customHeight="1">
      <x:c r="A19" s="25" t="str">
        <x:v>FT-Q-V01-015</x:v>
      </x:c>
      <x:c r="B19" s="19" t="str">
        <x:v>1842</x:v>
      </x:c>
      <x:c r="C19" s="31" t="str">
        <x:v>climate</x:v>
      </x:c>
      <x:c r="D19" s="31" t="str">
        <x:v>BACKGROUND_AMBIGUOUS</x:v>
      </x:c>
      <x:c r="E19" s="31" t="str">
        <x:v>COMPATIBLE</x:v>
      </x:c>
      <x:c r="F19" s="40" t="b">
        <x:v>1</x:v>
      </x:c>
      <x:c r="G19" s="31" t="str">
        <x:v>SUCCEEDED</x:v>
      </x:c>
      <x:c r="H19" s="19" t="str">
        <x:v>SUCCESS_NONZERO</x:v>
      </x:c>
      <x:c r="I19" s="28" t="n">
        <x:v>181</x:v>
      </x:c>
      <x:c r="J19" s="31" t="str">
        <x:v>climate</x:v>
      </x:c>
      <x:c r="K19" s="19" t="str">
        <x:v>climate (All)</x:v>
      </x:c>
      <x:c r="L19" s="31" t="str">
        <x:v>Compatible exact string/phrase for unsmoothed public Ngram retrieval (current interface supports up to seven words).</x:v>
      </x:c>
      <x:c r="M19" s="43" t="n">
        <x:v>46260.10690972222</x:v>
      </x:c>
      <x:c r="N19" s="31" t="str">
        <x:v>data/fear-temperature/ngram/raw/15b0e51d7801a15c04a08d94fa0d6eafde8f1970a7229d0a666bcb7896395fae.json</x:v>
      </x:c>
      <x:c r="O19" s="46" t="str">
        <x:v>RECONSTRUCTED_FROM_REPORT</x:v>
      </x:c>
    </x:row>
    <x:row r="20" ht="27" customHeight="1">
      <x:c r="A20" s="25" t="str">
        <x:v>FT-Q-V01-016</x:v>
      </x:c>
      <x:c r="B20" s="19" t="str">
        <x:v>1842</x:v>
      </x:c>
      <x:c r="C20" s="31" t="str">
        <x:v>sun's heat</x:v>
      </x:c>
      <x:c r="D20" s="31" t="str">
        <x:v>EXECUTABLE_NGRAM</x:v>
      </x:c>
      <x:c r="E20" s="31" t="str">
        <x:v>COMPATIBLE</x:v>
      </x:c>
      <x:c r="F20" s="40" t="b">
        <x:v>1</x:v>
      </x:c>
      <x:c r="G20" s="31" t="str">
        <x:v>ZERO_RESULT</x:v>
      </x:c>
      <x:c r="H20" s="19" t="str">
        <x:v>ZERO_RESULT</x:v>
      </x:c>
      <x:c r="I20" s="28" t="n">
        <x:v>0</x:v>
      </x:c>
      <x:c r="J20" s="31" t="str">
        <x:v>sun's heat</x:v>
      </x:c>
      <x:c r="K20" s="19" t="str">
        <x:v>NOT_APPLICABLE</x:v>
      </x:c>
      <x:c r="L20" s="31" t="str">
        <x:v>Compatible exact string/phrase for unsmoothed public Ngram retrieval (current interface supports up to seven words).</x:v>
      </x:c>
      <x:c r="M20" s="43" t="n">
        <x:v>46260.1069212963</x:v>
      </x:c>
      <x:c r="N20" s="31" t="str">
        <x:v>data/fear-temperature/ngram/raw/a5e0c6f662bea7df30da2af8d6f74cfa8d7e2db15acbb2556c3ecd3d4ba34a26.json</x:v>
      </x:c>
      <x:c r="O20" s="46" t="str">
        <x:v>RECONSTRUCTED_FROM_REPORT</x:v>
      </x:c>
    </x:row>
    <x:row r="21" ht="27" customHeight="1">
      <x:c r="A21" s="25" t="str">
        <x:v>FT-Q-V01-017</x:v>
      </x:c>
      <x:c r="B21" s="19" t="str">
        <x:v>1842</x:v>
      </x:c>
      <x:c r="C21" s="31" t="str">
        <x:v>radiation of the heat</x:v>
      </x:c>
      <x:c r="D21" s="31" t="str">
        <x:v>EXECUTABLE_NGRAM</x:v>
      </x:c>
      <x:c r="E21" s="31" t="str">
        <x:v>COMPATIBLE</x:v>
      </x:c>
      <x:c r="F21" s="40" t="b">
        <x:v>1</x:v>
      </x:c>
      <x:c r="G21" s="31" t="str">
        <x:v>SUCCEEDED</x:v>
      </x:c>
      <x:c r="H21" s="19" t="str">
        <x:v>SUCCESS_NONZERO</x:v>
      </x:c>
      <x:c r="I21" s="28" t="n">
        <x:v>181</x:v>
      </x:c>
      <x:c r="J21" s="31" t="str">
        <x:v>radiation of the heat</x:v>
      </x:c>
      <x:c r="K21" s="19" t="str">
        <x:v>radiation of the heat (All)</x:v>
      </x:c>
      <x:c r="L21" s="31" t="str">
        <x:v>Compatible exact string/phrase for unsmoothed public Ngram retrieval (current interface supports up to seven words).</x:v>
      </x:c>
      <x:c r="M21" s="43" t="n">
        <x:v>46260.10693287037</x:v>
      </x:c>
      <x:c r="N21" s="31" t="str">
        <x:v>data/fear-temperature/ngram/raw/b1d91453b664fdcc21e4e3d3431ebf93f214078ffc9208777f1b541cd6603b40.json</x:v>
      </x:c>
      <x:c r="O21" s="46" t="str">
        <x:v>RECONSTRUCTED_FROM_REPORT</x:v>
      </x:c>
    </x:row>
    <x:row r="22" ht="27" customHeight="1">
      <x:c r="A22" s="25" t="str">
        <x:v>FT-Q-V01-018</x:v>
      </x:c>
      <x:c r="B22" s="19" t="str">
        <x:v>1842</x:v>
      </x:c>
      <x:c r="C22" s="31" t="str">
        <x:v>changes of temperature</x:v>
      </x:c>
      <x:c r="D22" s="31" t="str">
        <x:v>EXECUTABLE_NGRAM</x:v>
      </x:c>
      <x:c r="E22" s="31" t="str">
        <x:v>COMPATIBLE</x:v>
      </x:c>
      <x:c r="F22" s="40" t="b">
        <x:v>1</x:v>
      </x:c>
      <x:c r="G22" s="31" t="str">
        <x:v>SUCCEEDED</x:v>
      </x:c>
      <x:c r="H22" s="19" t="str">
        <x:v>SUCCESS_NONZERO</x:v>
      </x:c>
      <x:c r="I22" s="28" t="n">
        <x:v>181</x:v>
      </x:c>
      <x:c r="J22" s="31" t="str">
        <x:v>changes of temperature</x:v>
      </x:c>
      <x:c r="K22" s="19" t="str">
        <x:v>changes of temperature (All)</x:v>
      </x:c>
      <x:c r="L22" s="31" t="str">
        <x:v>Compatible exact string/phrase for unsmoothed public Ngram retrieval (current interface supports up to seven words).</x:v>
      </x:c>
      <x:c r="M22" s="43" t="n">
        <x:v>46260.106944444444</x:v>
      </x:c>
      <x:c r="N22" s="31" t="str">
        <x:v>data/fear-temperature/ngram/raw/e6b380a089b14610402078727599ceb65a1975ef78d3de6b2dc206afdbe3ddba.json</x:v>
      </x:c>
      <x:c r="O22" s="46" t="str">
        <x:v>RECONSTRUCTED_FROM_REPORT</x:v>
      </x:c>
    </x:row>
    <x:row r="23" ht="27" customHeight="1">
      <x:c r="A23" s="25" t="str">
        <x:v>FT-Q-V01-019</x:v>
      </x:c>
      <x:c r="B23" s="19" t="str">
        <x:v>1842</x:v>
      </x:c>
      <x:c r="C23" s="31" t="str">
        <x:v>excessive heat</x:v>
      </x:c>
      <x:c r="D23" s="31" t="str">
        <x:v>EXECUTABLE_NGRAM</x:v>
      </x:c>
      <x:c r="E23" s="31" t="str">
        <x:v>COMPATIBLE</x:v>
      </x:c>
      <x:c r="F23" s="40" t="b">
        <x:v>1</x:v>
      </x:c>
      <x:c r="G23" s="31" t="str">
        <x:v>SUCCEEDED</x:v>
      </x:c>
      <x:c r="H23" s="19" t="str">
        <x:v>SUCCESS_NONZERO</x:v>
      </x:c>
      <x:c r="I23" s="28" t="n">
        <x:v>181</x:v>
      </x:c>
      <x:c r="J23" s="31" t="str">
        <x:v>excessive heat</x:v>
      </x:c>
      <x:c r="K23" s="19" t="str">
        <x:v>excessive heat (All)</x:v>
      </x:c>
      <x:c r="L23" s="31" t="str">
        <x:v>Compatible exact string/phrase for unsmoothed public Ngram retrieval (current interface supports up to seven words).</x:v>
      </x:c>
      <x:c r="M23" s="43" t="n">
        <x:v>46260.106944444444</x:v>
      </x:c>
      <x:c r="N23" s="31" t="str">
        <x:v>data/fear-temperature/ngram/raw/f7c0a10c571c1deb244f8aad5b8580355924bf82e62e8910fbf3e507732cb56e.json</x:v>
      </x:c>
      <x:c r="O23" s="46" t="str">
        <x:v>RECONSTRUCTED_FROM_REPORT</x:v>
      </x:c>
    </x:row>
    <x:row r="24" ht="27" customHeight="1">
      <x:c r="A24" s="25" t="str">
        <x:v>FT-Q-V01-020</x:v>
      </x:c>
      <x:c r="B24" s="19" t="str">
        <x:v>1842</x:v>
      </x:c>
      <x:c r="C24" s="31" t="str">
        <x:v>heat of the men</x:v>
      </x:c>
      <x:c r="D24" s="31" t="str">
        <x:v>EXECUTABLE_NGRAM</x:v>
      </x:c>
      <x:c r="E24" s="31" t="str">
        <x:v>COMPATIBLE</x:v>
      </x:c>
      <x:c r="F24" s="40" t="b">
        <x:v>1</x:v>
      </x:c>
      <x:c r="G24" s="31" t="str">
        <x:v>SUCCEEDED</x:v>
      </x:c>
      <x:c r="H24" s="19" t="str">
        <x:v>SUCCESS_NONZERO</x:v>
      </x:c>
      <x:c r="I24" s="28" t="n">
        <x:v>181</x:v>
      </x:c>
      <x:c r="J24" s="31" t="str">
        <x:v>heat of the men</x:v>
      </x:c>
      <x:c r="K24" s="19" t="str">
        <x:v>heat of the men</x:v>
      </x:c>
      <x:c r="L24" s="31" t="str">
        <x:v>Compatible exact string/phrase for unsmoothed public Ngram retrieval (current interface supports up to seven words).</x:v>
      </x:c>
      <x:c r="M24" s="43" t="n">
        <x:v>46260.10695601852</x:v>
      </x:c>
      <x:c r="N24" s="31" t="str">
        <x:v>data/fear-temperature/ngram/raw/092dbc9916c5011136639ba399e86bd9ee47958643e7546a67c81d6201da72e9.json</x:v>
      </x:c>
      <x:c r="O24" s="46" t="str">
        <x:v>RECONSTRUCTED_FROM_REPORT</x:v>
      </x:c>
    </x:row>
    <x:row r="25" ht="27" customHeight="1">
      <x:c r="A25" s="25" t="str">
        <x:v>FT-Q-V01-021</x:v>
      </x:c>
      <x:c r="B25" s="19" t="str">
        <x:v>1938</x:v>
      </x:c>
      <x:c r="C25" s="31" t="str">
        <x:v>artificial production of carbon dioxide</x:v>
      </x:c>
      <x:c r="D25" s="31" t="str">
        <x:v>EXECUTABLE_NGRAM</x:v>
      </x:c>
      <x:c r="E25" s="31" t="str">
        <x:v>COMPATIBLE</x:v>
      </x:c>
      <x:c r="F25" s="40" t="b">
        <x:v>1</x:v>
      </x:c>
      <x:c r="G25" s="31" t="str">
        <x:v>SUCCEEDED</x:v>
      </x:c>
      <x:c r="H25" s="19" t="str">
        <x:v>SUCCESS_NONZERO</x:v>
      </x:c>
      <x:c r="I25" s="28" t="n">
        <x:v>181</x:v>
      </x:c>
      <x:c r="J25" s="31" t="str">
        <x:v>artificial production of carbon dioxide</x:v>
      </x:c>
      <x:c r="K25" s="19" t="str">
        <x:v>artificial production of carbon dioxide (All)</x:v>
      </x:c>
      <x:c r="L25" s="31" t="str">
        <x:v>Compatible exact string/phrase for unsmoothed public Ngram retrieval (current interface supports up to seven words).</x:v>
      </x:c>
      <x:c r="M25" s="43" t="n">
        <x:v>46260.10696759259</x:v>
      </x:c>
      <x:c r="N25" s="31" t="str">
        <x:v>data/fear-temperature/ngram/raw/2070ecc01d91fb37ee4d7883be04c16d4a7880b3a2dff5f0827d4e72b3e577c0.json</x:v>
      </x:c>
      <x:c r="O25" s="46" t="str">
        <x:v>RECONSTRUCTED_FROM_REPORT</x:v>
      </x:c>
    </x:row>
    <x:row r="26" ht="27" customHeight="1">
      <x:c r="A26" s="25" t="str">
        <x:v>FT-Q-V01-022</x:v>
      </x:c>
      <x:c r="B26" s="19" t="str">
        <x:v>1938</x:v>
      </x:c>
      <x:c r="C26" s="31" t="str">
        <x:v>carbon dioxide</x:v>
      </x:c>
      <x:c r="D26" s="31" t="str">
        <x:v>EXECUTABLE_NGRAM</x:v>
      </x:c>
      <x:c r="E26" s="31" t="str">
        <x:v>COMPATIBLE</x:v>
      </x:c>
      <x:c r="F26" s="40" t="b">
        <x:v>1</x:v>
      </x:c>
      <x:c r="G26" s="31" t="str">
        <x:v>SUCCEEDED</x:v>
      </x:c>
      <x:c r="H26" s="19" t="str">
        <x:v>SUCCESS_NONZERO</x:v>
      </x:c>
      <x:c r="I26" s="28" t="n">
        <x:v>181</x:v>
      </x:c>
      <x:c r="J26" s="31" t="str">
        <x:v>carbon dioxide</x:v>
      </x:c>
      <x:c r="K26" s="19" t="str">
        <x:v>carbon dioxide (All)</x:v>
      </x:c>
      <x:c r="L26" s="31" t="str">
        <x:v>Compatible exact string/phrase for unsmoothed public Ngram retrieval (current interface supports up to seven words).</x:v>
      </x:c>
      <x:c r="M26" s="43" t="n">
        <x:v>46260.10697916667</x:v>
      </x:c>
      <x:c r="N26" s="31" t="str">
        <x:v>data/fear-temperature/ngram/raw/4cb80f44edde6549156066466a74bfc57366da8f1cf6ad90b5890db731dd8d38.json</x:v>
      </x:c>
      <x:c r="O26" s="46" t="str">
        <x:v>RECONSTRUCTED_FROM_REPORT</x:v>
      </x:c>
    </x:row>
    <x:row r="27" ht="27" customHeight="1">
      <x:c r="A27" s="25" t="str">
        <x:v>FT-Q-V01-023</x:v>
      </x:c>
      <x:c r="B27" s="19" t="str">
        <x:v>1938</x:v>
      </x:c>
      <x:c r="C27" s="31" t="str">
        <x:v>fuel combustion</x:v>
      </x:c>
      <x:c r="D27" s="31" t="str">
        <x:v>EXECUTABLE_NGRAM</x:v>
      </x:c>
      <x:c r="E27" s="31" t="str">
        <x:v>COMPATIBLE</x:v>
      </x:c>
      <x:c r="F27" s="40" t="b">
        <x:v>1</x:v>
      </x:c>
      <x:c r="G27" s="31" t="str">
        <x:v>SUCCEEDED</x:v>
      </x:c>
      <x:c r="H27" s="19" t="str">
        <x:v>SUCCESS_NONZERO</x:v>
      </x:c>
      <x:c r="I27" s="28" t="n">
        <x:v>181</x:v>
      </x:c>
      <x:c r="J27" s="31" t="str">
        <x:v>fuel combustion</x:v>
      </x:c>
      <x:c r="K27" s="19" t="str">
        <x:v>fuel combustion (All)</x:v>
      </x:c>
      <x:c r="L27" s="31" t="str">
        <x:v>Compatible exact string/phrase for unsmoothed public Ngram retrieval (current interface supports up to seven words).</x:v>
      </x:c>
      <x:c r="M27" s="43" t="n">
        <x:v>46260.106990740744</x:v>
      </x:c>
      <x:c r="N27" s="31" t="str">
        <x:v>data/fear-temperature/ngram/raw/12a8595c1716a3689b1352a631f6c4cb21fd6f97651228f8731d5c059da7ddcd.json</x:v>
      </x:c>
      <x:c r="O27" s="46" t="str">
        <x:v>RECONSTRUCTED_FROM_REPORT</x:v>
      </x:c>
    </x:row>
    <x:row r="28" ht="27" customHeight="1">
      <x:c r="A28" s="25" t="str">
        <x:v>FT-Q-V01-024</x:v>
      </x:c>
      <x:c r="B28" s="19" t="str">
        <x:v>1938</x:v>
      </x:c>
      <x:c r="C28" s="31" t="str">
        <x:v>air</x:v>
      </x:c>
      <x:c r="D28" s="31" t="str">
        <x:v>BACKGROUND_AMBIGUOUS</x:v>
      </x:c>
      <x:c r="E28" s="31" t="str">
        <x:v>COMPATIBLE</x:v>
      </x:c>
      <x:c r="F28" s="40" t="b">
        <x:v>1</x:v>
      </x:c>
      <x:c r="G28" s="31" t="str">
        <x:v>SUCCEEDED</x:v>
      </x:c>
      <x:c r="H28" s="19" t="str">
        <x:v>SUCCESS_NONZERO</x:v>
      </x:c>
      <x:c r="I28" s="28" t="n">
        <x:v>181</x:v>
      </x:c>
      <x:c r="J28" s="31" t="str">
        <x:v>air</x:v>
      </x:c>
      <x:c r="K28" s="19" t="str">
        <x:v>air (All)</x:v>
      </x:c>
      <x:c r="L28" s="31" t="str">
        <x:v>Compatible exact string/phrase for unsmoothed public Ngram retrieval (current interface supports up to seven words).</x:v>
      </x:c>
      <x:c r="M28" s="43" t="n">
        <x:v>46260.10700231481</x:v>
      </x:c>
      <x:c r="N28" s="31" t="str">
        <x:v>data/fear-temperature/ngram/raw/d1d71646f7752f96d980c2569f429edc861dee3fe41954ab8819ae80ac484917.json</x:v>
      </x:c>
      <x:c r="O28" s="46" t="str">
        <x:v>RECONSTRUCTED_FROM_REPORT</x:v>
      </x:c>
    </x:row>
    <x:row r="29" ht="27" customHeight="1">
      <x:c r="A29" s="25" t="str">
        <x:v>FT-Q-V01-025</x:v>
      </x:c>
      <x:c r="B29" s="19" t="str">
        <x:v>1938</x:v>
      </x:c>
      <x:c r="C29" s="31" t="str">
        <x:v>atmosphere</x:v>
      </x:c>
      <x:c r="D29" s="31" t="str">
        <x:v>BACKGROUND_AMBIGUOUS</x:v>
      </x:c>
      <x:c r="E29" s="31" t="str">
        <x:v>COMPATIBLE</x:v>
      </x:c>
      <x:c r="F29" s="40" t="b">
        <x:v>1</x:v>
      </x:c>
      <x:c r="G29" s="31" t="str">
        <x:v>SUCCEEDED</x:v>
      </x:c>
      <x:c r="H29" s="19" t="str">
        <x:v>SUCCESS_NONZERO</x:v>
      </x:c>
      <x:c r="I29" s="28" t="n">
        <x:v>181</x:v>
      </x:c>
      <x:c r="J29" s="31" t="str">
        <x:v>atmosphere</x:v>
      </x:c>
      <x:c r="K29" s="19" t="str">
        <x:v>atmosphere (All)</x:v>
      </x:c>
      <x:c r="L29" s="31" t="str">
        <x:v>Compatible exact string/phrase for unsmoothed public Ngram retrieval (current interface supports up to seven words).</x:v>
      </x:c>
      <x:c r="M29" s="43" t="n">
        <x:v>46260.10701388889</x:v>
      </x:c>
      <x:c r="N29" s="31" t="str">
        <x:v>data/fear-temperature/ngram/raw/02abb1ffa0f647541454d9a403cb3fde6448b9c7ffe5a64372a582db79e9c276.json</x:v>
      </x:c>
      <x:c r="O29" s="46" t="str">
        <x:v>RECONSTRUCTED_FROM_REPORT</x:v>
      </x:c>
    </x:row>
    <x:row r="30" ht="27" customHeight="1">
      <x:c r="A30" s="25" t="str">
        <x:v>FT-Q-V01-026</x:v>
      </x:c>
      <x:c r="B30" s="19" t="str">
        <x:v>1938</x:v>
      </x:c>
      <x:c r="C30" s="31" t="str">
        <x:v>radiation absorption coefficients</x:v>
      </x:c>
      <x:c r="D30" s="31" t="str">
        <x:v>EXECUTABLE_NGRAM</x:v>
      </x:c>
      <x:c r="E30" s="31" t="str">
        <x:v>COMPATIBLE</x:v>
      </x:c>
      <x:c r="F30" s="40" t="b">
        <x:v>1</x:v>
      </x:c>
      <x:c r="G30" s="31" t="str">
        <x:v>SUCCEEDED</x:v>
      </x:c>
      <x:c r="H30" s="19" t="str">
        <x:v>SUCCESS_NONZERO</x:v>
      </x:c>
      <x:c r="I30" s="28" t="n">
        <x:v>181</x:v>
      </x:c>
      <x:c r="J30" s="31" t="str">
        <x:v>radiation absorption coefficients</x:v>
      </x:c>
      <x:c r="K30" s="19" t="str">
        <x:v>radiation absorption coefficients (All)</x:v>
      </x:c>
      <x:c r="L30" s="31" t="str">
        <x:v>Compatible exact string/phrase for unsmoothed public Ngram retrieval (current interface supports up to seven words).</x:v>
      </x:c>
      <x:c r="M30" s="43" t="n">
        <x:v>46260.10701388889</x:v>
      </x:c>
      <x:c r="N30" s="31" t="str">
        <x:v>data/fear-temperature/ngram/raw/2171601fde96b2bd2865c8be4c2da3ae797032f05534d51e6686631886ce7cdb.json</x:v>
      </x:c>
      <x:c r="O30" s="46" t="str">
        <x:v>RECONSTRUCTED_FROM_REPORT</x:v>
      </x:c>
    </x:row>
    <x:row r="31" ht="27" customHeight="1">
      <x:c r="A31" s="25" t="str">
        <x:v>FT-Q-V01-027</x:v>
      </x:c>
      <x:c r="B31" s="19" t="str">
        <x:v>1938</x:v>
      </x:c>
      <x:c r="C31" s="31" t="str">
        <x:v>water vapour</x:v>
      </x:c>
      <x:c r="D31" s="31" t="str">
        <x:v>EXECUTABLE_NGRAM</x:v>
      </x:c>
      <x:c r="E31" s="31" t="str">
        <x:v>COMPATIBLE</x:v>
      </x:c>
      <x:c r="F31" s="40" t="b">
        <x:v>1</x:v>
      </x:c>
      <x:c r="G31" s="31" t="str">
        <x:v>SUCCEEDED</x:v>
      </x:c>
      <x:c r="H31" s="19" t="str">
        <x:v>SUCCESS_NONZERO</x:v>
      </x:c>
      <x:c r="I31" s="28" t="n">
        <x:v>181</x:v>
      </x:c>
      <x:c r="J31" s="31" t="str">
        <x:v>water vapour</x:v>
      </x:c>
      <x:c r="K31" s="19" t="str">
        <x:v>water vapour (All)</x:v>
      </x:c>
      <x:c r="L31" s="31" t="str">
        <x:v>Compatible exact string/phrase for unsmoothed public Ngram retrieval (current interface supports up to seven words).</x:v>
      </x:c>
      <x:c r="M31" s="43" t="n">
        <x:v>46260.10702546296</x:v>
      </x:c>
      <x:c r="N31" s="31" t="str">
        <x:v>data/fear-temperature/ngram/raw/f51ff51dc09cac2d8a00e7b237acf835741ce26e1efca30bbc7f9b4da5279a28.json</x:v>
      </x:c>
      <x:c r="O31" s="46" t="str">
        <x:v>RECONSTRUCTED_FROM_REPORT</x:v>
      </x:c>
    </x:row>
    <x:row r="32" ht="27" customHeight="1">
      <x:c r="A32" s="25" t="str">
        <x:v>FT-Q-V01-028</x:v>
      </x:c>
      <x:c r="B32" s="19" t="str">
        <x:v>1938</x:v>
      </x:c>
      <x:c r="C32" s="31" t="str">
        <x:v>sky radiation</x:v>
      </x:c>
      <x:c r="D32" s="31" t="str">
        <x:v>EXECUTABLE_NGRAM</x:v>
      </x:c>
      <x:c r="E32" s="31" t="str">
        <x:v>COMPATIBLE</x:v>
      </x:c>
      <x:c r="F32" s="40" t="b">
        <x:v>1</x:v>
      </x:c>
      <x:c r="G32" s="31" t="str">
        <x:v>SUCCEEDED</x:v>
      </x:c>
      <x:c r="H32" s="19" t="str">
        <x:v>SUCCESS_NONZERO</x:v>
      </x:c>
      <x:c r="I32" s="28" t="n">
        <x:v>181</x:v>
      </x:c>
      <x:c r="J32" s="31" t="str">
        <x:v>sky radiation</x:v>
      </x:c>
      <x:c r="K32" s="19" t="str">
        <x:v>sky radiation (All)</x:v>
      </x:c>
      <x:c r="L32" s="31" t="str">
        <x:v>Compatible exact string/phrase for unsmoothed public Ngram retrieval (current interface supports up to seven words).</x:v>
      </x:c>
      <x:c r="M32" s="43" t="n">
        <x:v>46260.107037037036</x:v>
      </x:c>
      <x:c r="N32" s="31" t="str">
        <x:v>data/fear-temperature/ngram/raw/25f6f758b041c15280f5b78e2745bcaf174c736ac625ba6c8fa3f9e9b8acb3d0.json</x:v>
      </x:c>
      <x:c r="O32" s="46" t="str">
        <x:v>RECONSTRUCTED_FROM_REPORT</x:v>
      </x:c>
    </x:row>
    <x:row r="33" ht="27" customHeight="1">
      <x:c r="A33" s="25" t="str">
        <x:v>FT-Q-V01-029</x:v>
      </x:c>
      <x:c r="B33" s="19" t="str">
        <x:v>1938</x:v>
      </x:c>
      <x:c r="C33" s="31" t="str">
        <x:v>increase in mean temperature</x:v>
      </x:c>
      <x:c r="D33" s="31" t="str">
        <x:v>EXECUTABLE_NGRAM</x:v>
      </x:c>
      <x:c r="E33" s="31" t="str">
        <x:v>COMPATIBLE</x:v>
      </x:c>
      <x:c r="F33" s="40" t="b">
        <x:v>1</x:v>
      </x:c>
      <x:c r="G33" s="31" t="str">
        <x:v>SUCCEEDED</x:v>
      </x:c>
      <x:c r="H33" s="19" t="str">
        <x:v>SUCCESS_NONZERO</x:v>
      </x:c>
      <x:c r="I33" s="28" t="n">
        <x:v>181</x:v>
      </x:c>
      <x:c r="J33" s="31" t="str">
        <x:v>increase in mean temperature</x:v>
      </x:c>
      <x:c r="K33" s="19" t="str">
        <x:v>increase in mean temperature (All)</x:v>
      </x:c>
      <x:c r="L33" s="31" t="str">
        <x:v>Compatible exact string/phrase for unsmoothed public Ngram retrieval (current interface supports up to seven words).</x:v>
      </x:c>
      <x:c r="M33" s="43" t="n">
        <x:v>46260.10704861111</x:v>
      </x:c>
      <x:c r="N33" s="31" t="str">
        <x:v>data/fear-temperature/ngram/raw/f17eca0292278251b17b3815a9781852804a5b948c3f6ebb56f9d678e7907143.json</x:v>
      </x:c>
      <x:c r="O33" s="46" t="str">
        <x:v>RECONSTRUCTED_FROM_REPORT</x:v>
      </x:c>
    </x:row>
    <x:row r="34" ht="27" customHeight="1">
      <x:c r="A34" s="25" t="str">
        <x:v>FT-Q-V01-030</x:v>
      </x:c>
      <x:c r="B34" s="19" t="str">
        <x:v>1938</x:v>
      </x:c>
      <x:c r="C34" s="31" t="str">
        <x:v>mean temperature</x:v>
      </x:c>
      <x:c r="D34" s="31" t="str">
        <x:v>EXECUTABLE_NGRAM</x:v>
      </x:c>
      <x:c r="E34" s="31" t="str">
        <x:v>COMPATIBLE</x:v>
      </x:c>
      <x:c r="F34" s="40" t="b">
        <x:v>1</x:v>
      </x:c>
      <x:c r="G34" s="31" t="str">
        <x:v>SUCCEEDED</x:v>
      </x:c>
      <x:c r="H34" s="19" t="str">
        <x:v>SUCCESS_NONZERO</x:v>
      </x:c>
      <x:c r="I34" s="28" t="n">
        <x:v>181</x:v>
      </x:c>
      <x:c r="J34" s="31" t="str">
        <x:v>mean temperature</x:v>
      </x:c>
      <x:c r="K34" s="19" t="str">
        <x:v>mean temperature (All)</x:v>
      </x:c>
      <x:c r="L34" s="31" t="str">
        <x:v>Compatible exact string/phrase for unsmoothed public Ngram retrieval (current interface supports up to seven words).</x:v>
      </x:c>
      <x:c r="M34" s="43" t="n">
        <x:v>46260.106782407405</x:v>
      </x:c>
      <x:c r="N34" s="31" t="str">
        <x:v>data/fear-temperature/ngram/raw/264e2d12fe20c5aa6284ae43253eabc03ec9e11aa2056afde9e77d33d8e97530.json</x:v>
      </x:c>
      <x:c r="O34" s="46" t="str">
        <x:v>RECONSTRUCTED_FROM_REPORT</x:v>
      </x:c>
    </x:row>
    <x:row r="35" ht="27" customHeight="1">
      <x:c r="A35" s="25" t="str">
        <x:v>FT-Q-V01-031</x:v>
      </x:c>
      <x:c r="B35" s="19" t="str">
        <x:v>1938</x:v>
      </x:c>
      <x:c r="C35" s="31" t="str">
        <x:v>temperature observations</x:v>
      </x:c>
      <x:c r="D35" s="31" t="str">
        <x:v>EXECUTABLE_NGRAM</x:v>
      </x:c>
      <x:c r="E35" s="31" t="str">
        <x:v>COMPATIBLE</x:v>
      </x:c>
      <x:c r="F35" s="40" t="b">
        <x:v>1</x:v>
      </x:c>
      <x:c r="G35" s="31" t="str">
        <x:v>SUCCEEDED</x:v>
      </x:c>
      <x:c r="H35" s="19" t="str">
        <x:v>SUCCESS_NONZERO</x:v>
      </x:c>
      <x:c r="I35" s="28" t="n">
        <x:v>181</x:v>
      </x:c>
      <x:c r="J35" s="31" t="str">
        <x:v>temperature observations</x:v>
      </x:c>
      <x:c r="K35" s="19" t="str">
        <x:v>temperature observations (All)</x:v>
      </x:c>
      <x:c r="L35" s="31" t="str">
        <x:v>Compatible exact string/phrase for unsmoothed public Ngram retrieval (current interface supports up to seven words).</x:v>
      </x:c>
      <x:c r="M35" s="43" t="n">
        <x:v>46260.107152777775</x:v>
      </x:c>
      <x:c r="N35" s="31" t="str">
        <x:v>data/fear-temperature/ngram/raw/66206e9216362147b860e1e6c3a8001945a83264107212b1c0f3c3d2fd551522.json</x:v>
      </x:c>
      <x:c r="O35" s="46" t="str">
        <x:v>RECONSTRUCTED_FROM_REPORT</x:v>
      </x:c>
    </x:row>
    <x:row r="36" ht="27" customHeight="1">
      <x:c r="A36" s="25" t="str">
        <x:v>FT-Q-V01-032</x:v>
      </x:c>
      <x:c r="B36" s="19" t="str">
        <x:v>1938</x:v>
      </x:c>
      <x:c r="C36" s="31" t="str">
        <x:v>meteorological stations</x:v>
      </x:c>
      <x:c r="D36" s="31" t="str">
        <x:v>EXECUTABLE_NGRAM</x:v>
      </x:c>
      <x:c r="E36" s="31" t="str">
        <x:v>COMPATIBLE</x:v>
      </x:c>
      <x:c r="F36" s="40" t="b">
        <x:v>1</x:v>
      </x:c>
      <x:c r="G36" s="31" t="str">
        <x:v>SUCCEEDED</x:v>
      </x:c>
      <x:c r="H36" s="19" t="str">
        <x:v>SUCCESS_NONZERO</x:v>
      </x:c>
      <x:c r="I36" s="28" t="n">
        <x:v>181</x:v>
      </x:c>
      <x:c r="J36" s="31" t="str">
        <x:v>meteorological stations</x:v>
      </x:c>
      <x:c r="K36" s="19" t="str">
        <x:v>meteorological stations (All)</x:v>
      </x:c>
      <x:c r="L36" s="31" t="str">
        <x:v>Compatible exact string/phrase for unsmoothed public Ngram retrieval (current interface supports up to seven words).</x:v>
      </x:c>
      <x:c r="M36" s="43" t="n">
        <x:v>46260.10716435185</x:v>
      </x:c>
      <x:c r="N36" s="31" t="str">
        <x:v>data/fear-temperature/ngram/raw/e9d57e4d27daeaa5ff3a311226643238760265d483bb429b63cf1eaf703e26ff.json</x:v>
      </x:c>
      <x:c r="O36" s="46" t="str">
        <x:v>RECONSTRUCTED_FROM_REPORT</x:v>
      </x:c>
    </x:row>
    <x:row r="37" ht="27" customHeight="1">
      <x:c r="A37" s="25" t="str">
        <x:v>FT-Q-V01-033</x:v>
      </x:c>
      <x:c r="B37" s="19" t="str">
        <x:v>1938</x:v>
      </x:c>
      <x:c r="C37" s="31" t="str">
        <x:v>world temperatures</x:v>
      </x:c>
      <x:c r="D37" s="31" t="str">
        <x:v>EXECUTABLE_NGRAM</x:v>
      </x:c>
      <x:c r="E37" s="31" t="str">
        <x:v>COMPATIBLE</x:v>
      </x:c>
      <x:c r="F37" s="40" t="b">
        <x:v>1</x:v>
      </x:c>
      <x:c r="G37" s="31" t="str">
        <x:v>SUCCEEDED</x:v>
      </x:c>
      <x:c r="H37" s="19" t="str">
        <x:v>SUCCESS_NONZERO</x:v>
      </x:c>
      <x:c r="I37" s="28" t="n">
        <x:v>181</x:v>
      </x:c>
      <x:c r="J37" s="31" t="str">
        <x:v>world temperatures</x:v>
      </x:c>
      <x:c r="K37" s="19" t="str">
        <x:v>world temperatures (All)</x:v>
      </x:c>
      <x:c r="L37" s="31" t="str">
        <x:v>Compatible exact string/phrase for unsmoothed public Ngram retrieval (current interface supports up to seven words).</x:v>
      </x:c>
      <x:c r="M37" s="43" t="n">
        <x:v>46260.10717592593</x:v>
      </x:c>
      <x:c r="N37" s="31" t="str">
        <x:v>data/fear-temperature/ngram/raw/c7e50063801250140864a7c772bbe06a1a5b4b6b0adaa4ccb81beedc0fdd8bbc.json</x:v>
      </x:c>
      <x:c r="O37" s="46" t="str">
        <x:v>RECONSTRUCTED_FROM_REPORT</x:v>
      </x:c>
    </x:row>
    <x:row r="38" ht="27" customHeight="1">
      <x:c r="A38" s="25" t="str">
        <x:v>FT-Q-V01-034</x:v>
      </x:c>
      <x:c r="B38" s="19" t="str">
        <x:v>1938</x:v>
      </x:c>
      <x:c r="C38" s="31" t="str">
        <x:v>actually increased</x:v>
      </x:c>
      <x:c r="D38" s="31" t="str">
        <x:v>EXECUTABLE_NGRAM</x:v>
      </x:c>
      <x:c r="E38" s="31" t="str">
        <x:v>COMPATIBLE</x:v>
      </x:c>
      <x:c r="F38" s="40" t="b">
        <x:v>1</x:v>
      </x:c>
      <x:c r="G38" s="31" t="str">
        <x:v>SUCCEEDED</x:v>
      </x:c>
      <x:c r="H38" s="19" t="str">
        <x:v>SUCCESS_NONZERO</x:v>
      </x:c>
      <x:c r="I38" s="28" t="n">
        <x:v>181</x:v>
      </x:c>
      <x:c r="J38" s="31" t="str">
        <x:v>actually increased</x:v>
      </x:c>
      <x:c r="K38" s="19" t="str">
        <x:v>actually increased (All)</x:v>
      </x:c>
      <x:c r="L38" s="31" t="str">
        <x:v>Compatible exact string/phrase for unsmoothed public Ngram retrieval (current interface supports up to seven words).</x:v>
      </x:c>
      <x:c r="M38" s="43" t="n">
        <x:v>46260.1071875</x:v>
      </x:c>
      <x:c r="N38" s="31" t="str">
        <x:v>data/fear-temperature/ngram/raw/9167b97ea3895d8f249f2aa5de33317b397ec2743be4c95d3c595b1798795eb5.json</x:v>
      </x:c>
      <x:c r="O38" s="46" t="str">
        <x:v>RECONSTRUCTED_FROM_REPORT</x:v>
      </x:c>
    </x:row>
    <x:row r="39" ht="27" customHeight="1">
      <x:c r="A39" s="25" t="str">
        <x:v>FT-Q-V01-035</x:v>
      </x:c>
      <x:c r="B39" s="19" t="str">
        <x:v>1938</x:v>
      </x:c>
      <x:c r="C39" s="31" t="str">
        <x:v>average rate</x:v>
      </x:c>
      <x:c r="D39" s="31" t="str">
        <x:v>EXECUTABLE_NGRAM</x:v>
      </x:c>
      <x:c r="E39" s="31" t="str">
        <x:v>COMPATIBLE</x:v>
      </x:c>
      <x:c r="F39" s="40" t="b">
        <x:v>1</x:v>
      </x:c>
      <x:c r="G39" s="31" t="str">
        <x:v>SUCCEEDED</x:v>
      </x:c>
      <x:c r="H39" s="19" t="str">
        <x:v>SUCCESS_NONZERO</x:v>
      </x:c>
      <x:c r="I39" s="28" t="n">
        <x:v>181</x:v>
      </x:c>
      <x:c r="J39" s="31" t="str">
        <x:v>average rate</x:v>
      </x:c>
      <x:c r="K39" s="19" t="str">
        <x:v>average rate (All)</x:v>
      </x:c>
      <x:c r="L39" s="31" t="str">
        <x:v>Compatible exact string/phrase for unsmoothed public Ngram retrieval (current interface supports up to seven words).</x:v>
      </x:c>
      <x:c r="M39" s="43" t="n">
        <x:v>46260.107199074075</x:v>
      </x:c>
      <x:c r="N39" s="31" t="str">
        <x:v>data/fear-temperature/ngram/raw/e427f2da752395cacbd7c32fdf3f8f75639075e807d2631a0c0fc4f137209b9f.json</x:v>
      </x:c>
      <x:c r="O39" s="46" t="str">
        <x:v>RECONSTRUCTED_FROM_REPORT</x:v>
      </x:c>
    </x:row>
    <x:row r="40" ht="27" customHeight="1">
      <x:c r="A40" s="25" t="str">
        <x:v>FT-Q-V01-036</x:v>
      </x:c>
      <x:c r="B40" s="19" t="str">
        <x:v>1938</x:v>
      </x:c>
      <x:c r="C40" s="31" t="str">
        <x:v>small increases in mean temperature</x:v>
      </x:c>
      <x:c r="D40" s="31" t="str">
        <x:v>EXECUTABLE_NGRAM</x:v>
      </x:c>
      <x:c r="E40" s="31" t="str">
        <x:v>COMPATIBLE</x:v>
      </x:c>
      <x:c r="F40" s="40" t="b">
        <x:v>1</x:v>
      </x:c>
      <x:c r="G40" s="31" t="str">
        <x:v>ZERO_RESULT</x:v>
      </x:c>
      <x:c r="H40" s="19" t="str">
        <x:v>ZERO_RESULT</x:v>
      </x:c>
      <x:c r="I40" s="28" t="n">
        <x:v>0</x:v>
      </x:c>
      <x:c r="J40" s="31" t="str">
        <x:v>small increases in mean temperature</x:v>
      </x:c>
      <x:c r="K40" s="19" t="str">
        <x:v>NOT_APPLICABLE</x:v>
      </x:c>
      <x:c r="L40" s="31" t="str">
        <x:v>Compatible exact string/phrase for unsmoothed public Ngram retrieval (current interface supports up to seven words).</x:v>
      </x:c>
      <x:c r="M40" s="43" t="n">
        <x:v>46260.107199074075</x:v>
      </x:c>
      <x:c r="N40" s="31" t="str">
        <x:v>data/fear-temperature/ngram/raw/d6d0759da43a3f360d038f003e572d16c77ddbfc718996d3d12107850601cb5e.json</x:v>
      </x:c>
      <x:c r="O40" s="46" t="str">
        <x:v>RECONSTRUCTED_FROM_REPORT</x:v>
      </x:c>
    </x:row>
    <x:row r="41" ht="27" customHeight="1">
      <x:c r="A41" s="25" t="str">
        <x:v>FT-Q-V01-037</x:v>
      </x:c>
      <x:c r="B41" s="19" t="str">
        <x:v>1938</x:v>
      </x:c>
      <x:c r="C41" s="31" t="str">
        <x:v>deadly glaciers</x:v>
      </x:c>
      <x:c r="D41" s="31" t="str">
        <x:v>EXECUTABLE_NGRAM</x:v>
      </x:c>
      <x:c r="E41" s="31" t="str">
        <x:v>COMPATIBLE</x:v>
      </x:c>
      <x:c r="F41" s="40" t="b">
        <x:v>1</x:v>
      </x:c>
      <x:c r="G41" s="31" t="str">
        <x:v>SUCCEEDED</x:v>
      </x:c>
      <x:c r="H41" s="19" t="str">
        <x:v>SUCCESS_NONZERO</x:v>
      </x:c>
      <x:c r="I41" s="28" t="n">
        <x:v>181</x:v>
      </x:c>
      <x:c r="J41" s="31" t="str">
        <x:v>deadly glaciers</x:v>
      </x:c>
      <x:c r="K41" s="19" t="str">
        <x:v>deadly glaciers</x:v>
      </x:c>
      <x:c r="L41" s="31" t="str">
        <x:v>Compatible exact string/phrase for unsmoothed public Ngram retrieval (current interface supports up to seven words).</x:v>
      </x:c>
      <x:c r="M41" s="43" t="n">
        <x:v>46260.10721064815</x:v>
      </x:c>
      <x:c r="N41" s="31" t="str">
        <x:v>data/fear-temperature/ngram/raw/acd1c78d49da2b3a6c3ef64dbd5a9c1d23715156d453753d86190a592a0bf21f.json</x:v>
      </x:c>
      <x:c r="O41" s="46" t="str">
        <x:v>RECONSTRUCTED_FROM_REPORT</x:v>
      </x:c>
    </x:row>
    <x:row r="42" ht="27" customHeight="1">
      <x:c r="A42" s="25" t="str">
        <x:v>FT-Q-V01-038</x:v>
      </x:c>
      <x:c r="B42" s="19" t="str">
        <x:v>1938</x:v>
      </x:c>
      <x:c r="C42" s="31" t="str">
        <x:v>rather a coincidence</x:v>
      </x:c>
      <x:c r="D42" s="31" t="str">
        <x:v>EXECUTABLE_NGRAM</x:v>
      </x:c>
      <x:c r="E42" s="31" t="str">
        <x:v>COMPATIBLE</x:v>
      </x:c>
      <x:c r="F42" s="40" t="b">
        <x:v>1</x:v>
      </x:c>
      <x:c r="G42" s="31" t="str">
        <x:v>SUCCEEDED</x:v>
      </x:c>
      <x:c r="H42" s="19" t="str">
        <x:v>SUCCESS_NONZERO</x:v>
      </x:c>
      <x:c r="I42" s="28" t="n">
        <x:v>181</x:v>
      </x:c>
      <x:c r="J42" s="31" t="str">
        <x:v>rather a coincidence</x:v>
      </x:c>
      <x:c r="K42" s="19" t="str">
        <x:v>rather a coincidence (All)</x:v>
      </x:c>
      <x:c r="L42" s="31" t="str">
        <x:v>Compatible exact string/phrase for unsmoothed public Ngram retrieval (current interface supports up to seven words).</x:v>
      </x:c>
      <x:c r="M42" s="43" t="n">
        <x:v>46260.10722222222</x:v>
      </x:c>
      <x:c r="N42" s="31" t="str">
        <x:v>data/fear-temperature/ngram/raw/bca4b0be62a4f63b3d0e7919b771c514c52a4bdc627ec3a3afe9095da1caf1ba.json</x:v>
      </x:c>
      <x:c r="O42" s="46" t="str">
        <x:v>RECONSTRUCTED_FROM_REPORT</x:v>
      </x:c>
    </x:row>
    <x:row r="43" ht="27" customHeight="1">
      <x:c r="A43" s="25" t="str">
        <x:v>FT-Q-V01-039</x:v>
      </x:c>
      <x:c r="B43" s="19" t="str">
        <x:v>1938</x:v>
      </x:c>
      <x:c r="C43" s="31" t="str">
        <x:v>Hottest Day for Ten Years</x:v>
      </x:c>
      <x:c r="D43" s="31" t="str">
        <x:v>EXECUTABLE_NGRAM</x:v>
      </x:c>
      <x:c r="E43" s="31" t="str">
        <x:v>COMPATIBLE</x:v>
      </x:c>
      <x:c r="F43" s="40" t="b">
        <x:v>1</x:v>
      </x:c>
      <x:c r="G43" s="31" t="str">
        <x:v>ZERO_RESULT</x:v>
      </x:c>
      <x:c r="H43" s="19" t="str">
        <x:v>ZERO_RESULT</x:v>
      </x:c>
      <x:c r="I43" s="28" t="n">
        <x:v>0</x:v>
      </x:c>
      <x:c r="J43" s="31" t="str">
        <x:v>Hottest Day for Ten Years</x:v>
      </x:c>
      <x:c r="K43" s="19" t="str">
        <x:v>NOT_APPLICABLE</x:v>
      </x:c>
      <x:c r="L43" s="31" t="str">
        <x:v>Compatible exact string/phrase for unsmoothed public Ngram retrieval (current interface supports up to seven words).</x:v>
      </x:c>
      <x:c r="M43" s="43" t="n">
        <x:v>46260.1072337963</x:v>
      </x:c>
      <x:c r="N43" s="31" t="str">
        <x:v>data/fear-temperature/ngram/raw/7c1cabc675b2da12af25d48ca83988bcbc1381ceee50bb7b5e8500626cbe9b00.json</x:v>
      </x:c>
      <x:c r="O43" s="46" t="str">
        <x:v>RECONSTRUCTED_FROM_REPORT</x:v>
      </x:c>
    </x:row>
    <x:row r="44" ht="27" customHeight="1">
      <x:c r="A44" s="25" t="str">
        <x:v>FT-Q-V01-040</x:v>
      </x:c>
      <x:c r="B44" s="19" t="str">
        <x:v>1938</x:v>
      </x:c>
      <x:c r="C44" s="31" t="str">
        <x:v>Heat Wave Over Queensland</x:v>
      </x:c>
      <x:c r="D44" s="31" t="str">
        <x:v>EXECUTABLE_NGRAM</x:v>
      </x:c>
      <x:c r="E44" s="31" t="str">
        <x:v>COMPATIBLE</x:v>
      </x:c>
      <x:c r="F44" s="40" t="b">
        <x:v>1</x:v>
      </x:c>
      <x:c r="G44" s="31" t="str">
        <x:v>ZERO_RESULT</x:v>
      </x:c>
      <x:c r="H44" s="19" t="str">
        <x:v>ZERO_RESULT</x:v>
      </x:c>
      <x:c r="I44" s="28" t="n">
        <x:v>0</x:v>
      </x:c>
      <x:c r="J44" s="31" t="str">
        <x:v>Heat Wave Over Queensland</x:v>
      </x:c>
      <x:c r="K44" s="19" t="str">
        <x:v>NOT_APPLICABLE</x:v>
      </x:c>
      <x:c r="L44" s="31" t="str">
        <x:v>Compatible exact string/phrase for unsmoothed public Ngram retrieval (current interface supports up to seven words).</x:v>
      </x:c>
      <x:c r="M44" s="43" t="n">
        <x:v>46260.10724537037</x:v>
      </x:c>
      <x:c r="N44" s="31" t="str">
        <x:v>data/fear-temperature/ngram/raw/ff4de47b36b0ffff4f03545db968f819af528c6de47ea4be4984876b37550a41.json</x:v>
      </x:c>
      <x:c r="O44" s="46" t="str">
        <x:v>RECONSTRUCTED_FROM_REPORT</x:v>
      </x:c>
    </x:row>
    <x:row r="45" ht="27" customHeight="1">
      <x:c r="A45" s="25" t="str">
        <x:v>FT-Q-V01-041</x:v>
      </x:c>
      <x:c r="B45" s="19" t="str">
        <x:v>1988</x:v>
      </x:c>
      <x:c r="C45" s="31" t="str">
        <x:v>greenhouse effect</x:v>
      </x:c>
      <x:c r="D45" s="31" t="str">
        <x:v>EXECUTABLE_NGRAM</x:v>
      </x:c>
      <x:c r="E45" s="31" t="str">
        <x:v>COMPATIBLE</x:v>
      </x:c>
      <x:c r="F45" s="40" t="b">
        <x:v>1</x:v>
      </x:c>
      <x:c r="G45" s="31" t="str">
        <x:v>SUCCEEDED</x:v>
      </x:c>
      <x:c r="H45" s="19" t="str">
        <x:v>SUCCESS_NONZERO</x:v>
      </x:c>
      <x:c r="I45" s="28" t="n">
        <x:v>181</x:v>
      </x:c>
      <x:c r="J45" s="31" t="str">
        <x:v>greenhouse effect</x:v>
      </x:c>
      <x:c r="K45" s="19" t="str">
        <x:v>greenhouse effect (All)</x:v>
      </x:c>
      <x:c r="L45" s="31" t="str">
        <x:v>Compatible exact string/phrase for unsmoothed public Ngram retrieval (current interface supports up to seven words).</x:v>
      </x:c>
      <x:c r="M45" s="43" t="n">
        <x:v>46260.10724537037</x:v>
      </x:c>
      <x:c r="N45" s="31" t="str">
        <x:v>data/fear-temperature/ngram/raw/205959f263c8ae6824e66753a55df505e51b40905b28c4cb916bd1952aea4bdb.json</x:v>
      </x:c>
      <x:c r="O45" s="46" t="str">
        <x:v>RECONSTRUCTED_FROM_REPORT</x:v>
      </x:c>
    </x:row>
    <x:row r="46" ht="27" customHeight="1">
      <x:c r="A46" s="25" t="str">
        <x:v>FT-Q-V01-042</x:v>
      </x:c>
      <x:c r="B46" s="19" t="str">
        <x:v>1988</x:v>
      </x:c>
      <x:c r="C46" s="31" t="str">
        <x:v>global warming</x:v>
      </x:c>
      <x:c r="D46" s="31" t="str">
        <x:v>EXECUTABLE_NGRAM</x:v>
      </x:c>
      <x:c r="E46" s="31" t="str">
        <x:v>COMPATIBLE</x:v>
      </x:c>
      <x:c r="F46" s="40" t="b">
        <x:v>1</x:v>
      </x:c>
      <x:c r="G46" s="31" t="str">
        <x:v>SUCCEEDED</x:v>
      </x:c>
      <x:c r="H46" s="19" t="str">
        <x:v>SUCCESS_NONZERO</x:v>
      </x:c>
      <x:c r="I46" s="28" t="n">
        <x:v>181</x:v>
      </x:c>
      <x:c r="J46" s="31" t="str">
        <x:v>global warming</x:v>
      </x:c>
      <x:c r="K46" s="19" t="str">
        <x:v>global warming (All)</x:v>
      </x:c>
      <x:c r="L46" s="31" t="str">
        <x:v>Compatible exact string/phrase for unsmoothed public Ngram retrieval (current interface supports up to seven words).</x:v>
      </x:c>
      <x:c r="M46" s="43" t="n">
        <x:v>46260.107256944444</x:v>
      </x:c>
      <x:c r="N46" s="31" t="str">
        <x:v>data/fear-temperature/ngram/raw/e982c3b5d6e77fc759f19bb2931d892bfaa9221ade4a44977579a8d5a8afab71.json</x:v>
      </x:c>
      <x:c r="O46" s="46" t="str">
        <x:v>RECONSTRUCTED_FROM_REPORT</x:v>
      </x:c>
    </x:row>
    <x:row r="47" ht="27" customHeight="1">
      <x:c r="A47" s="25" t="str">
        <x:v>FT-Q-V01-043</x:v>
      </x:c>
      <x:c r="B47" s="19" t="str">
        <x:v>1988</x:v>
      </x:c>
      <x:c r="C47" s="31" t="str">
        <x:v>earth is warmer</x:v>
      </x:c>
      <x:c r="D47" s="31" t="str">
        <x:v>EXECUTABLE_NGRAM</x:v>
      </x:c>
      <x:c r="E47" s="31" t="str">
        <x:v>COMPATIBLE</x:v>
      </x:c>
      <x:c r="F47" s="40" t="b">
        <x:v>1</x:v>
      </x:c>
      <x:c r="G47" s="31" t="str">
        <x:v>SUCCEEDED</x:v>
      </x:c>
      <x:c r="H47" s="19" t="str">
        <x:v>SUCCESS_NONZERO</x:v>
      </x:c>
      <x:c r="I47" s="28" t="n">
        <x:v>181</x:v>
      </x:c>
      <x:c r="J47" s="31" t="str">
        <x:v>earth is warmer</x:v>
      </x:c>
      <x:c r="K47" s="19" t="str">
        <x:v>earth is warmer (All)</x:v>
      </x:c>
      <x:c r="L47" s="31" t="str">
        <x:v>Compatible exact string/phrase for unsmoothed public Ngram retrieval (current interface supports up to seven words).</x:v>
      </x:c>
      <x:c r="M47" s="43" t="n">
        <x:v>46260.10726851852</x:v>
      </x:c>
      <x:c r="N47" s="31" t="str">
        <x:v>data/fear-temperature/ngram/raw/ae93b0533e9e2ca24d879c60ebc4c416dc7f4834ae02aa0e97387d0fc291a9d5.json</x:v>
      </x:c>
      <x:c r="O47" s="46" t="str">
        <x:v>RECONSTRUCTED_FROM_REPORT</x:v>
      </x:c>
    </x:row>
    <x:row r="48" ht="27" customHeight="1">
      <x:c r="A48" s="25" t="str">
        <x:v>FT-Q-V01-044</x:v>
      </x:c>
      <x:c r="B48" s="19" t="str">
        <x:v>1988</x:v>
      </x:c>
      <x:c r="C48" s="31" t="str">
        <x:v>instrumental measurements</x:v>
      </x:c>
      <x:c r="D48" s="31" t="str">
        <x:v>EXECUTABLE_NGRAM</x:v>
      </x:c>
      <x:c r="E48" s="31" t="str">
        <x:v>COMPATIBLE</x:v>
      </x:c>
      <x:c r="F48" s="40" t="b">
        <x:v>1</x:v>
      </x:c>
      <x:c r="G48" s="31" t="str">
        <x:v>SUCCEEDED</x:v>
      </x:c>
      <x:c r="H48" s="19" t="str">
        <x:v>SUCCESS_NONZERO</x:v>
      </x:c>
      <x:c r="I48" s="28" t="n">
        <x:v>181</x:v>
      </x:c>
      <x:c r="J48" s="31" t="str">
        <x:v>instrumental measurements</x:v>
      </x:c>
      <x:c r="K48" s="19" t="str">
        <x:v>instrumental measurements (All)</x:v>
      </x:c>
      <x:c r="L48" s="31" t="str">
        <x:v>Compatible exact string/phrase for unsmoothed public Ngram retrieval (current interface supports up to seven words).</x:v>
      </x:c>
      <x:c r="M48" s="43" t="n">
        <x:v>46260.10728009259</x:v>
      </x:c>
      <x:c r="N48" s="31" t="str">
        <x:v>data/fear-temperature/ngram/raw/c3041954c2284cf34bcd5a29020d6fdb5062957ed9d066a23d0fa6dec11d5477.json</x:v>
      </x:c>
      <x:c r="O48" s="46" t="str">
        <x:v>RECONSTRUCTED_FROM_REPORT</x:v>
      </x:c>
    </x:row>
    <x:row r="49" ht="27" customHeight="1">
      <x:c r="A49" s="25" t="str">
        <x:v>FT-Q-V01-045</x:v>
      </x:c>
      <x:c r="B49" s="19" t="str">
        <x:v>1988</x:v>
      </x:c>
      <x:c r="C49" s="31" t="str">
        <x:v>cause-and-effect relationship</x:v>
      </x:c>
      <x:c r="D49" s="31" t="str">
        <x:v>EXECUTABLE_NGRAM</x:v>
      </x:c>
      <x:c r="E49" s="31" t="str">
        <x:v>COMPATIBLE</x:v>
      </x:c>
      <x:c r="F49" s="40" t="b">
        <x:v>1</x:v>
      </x:c>
      <x:c r="G49" s="31" t="str">
        <x:v>SUCCEEDED</x:v>
      </x:c>
      <x:c r="H49" s="19" t="str">
        <x:v>SUCCESS_NONZERO</x:v>
      </x:c>
      <x:c r="I49" s="28" t="n">
        <x:v>181</x:v>
      </x:c>
      <x:c r="J49" s="31" t="str">
        <x:v>cause-and-effect relationship</x:v>
      </x:c>
      <x:c r="K49" s="19" t="str">
        <x:v>cause - and - effect relationship (All)</x:v>
      </x:c>
      <x:c r="L49" s="31" t="str">
        <x:v>Compatible exact string/phrase for unsmoothed public Ngram retrieval (current interface supports up to seven words).</x:v>
      </x:c>
      <x:c r="M49" s="43" t="n">
        <x:v>46260.10729166667</x:v>
      </x:c>
      <x:c r="N49" s="31" t="str">
        <x:v>data/fear-temperature/ngram/raw/e8efe8017919981d401ccd71f2302b528ff86d0e6a69149a56ed3d7dde862bfc.json</x:v>
      </x:c>
      <x:c r="O49" s="46" t="str">
        <x:v>RECONSTRUCTED_FROM_REPORT</x:v>
      </x:c>
    </x:row>
    <x:row r="50" ht="27" customHeight="1">
      <x:c r="A50" s="25" t="str">
        <x:v>FT-Q-V01-046</x:v>
      </x:c>
      <x:c r="B50" s="19" t="str">
        <x:v>1988</x:v>
      </x:c>
      <x:c r="C50" s="31" t="str">
        <x:v>global temperature</x:v>
      </x:c>
      <x:c r="D50" s="31" t="str">
        <x:v>EXECUTABLE_NGRAM</x:v>
      </x:c>
      <x:c r="E50" s="31" t="str">
        <x:v>COMPATIBLE</x:v>
      </x:c>
      <x:c r="F50" s="40" t="b">
        <x:v>1</x:v>
      </x:c>
      <x:c r="G50" s="31" t="str">
        <x:v>SUCCEEDED</x:v>
      </x:c>
      <x:c r="H50" s="19" t="str">
        <x:v>SUCCESS_NONZERO</x:v>
      </x:c>
      <x:c r="I50" s="28" t="n">
        <x:v>181</x:v>
      </x:c>
      <x:c r="J50" s="31" t="str">
        <x:v>global temperature</x:v>
      </x:c>
      <x:c r="K50" s="19" t="str">
        <x:v>global temperature (All)</x:v>
      </x:c>
      <x:c r="L50" s="31" t="str">
        <x:v>Compatible exact string/phrase for unsmoothed public Ngram retrieval (current interface supports up to seven words).</x:v>
      </x:c>
      <x:c r="M50" s="43" t="n">
        <x:v>46260.10729166667</x:v>
      </x:c>
      <x:c r="N50" s="31" t="str">
        <x:v>data/fear-temperature/ngram/raw/9d665931c5878a5de16bd731767c2e6571f77c1eb6e01bf9fa50497db3ebbd93.json</x:v>
      </x:c>
      <x:c r="O50" s="46" t="str">
        <x:v>RECONSTRUCTED_FROM_REPORT</x:v>
      </x:c>
    </x:row>
    <x:row r="51" ht="27" customHeight="1">
      <x:c r="A51" s="25" t="str">
        <x:v>FT-Q-V01-047</x:v>
      </x:c>
      <x:c r="B51" s="19" t="str">
        <x:v>1988</x:v>
      </x:c>
      <x:c r="C51" s="31" t="str">
        <x:v>regional heat waves</x:v>
      </x:c>
      <x:c r="D51" s="31" t="str">
        <x:v>EXECUTABLE_NGRAM</x:v>
      </x:c>
      <x:c r="E51" s="31" t="str">
        <x:v>COMPATIBLE</x:v>
      </x:c>
      <x:c r="F51" s="40" t="b">
        <x:v>1</x:v>
      </x:c>
      <x:c r="G51" s="31" t="str">
        <x:v>SUCCEEDED</x:v>
      </x:c>
      <x:c r="H51" s="19" t="str">
        <x:v>SUCCESS_NONZERO</x:v>
      </x:c>
      <x:c r="I51" s="28" t="n">
        <x:v>181</x:v>
      </x:c>
      <x:c r="J51" s="31" t="str">
        <x:v>regional heat waves</x:v>
      </x:c>
      <x:c r="K51" s="19" t="str">
        <x:v>regional heat waves (All)</x:v>
      </x:c>
      <x:c r="L51" s="31" t="str">
        <x:v>Compatible exact string/phrase for unsmoothed public Ngram retrieval (current interface supports up to seven words).</x:v>
      </x:c>
      <x:c r="M51" s="43" t="n">
        <x:v>46260.107303240744</x:v>
      </x:c>
      <x:c r="N51" s="31" t="str">
        <x:v>data/fear-temperature/ngram/raw/9937ebec5dbc305d8752f541539d2c1d1521c4688bdf38c7075d02cee934d6b0.json</x:v>
      </x:c>
      <x:c r="O51" s="46" t="str">
        <x:v>RECONSTRUCTED_FROM_REPORT</x:v>
      </x:c>
    </x:row>
    <x:row r="52" ht="27" customHeight="1">
      <x:c r="A52" s="25" t="str">
        <x:v>FT-Q-V01-048</x:v>
      </x:c>
      <x:c r="B52" s="19" t="str">
        <x:v>1988</x:v>
      </x:c>
      <x:c r="C52" s="31" t="str">
        <x:v>heat wave</x:v>
      </x:c>
      <x:c r="D52" s="31" t="str">
        <x:v>EXECUTABLE_NGRAM</x:v>
      </x:c>
      <x:c r="E52" s="31" t="str">
        <x:v>COMPATIBLE</x:v>
      </x:c>
      <x:c r="F52" s="40" t="b">
        <x:v>1</x:v>
      </x:c>
      <x:c r="G52" s="31" t="str">
        <x:v>SUCCEEDED</x:v>
      </x:c>
      <x:c r="H52" s="19" t="str">
        <x:v>SUCCESS_NONZERO</x:v>
      </x:c>
      <x:c r="I52" s="28" t="n">
        <x:v>181</x:v>
      </x:c>
      <x:c r="J52" s="31" t="str">
        <x:v>heat wave</x:v>
      </x:c>
      <x:c r="K52" s="19" t="str">
        <x:v>heat wave (All)</x:v>
      </x:c>
      <x:c r="L52" s="31" t="str">
        <x:v>Compatible exact string/phrase for unsmoothed public Ngram retrieval (current interface supports up to seven words).</x:v>
      </x:c>
      <x:c r="M52" s="43" t="n">
        <x:v>46260.10731481481</x:v>
      </x:c>
      <x:c r="N52" s="31" t="str">
        <x:v>data/fear-temperature/ngram/raw/306e212ec9cdb980f5e1f91f3e6734e7998c99820aa93fd4a8109533d1676f5a.json</x:v>
      </x:c>
      <x:c r="O52" s="46" t="str">
        <x:v>RECONSTRUCTED_FROM_REPORT</x:v>
      </x:c>
    </x:row>
    <x:row r="53" ht="27" customHeight="1">
      <x:c r="A53" s="25" t="str">
        <x:v>FT-Q-V01-049</x:v>
      </x:c>
      <x:c r="B53" s="19" t="str">
        <x:v>1988</x:v>
      </x:c>
      <x:c r="C53" s="31" t="str">
        <x:v>drought</x:v>
      </x:c>
      <x:c r="D53" s="31" t="str">
        <x:v>BACKGROUND_AMBIGUOUS</x:v>
      </x:c>
      <x:c r="E53" s="31" t="str">
        <x:v>COMPATIBLE</x:v>
      </x:c>
      <x:c r="F53" s="40" t="b">
        <x:v>1</x:v>
      </x:c>
      <x:c r="G53" s="31" t="str">
        <x:v>SUCCEEDED</x:v>
      </x:c>
      <x:c r="H53" s="19" t="str">
        <x:v>SUCCESS_NONZERO</x:v>
      </x:c>
      <x:c r="I53" s="28" t="n">
        <x:v>181</x:v>
      </x:c>
      <x:c r="J53" s="31" t="str">
        <x:v>drought</x:v>
      </x:c>
      <x:c r="K53" s="19" t="str">
        <x:v>drought (All)</x:v>
      </x:c>
      <x:c r="L53" s="31" t="str">
        <x:v>Compatible exact string/phrase for unsmoothed public Ngram retrieval (current interface supports up to seven words).</x:v>
      </x:c>
      <x:c r="M53" s="43" t="n">
        <x:v>46260.10732638889</x:v>
      </x:c>
      <x:c r="N53" s="31" t="str">
        <x:v>data/fear-temperature/ngram/raw/a3bdefd3e410e2b0f75ef6e82328b0b053a2b9a4d162237384d67e405f89fe96.json</x:v>
      </x:c>
      <x:c r="O53" s="46" t="str">
        <x:v>RECONSTRUCTED_FROM_REPORT</x:v>
      </x:c>
    </x:row>
    <x:row r="54" ht="27" customHeight="1">
      <x:c r="A54" s="25" t="str">
        <x:v>FT-Q-V01-050</x:v>
      </x:c>
      <x:c r="B54" s="19" t="str">
        <x:v>1988</x:v>
      </x:c>
      <x:c r="C54" s="31" t="str">
        <x:v>heat wave/drought occurrences</x:v>
      </x:c>
      <x:c r="D54" s="31" t="str">
        <x:v>EXECUTABLE_CORPUS_ONLY</x:v>
      </x:c>
      <x:c r="E54" s="31" t="str">
        <x:v>STRUCTURALLY_UNSUPPORTED</x:v>
      </x:c>
      <x:c r="F54" s="40" t="b">
        <x:v>0</x:v>
      </x:c>
      <x:c r="G54" s="31" t="str">
        <x:v>NOT_RUN_INCOMPATIBLE</x:v>
      </x:c>
      <x:c r="H54" s="19" t="str">
        <x:v>TECHNICALLY_UNREPRESENTABLE</x:v>
      </x:c>
      <x:c r="I54" s="28" t="n">
        <x:v>0</x:v>
      </x:c>
      <x:c r="J54" s="31" t="str">
        <x:v>heat wave/drought occurrences</x:v>
      </x:c>
      <x:c r="K54" s="19" t="str">
        <x:v>NOT_APPLICABLE</x:v>
      </x:c>
      <x:c r="L54" s="31" t="str">
        <x:v>Slash construction is not a defensible isolated Ngram phrase.</x:v>
      </x:c>
      <x:c r="M54" s="43" t="str">
        <x:v>NOT_APPLICABLE</x:v>
      </x:c>
      <x:c r="N54" s="31" t="str">
        <x:v>NOT_APPLICABLE</x:v>
      </x:c>
      <x:c r="O54" s="46" t="str">
        <x:v>RECONSTRUCTED_FROM_REPORT</x:v>
      </x:c>
    </x:row>
    <x:row r="55" ht="27" customHeight="1">
      <x:c r="A55" s="25" t="str">
        <x:v>FT-Q-V01-051</x:v>
      </x:c>
      <x:c r="B55" s="19" t="str">
        <x:v>1988</x:v>
      </x:c>
      <x:c r="C55" s="31" t="str">
        <x:v>extreme events</x:v>
      </x:c>
      <x:c r="D55" s="31" t="str">
        <x:v>EXECUTABLE_NGRAM</x:v>
      </x:c>
      <x:c r="E55" s="31" t="str">
        <x:v>COMPATIBLE</x:v>
      </x:c>
      <x:c r="F55" s="40" t="b">
        <x:v>1</x:v>
      </x:c>
      <x:c r="G55" s="31" t="str">
        <x:v>SUCCEEDED</x:v>
      </x:c>
      <x:c r="H55" s="19" t="str">
        <x:v>SUCCESS_NONZERO</x:v>
      </x:c>
      <x:c r="I55" s="28" t="n">
        <x:v>181</x:v>
      </x:c>
      <x:c r="J55" s="31" t="str">
        <x:v>extreme events</x:v>
      </x:c>
      <x:c r="K55" s="19" t="str">
        <x:v>extreme events (All)</x:v>
      </x:c>
      <x:c r="L55" s="31" t="str">
        <x:v>Compatible exact string/phrase for unsmoothed public Ngram retrieval (current interface supports up to seven words).</x:v>
      </x:c>
      <x:c r="M55" s="43" t="n">
        <x:v>46260.10733796296</x:v>
      </x:c>
      <x:c r="N55" s="31" t="str">
        <x:v>data/fear-temperature/ngram/raw/2f8cbf9b55aae32ec25fe5c485850b9461d5296a85a191304d2d582edd1a8448.json</x:v>
      </x:c>
      <x:c r="O55" s="46" t="str">
        <x:v>RECONSTRUCTED_FROM_REPORT</x:v>
      </x:c>
    </x:row>
    <x:row r="56" ht="27" customHeight="1">
      <x:c r="A56" s="25" t="str">
        <x:v>FT-Q-V01-052</x:v>
      </x:c>
      <x:c r="B56" s="19" t="str">
        <x:v>1988</x:v>
      </x:c>
      <x:c r="C56" s="31" t="str">
        <x:v>global climate models</x:v>
      </x:c>
      <x:c r="D56" s="31" t="str">
        <x:v>EXECUTABLE_NGRAM</x:v>
      </x:c>
      <x:c r="E56" s="31" t="str">
        <x:v>COMPATIBLE</x:v>
      </x:c>
      <x:c r="F56" s="40" t="b">
        <x:v>1</x:v>
      </x:c>
      <x:c r="G56" s="31" t="str">
        <x:v>SUCCEEDED</x:v>
      </x:c>
      <x:c r="H56" s="19" t="str">
        <x:v>SUCCESS_NONZERO</x:v>
      </x:c>
      <x:c r="I56" s="28" t="n">
        <x:v>181</x:v>
      </x:c>
      <x:c r="J56" s="31" t="str">
        <x:v>global climate models</x:v>
      </x:c>
      <x:c r="K56" s="19" t="str">
        <x:v>global climate models (All)</x:v>
      </x:c>
      <x:c r="L56" s="31" t="str">
        <x:v>Compatible exact string/phrase for unsmoothed public Ngram retrieval (current interface supports up to seven words).</x:v>
      </x:c>
      <x:c r="M56" s="43" t="n">
        <x:v>46260.10733796296</x:v>
      </x:c>
      <x:c r="N56" s="31" t="str">
        <x:v>data/fear-temperature/ngram/raw/804d613b38ca8ff6fa01fb2e1f4e6d91e7b874a9e4472af082eb9e1155863731.json</x:v>
      </x:c>
      <x:c r="O56" s="46" t="str">
        <x:v>RECONSTRUCTED_FROM_REPORT</x:v>
      </x:c>
    </x:row>
    <x:row r="57" ht="27" customHeight="1">
      <x:c r="A57" s="25" t="str">
        <x:v>FT-Q-V01-053</x:v>
      </x:c>
      <x:c r="B57" s="19" t="str">
        <x:v>1988</x:v>
      </x:c>
      <x:c r="C57" s="31" t="str">
        <x:v>global observations</x:v>
      </x:c>
      <x:c r="D57" s="31" t="str">
        <x:v>EXECUTABLE_NGRAM</x:v>
      </x:c>
      <x:c r="E57" s="31" t="str">
        <x:v>COMPATIBLE</x:v>
      </x:c>
      <x:c r="F57" s="40" t="b">
        <x:v>1</x:v>
      </x:c>
      <x:c r="G57" s="31" t="str">
        <x:v>SUCCEEDED</x:v>
      </x:c>
      <x:c r="H57" s="19" t="str">
        <x:v>SUCCESS_NONZERO</x:v>
      </x:c>
      <x:c r="I57" s="28" t="n">
        <x:v>181</x:v>
      </x:c>
      <x:c r="J57" s="31" t="str">
        <x:v>global observations</x:v>
      </x:c>
      <x:c r="K57" s="19" t="str">
        <x:v>global observations (All)</x:v>
      </x:c>
      <x:c r="L57" s="31" t="str">
        <x:v>Compatible exact string/phrase for unsmoothed public Ngram retrieval (current interface supports up to seven words).</x:v>
      </x:c>
      <x:c r="M57" s="43" t="n">
        <x:v>46260.10734953704</x:v>
      </x:c>
      <x:c r="N57" s="31" t="str">
        <x:v>data/fear-temperature/ngram/raw/d002a730e85fdef3f5ec37960af0518814de2fb4a5adf229395a737b937a15d9.json</x:v>
      </x:c>
      <x:c r="O57" s="46" t="str">
        <x:v>RECONSTRUCTED_FROM_REPORT</x:v>
      </x:c>
    </x:row>
    <x:row r="58" ht="27" customHeight="1">
      <x:c r="A58" s="25" t="str">
        <x:v>FT-Q-V01-054</x:v>
      </x:c>
      <x:c r="B58" s="19" t="str">
        <x:v>1988</x:v>
      </x:c>
      <x:c r="C58" s="31" t="str">
        <x:v>warm air</x:v>
      </x:c>
      <x:c r="D58" s="31" t="str">
        <x:v>EXECUTABLE_NGRAM</x:v>
      </x:c>
      <x:c r="E58" s="31" t="str">
        <x:v>COMPATIBLE</x:v>
      </x:c>
      <x:c r="F58" s="40" t="b">
        <x:v>1</x:v>
      </x:c>
      <x:c r="G58" s="31" t="str">
        <x:v>SUCCEEDED</x:v>
      </x:c>
      <x:c r="H58" s="19" t="str">
        <x:v>SUCCESS_NONZERO</x:v>
      </x:c>
      <x:c r="I58" s="28" t="n">
        <x:v>181</x:v>
      </x:c>
      <x:c r="J58" s="31" t="str">
        <x:v>warm air</x:v>
      </x:c>
      <x:c r="K58" s="19" t="str">
        <x:v>warm air (All)</x:v>
      </x:c>
      <x:c r="L58" s="31" t="str">
        <x:v>Compatible exact string/phrase for unsmoothed public Ngram retrieval (current interface supports up to seven words).</x:v>
      </x:c>
      <x:c r="M58" s="43" t="n">
        <x:v>46260.10736111111</x:v>
      </x:c>
      <x:c r="N58" s="31" t="str">
        <x:v>data/fear-temperature/ngram/raw/815c60311238a418153e263ec5d032bdb11f2ad98f6938675e0f2291e0d31283.json</x:v>
      </x:c>
      <x:c r="O58" s="46" t="str">
        <x:v>RECONSTRUCTED_FROM_REPORT</x:v>
      </x:c>
    </x:row>
    <x:row r="59" ht="27" customHeight="1">
      <x:c r="A59" s="25" t="str">
        <x:v>FT-Q-V01-055</x:v>
      </x:c>
      <x:c r="B59" s="19" t="str">
        <x:v>1988</x:v>
      </x:c>
      <x:c r="C59" s="31" t="str">
        <x:v>changing atmosphere</x:v>
      </x:c>
      <x:c r="D59" s="31" t="str">
        <x:v>EXECUTABLE_NGRAM</x:v>
      </x:c>
      <x:c r="E59" s="31" t="str">
        <x:v>COMPATIBLE</x:v>
      </x:c>
      <x:c r="F59" s="40" t="b">
        <x:v>1</x:v>
      </x:c>
      <x:c r="G59" s="31" t="str">
        <x:v>SUCCEEDED</x:v>
      </x:c>
      <x:c r="H59" s="19" t="str">
        <x:v>SUCCESS_NONZERO</x:v>
      </x:c>
      <x:c r="I59" s="28" t="n">
        <x:v>181</x:v>
      </x:c>
      <x:c r="J59" s="31" t="str">
        <x:v>changing atmosphere</x:v>
      </x:c>
      <x:c r="K59" s="19" t="str">
        <x:v>changing atmosphere (All)</x:v>
      </x:c>
      <x:c r="L59" s="31" t="str">
        <x:v>Compatible exact string/phrase for unsmoothed public Ngram retrieval (current interface supports up to seven words).</x:v>
      </x:c>
      <x:c r="M59" s="43" t="n">
        <x:v>46260.10737268518</x:v>
      </x:c>
      <x:c r="N59" s="31" t="str">
        <x:v>data/fear-temperature/ngram/raw/d85a605bd6ea660c1f4aa52a4a83b71832a460c045386101932b8aac3fb6f215.json</x:v>
      </x:c>
      <x:c r="O59" s="46" t="str">
        <x:v>RECONSTRUCTED_FROM_REPORT</x:v>
      </x:c>
    </x:row>
    <x:row r="60" ht="27" customHeight="1">
      <x:c r="A60" s="25" t="str">
        <x:v>FT-Q-V01-056</x:v>
      </x:c>
      <x:c r="B60" s="19" t="str">
        <x:v>1988</x:v>
      </x:c>
      <x:c r="C60" s="31" t="str">
        <x:v>global security</x:v>
      </x:c>
      <x:c r="D60" s="31" t="str">
        <x:v>EXECUTABLE_NGRAM</x:v>
      </x:c>
      <x:c r="E60" s="31" t="str">
        <x:v>COMPATIBLE</x:v>
      </x:c>
      <x:c r="F60" s="40" t="b">
        <x:v>1</x:v>
      </x:c>
      <x:c r="G60" s="31" t="str">
        <x:v>SUCCEEDED</x:v>
      </x:c>
      <x:c r="H60" s="19" t="str">
        <x:v>SUCCESS_NONZERO</x:v>
      </x:c>
      <x:c r="I60" s="28" t="n">
        <x:v>181</x:v>
      </x:c>
      <x:c r="J60" s="31" t="str">
        <x:v>global security</x:v>
      </x:c>
      <x:c r="K60" s="19" t="str">
        <x:v>global security (All)</x:v>
      </x:c>
      <x:c r="L60" s="31" t="str">
        <x:v>Compatible exact string/phrase for unsmoothed public Ngram retrieval (current interface supports up to seven words).</x:v>
      </x:c>
      <x:c r="M60" s="43" t="n">
        <x:v>46260.10738425926</x:v>
      </x:c>
      <x:c r="N60" s="31" t="str">
        <x:v>data/fear-temperature/ngram/raw/37f3c91b5bdb2434e5e7fbfc823d1f62804dd9a06082e829967508e3305f442f.json</x:v>
      </x:c>
      <x:c r="O60" s="46" t="str">
        <x:v>RECONSTRUCTED_FROM_REPORT</x:v>
      </x:c>
    </x:row>
    <x:row r="61" ht="27" customHeight="1">
      <x:c r="A61" s="25" t="str">
        <x:v>FT-Q-V01-057</x:v>
      </x:c>
      <x:c r="B61" s="19" t="str">
        <x:v>1988</x:v>
      </x:c>
      <x:c r="C61" s="31" t="str">
        <x:v>climate warming</x:v>
      </x:c>
      <x:c r="D61" s="31" t="str">
        <x:v>EXECUTABLE_NGRAM</x:v>
      </x:c>
      <x:c r="E61" s="31" t="str">
        <x:v>COMPATIBLE</x:v>
      </x:c>
      <x:c r="F61" s="40" t="b">
        <x:v>1</x:v>
      </x:c>
      <x:c r="G61" s="31" t="str">
        <x:v>SUCCEEDED</x:v>
      </x:c>
      <x:c r="H61" s="19" t="str">
        <x:v>SUCCESS_NONZERO</x:v>
      </x:c>
      <x:c r="I61" s="28" t="n">
        <x:v>181</x:v>
      </x:c>
      <x:c r="J61" s="31" t="str">
        <x:v>climate warming</x:v>
      </x:c>
      <x:c r="K61" s="19" t="str">
        <x:v>climate warming (All)</x:v>
      </x:c>
      <x:c r="L61" s="31" t="str">
        <x:v>Compatible exact string/phrase for unsmoothed public Ngram retrieval (current interface supports up to seven words).</x:v>
      </x:c>
      <x:c r="M61" s="43" t="n">
        <x:v>46260.107395833336</x:v>
      </x:c>
      <x:c r="N61" s="31" t="str">
        <x:v>data/fear-temperature/ngram/raw/b007c4e4f28b0d91c852846fb12cbb9f19e181cbfebe2c7ad3081912a94fdef1.json</x:v>
      </x:c>
      <x:c r="O61" s="46" t="str">
        <x:v>RECONSTRUCTED_FROM_REPORT</x:v>
      </x:c>
    </x:row>
    <x:row r="62" ht="27" customHeight="1">
      <x:c r="A62" s="25" t="str">
        <x:v>FT-Q-V01-058</x:v>
      </x:c>
      <x:c r="B62" s="19" t="str">
        <x:v>1988</x:v>
      </x:c>
      <x:c r="C62" s="31" t="str">
        <x:v>changed climatic extremes</x:v>
      </x:c>
      <x:c r="D62" s="31" t="str">
        <x:v>EXECUTABLE_NGRAM</x:v>
      </x:c>
      <x:c r="E62" s="31" t="str">
        <x:v>COMPATIBLE</x:v>
      </x:c>
      <x:c r="F62" s="40" t="b">
        <x:v>1</x:v>
      </x:c>
      <x:c r="G62" s="31" t="str">
        <x:v>ZERO_RESULT</x:v>
      </x:c>
      <x:c r="H62" s="19" t="str">
        <x:v>ZERO_RESULT</x:v>
      </x:c>
      <x:c r="I62" s="28" t="n">
        <x:v>0</x:v>
      </x:c>
      <x:c r="J62" s="31" t="str">
        <x:v>changed climatic extremes</x:v>
      </x:c>
      <x:c r="K62" s="19" t="str">
        <x:v>NOT_APPLICABLE</x:v>
      </x:c>
      <x:c r="L62" s="31" t="str">
        <x:v>Compatible exact string/phrase for unsmoothed public Ngram retrieval (current interface supports up to seven words).</x:v>
      </x:c>
      <x:c r="M62" s="43" t="n">
        <x:v>46260.107407407406</x:v>
      </x:c>
      <x:c r="N62" s="31" t="str">
        <x:v>data/fear-temperature/ngram/raw/e3c721797f491dbfd313d1ebf26dce903f725eee8b0becece08b3766489bec5e.json</x:v>
      </x:c>
      <x:c r="O62" s="46" t="str">
        <x:v>RECONSTRUCTED_FROM_REPORT</x:v>
      </x:c>
    </x:row>
    <x:row r="63" ht="27" customHeight="1">
      <x:c r="A63" s="25" t="str">
        <x:v>FT-Q-V01-059</x:v>
      </x:c>
      <x:c r="B63" s="19" t="str">
        <x:v>1988</x:v>
      </x:c>
      <x:c r="C63" s="31" t="str">
        <x:v>major threat</x:v>
      </x:c>
      <x:c r="D63" s="31" t="str">
        <x:v>EXECUTABLE_NGRAM</x:v>
      </x:c>
      <x:c r="E63" s="31" t="str">
        <x:v>COMPATIBLE</x:v>
      </x:c>
      <x:c r="F63" s="40" t="b">
        <x:v>1</x:v>
      </x:c>
      <x:c r="G63" s="31" t="str">
        <x:v>SUCCEEDED</x:v>
      </x:c>
      <x:c r="H63" s="19" t="str">
        <x:v>SUCCESS_NONZERO</x:v>
      </x:c>
      <x:c r="I63" s="28" t="n">
        <x:v>181</x:v>
      </x:c>
      <x:c r="J63" s="31" t="str">
        <x:v>major threat</x:v>
      </x:c>
      <x:c r="K63" s="19" t="str">
        <x:v>major threat (All)</x:v>
      </x:c>
      <x:c r="L63" s="31" t="str">
        <x:v>Compatible exact string/phrase for unsmoothed public Ngram retrieval (current interface supports up to seven words).</x:v>
      </x:c>
      <x:c r="M63" s="43" t="n">
        <x:v>46260.10741898148</x:v>
      </x:c>
      <x:c r="N63" s="31" t="str">
        <x:v>data/fear-temperature/ngram/raw/3852fb8c0602dd1dd7e82aede6ff96df951ae0ab14e8dff39d9436087f4b2d1e.json</x:v>
      </x:c>
      <x:c r="O63" s="46" t="str">
        <x:v>RECONSTRUCTED_FROM_REPORT</x:v>
      </x:c>
    </x:row>
    <x:row r="64" ht="27" customHeight="1">
      <x:c r="A64" s="25" t="str">
        <x:v>FT-Q-V01-060</x:v>
      </x:c>
      <x:c r="B64" s="19" t="str">
        <x:v>1988</x:v>
      </x:c>
      <x:c r="C64" s="31" t="str">
        <x:v>harmful consequences</x:v>
      </x:c>
      <x:c r="D64" s="31" t="str">
        <x:v>EXECUTABLE_NGRAM</x:v>
      </x:c>
      <x:c r="E64" s="31" t="str">
        <x:v>COMPATIBLE</x:v>
      </x:c>
      <x:c r="F64" s="40" t="b">
        <x:v>1</x:v>
      </x:c>
      <x:c r="G64" s="31" t="str">
        <x:v>SUCCEEDED</x:v>
      </x:c>
      <x:c r="H64" s="19" t="str">
        <x:v>SUCCESS_NONZERO</x:v>
      </x:c>
      <x:c r="I64" s="28" t="n">
        <x:v>181</x:v>
      </x:c>
      <x:c r="J64" s="31" t="str">
        <x:v>harmful consequences</x:v>
      </x:c>
      <x:c r="K64" s="19" t="str">
        <x:v>harmful consequences (All)</x:v>
      </x:c>
      <x:c r="L64" s="31" t="str">
        <x:v>Compatible exact string/phrase for unsmoothed public Ngram retrieval (current interface supports up to seven words).</x:v>
      </x:c>
      <x:c r="M64" s="43" t="n">
        <x:v>46260.10741898148</x:v>
      </x:c>
      <x:c r="N64" s="31" t="str">
        <x:v>data/fear-temperature/ngram/raw/ca8b82883f6811093ecec7cb6aa37b2187c9c8705f722490a53620e189c7b504.json</x:v>
      </x:c>
      <x:c r="O64" s="46" t="str">
        <x:v>RECONSTRUCTED_FROM_REPORT</x:v>
      </x:c>
    </x:row>
    <x:row r="65" ht="27" customHeight="1">
      <x:c r="A65" s="25" t="str">
        <x:v>FT-Q-V01-061</x:v>
      </x:c>
      <x:c r="B65" s="19" t="str">
        <x:v>2006–2007</x:v>
      </x:c>
      <x:c r="C65" s="31" t="str">
        <x:v>warming of the climate system</x:v>
      </x:c>
      <x:c r="D65" s="31" t="str">
        <x:v>EXECUTABLE_NGRAM</x:v>
      </x:c>
      <x:c r="E65" s="31" t="str">
        <x:v>COMPATIBLE</x:v>
      </x:c>
      <x:c r="F65" s="40" t="b">
        <x:v>1</x:v>
      </x:c>
      <x:c r="G65" s="31" t="str">
        <x:v>SUCCEEDED</x:v>
      </x:c>
      <x:c r="H65" s="19" t="str">
        <x:v>SUCCESS_NONZERO</x:v>
      </x:c>
      <x:c r="I65" s="28" t="n">
        <x:v>181</x:v>
      </x:c>
      <x:c r="J65" s="31" t="str">
        <x:v>warming of the climate system</x:v>
      </x:c>
      <x:c r="K65" s="19" t="str">
        <x:v>warming of the climate system (All)</x:v>
      </x:c>
      <x:c r="L65" s="31" t="str">
        <x:v>Compatible exact string/phrase for unsmoothed public Ngram retrieval (current interface supports up to seven words).</x:v>
      </x:c>
      <x:c r="M65" s="43" t="n">
        <x:v>46260.10743055555</x:v>
      </x:c>
      <x:c r="N65" s="31" t="str">
        <x:v>data/fear-temperature/ngram/raw/8dcf3248dddb111a1f30bab5b3545357d072f4605eedc0c49e65add20572aa70.json</x:v>
      </x:c>
      <x:c r="O65" s="46" t="str">
        <x:v>RECONSTRUCTED_FROM_REPORT</x:v>
      </x:c>
    </x:row>
    <x:row r="66" ht="27" customHeight="1">
      <x:c r="A66" s="25" t="str">
        <x:v>FT-Q-V01-062</x:v>
      </x:c>
      <x:c r="B66" s="19" t="str">
        <x:v>2006–2007</x:v>
      </x:c>
      <x:c r="C66" s="31" t="str">
        <x:v>unequivocal</x:v>
      </x:c>
      <x:c r="D66" s="31" t="str">
        <x:v>EXECUTABLE_NGRAM</x:v>
      </x:c>
      <x:c r="E66" s="31" t="str">
        <x:v>COMPATIBLE</x:v>
      </x:c>
      <x:c r="F66" s="40" t="b">
        <x:v>1</x:v>
      </x:c>
      <x:c r="G66" s="31" t="str">
        <x:v>SUCCEEDED</x:v>
      </x:c>
      <x:c r="H66" s="19" t="str">
        <x:v>SUCCESS_NONZERO</x:v>
      </x:c>
      <x:c r="I66" s="28" t="n">
        <x:v>181</x:v>
      </x:c>
      <x:c r="J66" s="31" t="str">
        <x:v>unequivocal</x:v>
      </x:c>
      <x:c r="K66" s="19" t="str">
        <x:v>unequivocal (All)</x:v>
      </x:c>
      <x:c r="L66" s="31" t="str">
        <x:v>Compatible exact string/phrase for unsmoothed public Ngram retrieval (current interface supports up to seven words).</x:v>
      </x:c>
      <x:c r="M66" s="43" t="n">
        <x:v>46260.10753472222</x:v>
      </x:c>
      <x:c r="N66" s="31" t="str">
        <x:v>data/fear-temperature/ngram/raw/589b222dcaad46517e9261b3de8c0a74d95549534dafe4e4c9401053bb014a0f.json</x:v>
      </x:c>
      <x:c r="O66" s="46" t="str">
        <x:v>RECONSTRUCTED_FROM_REPORT</x:v>
      </x:c>
    </x:row>
    <x:row r="67" ht="27" customHeight="1">
      <x:c r="A67" s="25" t="str">
        <x:v>FT-Q-V01-063</x:v>
      </x:c>
      <x:c r="B67" s="19" t="str">
        <x:v>2006–2007</x:v>
      </x:c>
      <x:c r="C67" s="31" t="str">
        <x:v>global average air and ocean temperatures</x:v>
      </x:c>
      <x:c r="D67" s="31" t="str">
        <x:v>EXECUTABLE_NGRAM</x:v>
      </x:c>
      <x:c r="E67" s="31" t="str">
        <x:v>COMPATIBLE</x:v>
      </x:c>
      <x:c r="F67" s="40" t="b">
        <x:v>1</x:v>
      </x:c>
      <x:c r="G67" s="31" t="str">
        <x:v>SUCCEEDED</x:v>
      </x:c>
      <x:c r="H67" s="19" t="str">
        <x:v>SUCCESS_NONZERO</x:v>
      </x:c>
      <x:c r="I67" s="28" t="n">
        <x:v>181</x:v>
      </x:c>
      <x:c r="J67" s="31" t="str">
        <x:v>global average air and ocean temperatures</x:v>
      </x:c>
      <x:c r="K67" s="19" t="str">
        <x:v>global average air and ocean temperatures</x:v>
      </x:c>
      <x:c r="L67" s="31" t="str">
        <x:v>Compatible exact string/phrase for unsmoothed public Ngram retrieval (current interface supports up to seven words).</x:v>
      </x:c>
      <x:c r="M67" s="43" t="n">
        <x:v>46260.1075462963</x:v>
      </x:c>
      <x:c r="N67" s="31" t="str">
        <x:v>data/fear-temperature/ngram/raw/f73af1ae45c262eb8a777b662382952c3959bd2b5435d50eb84ffa31953e7815.json</x:v>
      </x:c>
      <x:c r="O67" s="46" t="str">
        <x:v>RECONSTRUCTED_FROM_REPORT</x:v>
      </x:c>
    </x:row>
    <x:row r="68" ht="27" customHeight="1">
      <x:c r="A68" s="25" t="str">
        <x:v>FT-Q-V01-064</x:v>
      </x:c>
      <x:c r="B68" s="19" t="str">
        <x:v>2006–2007</x:v>
      </x:c>
      <x:c r="C68" s="31" t="str">
        <x:v>global surface temperature</x:v>
      </x:c>
      <x:c r="D68" s="31" t="str">
        <x:v>EXECUTABLE_NGRAM</x:v>
      </x:c>
      <x:c r="E68" s="31" t="str">
        <x:v>COMPATIBLE</x:v>
      </x:c>
      <x:c r="F68" s="40" t="b">
        <x:v>1</x:v>
      </x:c>
      <x:c r="G68" s="31" t="str">
        <x:v>SUCCEEDED</x:v>
      </x:c>
      <x:c r="H68" s="19" t="str">
        <x:v>SUCCESS_NONZERO</x:v>
      </x:c>
      <x:c r="I68" s="28" t="n">
        <x:v>181</x:v>
      </x:c>
      <x:c r="J68" s="31" t="str">
        <x:v>global surface temperature</x:v>
      </x:c>
      <x:c r="K68" s="19" t="str">
        <x:v>global surface temperature (All)</x:v>
      </x:c>
      <x:c r="L68" s="31" t="str">
        <x:v>Compatible exact string/phrase for unsmoothed public Ngram retrieval (current interface supports up to seven words).</x:v>
      </x:c>
      <x:c r="M68" s="43" t="n">
        <x:v>46260.10755787037</x:v>
      </x:c>
      <x:c r="N68" s="31" t="str">
        <x:v>data/fear-temperature/ngram/raw/0c509bcbc95a5c5d481b3d693eaf5548c14084450a9268d3c1f9640d9ccedf23.json</x:v>
      </x:c>
      <x:c r="O68" s="46" t="str">
        <x:v>RECONSTRUCTED_FROM_REPORT</x:v>
      </x:c>
    </x:row>
    <x:row r="69" ht="27" customHeight="1">
      <x:c r="A69" s="25" t="str">
        <x:v>FT-Q-V01-065</x:v>
      </x:c>
      <x:c r="B69" s="19" t="str">
        <x:v>2006–2007</x:v>
      </x:c>
      <x:c r="C69" s="31" t="str">
        <x:v>temperature increase</x:v>
      </x:c>
      <x:c r="D69" s="31" t="str">
        <x:v>EXECUTABLE_NGRAM</x:v>
      </x:c>
      <x:c r="E69" s="31" t="str">
        <x:v>COMPATIBLE</x:v>
      </x:c>
      <x:c r="F69" s="40" t="b">
        <x:v>1</x:v>
      </x:c>
      <x:c r="G69" s="31" t="str">
        <x:v>SUCCEEDED</x:v>
      </x:c>
      <x:c r="H69" s="19" t="str">
        <x:v>SUCCESS_NONZERO</x:v>
      </x:c>
      <x:c r="I69" s="28" t="n">
        <x:v>181</x:v>
      </x:c>
      <x:c r="J69" s="31" t="str">
        <x:v>temperature increase</x:v>
      </x:c>
      <x:c r="K69" s="19" t="str">
        <x:v>temperature increase (All)</x:v>
      </x:c>
      <x:c r="L69" s="31" t="str">
        <x:v>Compatible exact string/phrase for unsmoothed public Ngram retrieval (current interface supports up to seven words).</x:v>
      </x:c>
      <x:c r="M69" s="43" t="n">
        <x:v>46260.107569444444</x:v>
      </x:c>
      <x:c r="N69" s="31" t="str">
        <x:v>data/fear-temperature/ngram/raw/e6efba58d92f6e3c0b60cedfb131afc6f4d35abfc0f251f7d7b486284e4283e4.json</x:v>
      </x:c>
      <x:c r="O69" s="46" t="str">
        <x:v>RECONSTRUCTED_FROM_REPORT</x:v>
      </x:c>
    </x:row>
    <x:row r="70" ht="27" customHeight="1">
      <x:c r="A70" s="25" t="str">
        <x:v>FT-Q-V01-066</x:v>
      </x:c>
      <x:c r="B70" s="19" t="str">
        <x:v>2006–2007</x:v>
      </x:c>
      <x:c r="C70" s="31" t="str">
        <x:v>rising global average sea level</x:v>
      </x:c>
      <x:c r="D70" s="31" t="str">
        <x:v>EXECUTABLE_NGRAM</x:v>
      </x:c>
      <x:c r="E70" s="31" t="str">
        <x:v>COMPATIBLE</x:v>
      </x:c>
      <x:c r="F70" s="40" t="b">
        <x:v>1</x:v>
      </x:c>
      <x:c r="G70" s="31" t="str">
        <x:v>SUCCEEDED</x:v>
      </x:c>
      <x:c r="H70" s="19" t="str">
        <x:v>SUCCESS_NONZERO</x:v>
      </x:c>
      <x:c r="I70" s="28" t="n">
        <x:v>181</x:v>
      </x:c>
      <x:c r="J70" s="31" t="str">
        <x:v>rising global average sea level</x:v>
      </x:c>
      <x:c r="K70" s="19" t="str">
        <x:v>rising global average sea level</x:v>
      </x:c>
      <x:c r="L70" s="31" t="str">
        <x:v>Compatible exact string/phrase for unsmoothed public Ngram retrieval (current interface supports up to seven words).</x:v>
      </x:c>
      <x:c r="M70" s="43" t="n">
        <x:v>46260.107569444444</x:v>
      </x:c>
      <x:c r="N70" s="31" t="str">
        <x:v>data/fear-temperature/ngram/raw/87718eb09b1ce320108dbcce3dd7b6faaf2c6f10134af590aa1e6d5c0f1f5363.json</x:v>
      </x:c>
      <x:c r="O70" s="46" t="str">
        <x:v>RECONSTRUCTED_FROM_REPORT</x:v>
      </x:c>
    </x:row>
    <x:row r="71" ht="27" customHeight="1">
      <x:c r="A71" s="25" t="str">
        <x:v>FT-Q-V01-067</x:v>
      </x:c>
      <x:c r="B71" s="19" t="str">
        <x:v>2006–2007</x:v>
      </x:c>
      <x:c r="C71" s="31" t="str">
        <x:v>widespread melting of snow and ice</x:v>
      </x:c>
      <x:c r="D71" s="31" t="str">
        <x:v>EXECUTABLE_NGRAM</x:v>
      </x:c>
      <x:c r="E71" s="31" t="str">
        <x:v>COMPATIBLE</x:v>
      </x:c>
      <x:c r="F71" s="40" t="b">
        <x:v>1</x:v>
      </x:c>
      <x:c r="G71" s="31" t="str">
        <x:v>SUCCEEDED</x:v>
      </x:c>
      <x:c r="H71" s="19" t="str">
        <x:v>SUCCESS_NONZERO</x:v>
      </x:c>
      <x:c r="I71" s="28" t="n">
        <x:v>181</x:v>
      </x:c>
      <x:c r="J71" s="31" t="str">
        <x:v>widespread melting of snow and ice</x:v>
      </x:c>
      <x:c r="K71" s="19" t="str">
        <x:v>widespread melting of snow and ice</x:v>
      </x:c>
      <x:c r="L71" s="31" t="str">
        <x:v>Compatible exact string/phrase for unsmoothed public Ngram retrieval (current interface supports up to seven words).</x:v>
      </x:c>
      <x:c r="M71" s="43" t="n">
        <x:v>46260.10758101852</x:v>
      </x:c>
      <x:c r="N71" s="31" t="str">
        <x:v>data/fear-temperature/ngram/raw/806fa1b4d7e70879a062cfd1acba0fee5db80a00c9014f31015edfe13f8f81fa.json</x:v>
      </x:c>
      <x:c r="O71" s="46" t="str">
        <x:v>RECONSTRUCTED_FROM_REPORT</x:v>
      </x:c>
    </x:row>
    <x:row r="72" ht="27" customHeight="1">
      <x:c r="A72" s="25" t="str">
        <x:v>FT-Q-V01-068</x:v>
      </x:c>
      <x:c r="B72" s="19" t="str">
        <x:v>2006–2007</x:v>
      </x:c>
      <x:c r="C72" s="31" t="str">
        <x:v>anthropogenic CO₂</x:v>
      </x:c>
      <x:c r="D72" s="31" t="str">
        <x:v>EXECUTABLE_CORPUS_ONLY</x:v>
      </x:c>
      <x:c r="E72" s="31" t="str">
        <x:v>NUMERIC_OR_SYMBOLIC</x:v>
      </x:c>
      <x:c r="F72" s="40" t="b">
        <x:v>0</x:v>
      </x:c>
      <x:c r="G72" s="31" t="str">
        <x:v>NOT_RUN_INCOMPATIBLE</x:v>
      </x:c>
      <x:c r="H72" s="19" t="str">
        <x:v>TECHNICALLY_UNREPRESENTABLE</x:v>
      </x:c>
      <x:c r="I72" s="28" t="n">
        <x:v>0</x:v>
      </x:c>
      <x:c r="J72" s="31" t="str">
        <x:v>anthropogenic CO₂</x:v>
      </x:c>
      <x:c r="K72" s="19" t="str">
        <x:v>NOT_APPLICABLE</x:v>
      </x:c>
      <x:c r="L72" s="31" t="str">
        <x:v>Degree/subscript notation is not queried as an isolated public-interface Ngram.</x:v>
      </x:c>
      <x:c r="M72" s="43" t="str">
        <x:v>NOT_APPLICABLE</x:v>
      </x:c>
      <x:c r="N72" s="31" t="str">
        <x:v>NOT_APPLICABLE</x:v>
      </x:c>
      <x:c r="O72" s="46" t="str">
        <x:v>RECONSTRUCTED_FROM_REPORT</x:v>
      </x:c>
    </x:row>
    <x:row r="73" ht="27" customHeight="1">
      <x:c r="A73" s="25" t="str">
        <x:v>FT-Q-V01-069</x:v>
      </x:c>
      <x:c r="B73" s="19" t="str">
        <x:v>2006–2007</x:v>
      </x:c>
      <x:c r="C73" s="31" t="str">
        <x:v>anthropogenic GHG emissions</x:v>
      </x:c>
      <x:c r="D73" s="31" t="str">
        <x:v>EXECUTABLE_NGRAM</x:v>
      </x:c>
      <x:c r="E73" s="31" t="str">
        <x:v>COMPATIBLE</x:v>
      </x:c>
      <x:c r="F73" s="40" t="b">
        <x:v>1</x:v>
      </x:c>
      <x:c r="G73" s="31" t="str">
        <x:v>SUCCEEDED</x:v>
      </x:c>
      <x:c r="H73" s="19" t="str">
        <x:v>SUCCESS_NONZERO</x:v>
      </x:c>
      <x:c r="I73" s="28" t="n">
        <x:v>181</x:v>
      </x:c>
      <x:c r="J73" s="31" t="str">
        <x:v>anthropogenic GHG emissions</x:v>
      </x:c>
      <x:c r="K73" s="19" t="str">
        <x:v>anthropogenic GHG emissions (All)</x:v>
      </x:c>
      <x:c r="L73" s="31" t="str">
        <x:v>Compatible exact string/phrase for unsmoothed public Ngram retrieval (current interface supports up to seven words).</x:v>
      </x:c>
      <x:c r="M73" s="43" t="n">
        <x:v>46260.10759259259</x:v>
      </x:c>
      <x:c r="N73" s="31" t="str">
        <x:v>data/fear-temperature/ngram/raw/914334e57db329f472c585240f860566f4453aba88a7a68d703eb2b8ba0b7e47.json</x:v>
      </x:c>
      <x:c r="O73" s="46" t="str">
        <x:v>RECONSTRUCTED_FROM_REPORT</x:v>
      </x:c>
    </x:row>
    <x:row r="74" ht="27" customHeight="1">
      <x:c r="A74" s="25" t="str">
        <x:v>FT-Q-V01-070</x:v>
      </x:c>
      <x:c r="B74" s="19" t="str">
        <x:v>2006–2007</x:v>
      </x:c>
      <x:c r="C74" s="31" t="str">
        <x:v>climate change</x:v>
      </x:c>
      <x:c r="D74" s="31" t="str">
        <x:v>EXECUTABLE_NGRAM</x:v>
      </x:c>
      <x:c r="E74" s="31" t="str">
        <x:v>COMPATIBLE</x:v>
      </x:c>
      <x:c r="F74" s="40" t="b">
        <x:v>1</x:v>
      </x:c>
      <x:c r="G74" s="31" t="str">
        <x:v>SUCCEEDED</x:v>
      </x:c>
      <x:c r="H74" s="19" t="str">
        <x:v>SUCCESS_NONZERO</x:v>
      </x:c>
      <x:c r="I74" s="28" t="n">
        <x:v>181</x:v>
      </x:c>
      <x:c r="J74" s="31" t="str">
        <x:v>climate change</x:v>
      </x:c>
      <x:c r="K74" s="19" t="str">
        <x:v>climate change (All)</x:v>
      </x:c>
      <x:c r="L74" s="31" t="str">
        <x:v>Compatible exact string/phrase for unsmoothed public Ngram retrieval (current interface supports up to seven words).</x:v>
      </x:c>
      <x:c r="M74" s="43" t="n">
        <x:v>46260.10760416667</x:v>
      </x:c>
      <x:c r="N74" s="31" t="str">
        <x:v>data/fear-temperature/ngram/raw/c0c3021f09dbdf3542c85e1a8bd4e013bd4d99d85af63bbd55f5e05a6a7ddd2b.json</x:v>
      </x:c>
      <x:c r="O74" s="46" t="str">
        <x:v>RECONSTRUCTED_FROM_REPORT</x:v>
      </x:c>
    </x:row>
    <x:row r="75" ht="27" customHeight="1">
      <x:c r="A75" s="25" t="str">
        <x:v>FT-Q-V01-071</x:v>
      </x:c>
      <x:c r="B75" s="19" t="str">
        <x:v>2006–2007</x:v>
      </x:c>
      <x:c r="C75" s="31" t="str">
        <x:v>global warming</x:v>
      </x:c>
      <x:c r="D75" s="31" t="str">
        <x:v>EXECUTABLE_NGRAM</x:v>
      </x:c>
      <x:c r="E75" s="31" t="str">
        <x:v>COMPATIBLE</x:v>
      </x:c>
      <x:c r="F75" s="40" t="b">
        <x:v>1</x:v>
      </x:c>
      <x:c r="G75" s="31" t="str">
        <x:v>SUCCEEDED</x:v>
      </x:c>
      <x:c r="H75" s="19" t="str">
        <x:v>SUCCESS_NONZERO</x:v>
      </x:c>
      <x:c r="I75" s="28" t="n">
        <x:v>181</x:v>
      </x:c>
      <x:c r="J75" s="31" t="str">
        <x:v>global warming</x:v>
      </x:c>
      <x:c r="K75" s="19" t="str">
        <x:v>global warming (All)</x:v>
      </x:c>
      <x:c r="L75" s="31" t="str">
        <x:v>Compatible exact string/phrase for unsmoothed public Ngram retrieval (current interface supports up to seven words).</x:v>
      </x:c>
      <x:c r="M75" s="43" t="n">
        <x:v>46260.107256944444</x:v>
      </x:c>
      <x:c r="N75" s="31" t="str">
        <x:v>data/fear-temperature/ngram/raw/e982c3b5d6e77fc759f19bb2931d892bfaa9221ade4a44977579a8d5a8afab71.json</x:v>
      </x:c>
      <x:c r="O75" s="46" t="str">
        <x:v>RECONSTRUCTED_FROM_REPORT</x:v>
      </x:c>
    </x:row>
    <x:row r="76" ht="27" customHeight="1">
      <x:c r="A76" s="25" t="str">
        <x:v>FT-Q-V01-072</x:v>
      </x:c>
      <x:c r="B76" s="19" t="str">
        <x:v>2006–2007</x:v>
      </x:c>
      <x:c r="C76" s="31" t="str">
        <x:v>serious global threat</x:v>
      </x:c>
      <x:c r="D76" s="31" t="str">
        <x:v>EXECUTABLE_NGRAM</x:v>
      </x:c>
      <x:c r="E76" s="31" t="str">
        <x:v>COMPATIBLE</x:v>
      </x:c>
      <x:c r="F76" s="40" t="b">
        <x:v>1</x:v>
      </x:c>
      <x:c r="G76" s="31" t="str">
        <x:v>SUCCEEDED</x:v>
      </x:c>
      <x:c r="H76" s="19" t="str">
        <x:v>SUCCESS_NONZERO</x:v>
      </x:c>
      <x:c r="I76" s="28" t="n">
        <x:v>181</x:v>
      </x:c>
      <x:c r="J76" s="31" t="str">
        <x:v>serious global threat</x:v>
      </x:c>
      <x:c r="K76" s="19" t="str">
        <x:v>serious global threat</x:v>
      </x:c>
      <x:c r="L76" s="31" t="str">
        <x:v>Compatible exact string/phrase for unsmoothed public Ngram retrieval (current interface supports up to seven words).</x:v>
      </x:c>
      <x:c r="M76" s="43" t="n">
        <x:v>46260.107615740744</x:v>
      </x:c>
      <x:c r="N76" s="31" t="str">
        <x:v>data/fear-temperature/ngram/raw/5b32321ca744b813f5972199bf6100cca59a22ed8377107ee90f3439bdecbfa6.json</x:v>
      </x:c>
      <x:c r="O76" s="46" t="str">
        <x:v>RECONSTRUCTED_FROM_REPORT</x:v>
      </x:c>
    </x:row>
    <x:row r="77" ht="27" customHeight="1">
      <x:c r="A77" s="25" t="str">
        <x:v>FT-Q-V01-073</x:v>
      </x:c>
      <x:c r="B77" s="19" t="str">
        <x:v>2006–2007</x:v>
      </x:c>
      <x:c r="C77" s="31" t="str">
        <x:v>urgent global response</x:v>
      </x:c>
      <x:c r="D77" s="31" t="str">
        <x:v>EXECUTABLE_NGRAM</x:v>
      </x:c>
      <x:c r="E77" s="31" t="str">
        <x:v>COMPATIBLE</x:v>
      </x:c>
      <x:c r="F77" s="40" t="b">
        <x:v>1</x:v>
      </x:c>
      <x:c r="G77" s="31" t="str">
        <x:v>SUCCEEDED</x:v>
      </x:c>
      <x:c r="H77" s="19" t="str">
        <x:v>SUCCESS_NONZERO</x:v>
      </x:c>
      <x:c r="I77" s="28" t="n">
        <x:v>181</x:v>
      </x:c>
      <x:c r="J77" s="31" t="str">
        <x:v>urgent global response</x:v>
      </x:c>
      <x:c r="K77" s="19" t="str">
        <x:v>urgent global response</x:v>
      </x:c>
      <x:c r="L77" s="31" t="str">
        <x:v>Compatible exact string/phrase for unsmoothed public Ngram retrieval (current interface supports up to seven words).</x:v>
      </x:c>
      <x:c r="M77" s="43" t="n">
        <x:v>46260.107615740744</x:v>
      </x:c>
      <x:c r="N77" s="31" t="str">
        <x:v>data/fear-temperature/ngram/raw/2b3e1b1685a35825228a411e6215b23d8f9bb83c5a827b09d9abd02b86000899.json</x:v>
      </x:c>
      <x:c r="O77" s="46" t="str">
        <x:v>RECONSTRUCTED_FROM_REPORT</x:v>
      </x:c>
    </x:row>
    <x:row r="78" ht="27" customHeight="1">
      <x:c r="A78" s="25" t="str">
        <x:v>FT-Q-V01-074</x:v>
      </x:c>
      <x:c r="B78" s="19" t="str">
        <x:v>2006–2007</x:v>
      </x:c>
      <x:c r="C78" s="31" t="str">
        <x:v>costs and risks of climate change</x:v>
      </x:c>
      <x:c r="D78" s="31" t="str">
        <x:v>EXECUTABLE_NGRAM</x:v>
      </x:c>
      <x:c r="E78" s="31" t="str">
        <x:v>COMPATIBLE</x:v>
      </x:c>
      <x:c r="F78" s="40" t="b">
        <x:v>1</x:v>
      </x:c>
      <x:c r="G78" s="31" t="str">
        <x:v>SUCCEEDED</x:v>
      </x:c>
      <x:c r="H78" s="19" t="str">
        <x:v>SUCCESS_NONZERO</x:v>
      </x:c>
      <x:c r="I78" s="28" t="n">
        <x:v>181</x:v>
      </x:c>
      <x:c r="J78" s="31" t="str">
        <x:v>costs and risks of climate change</x:v>
      </x:c>
      <x:c r="K78" s="19" t="str">
        <x:v>costs and risks of climate change</x:v>
      </x:c>
      <x:c r="L78" s="31" t="str">
        <x:v>Compatible exact string/phrase for unsmoothed public Ngram retrieval (current interface supports up to seven words).</x:v>
      </x:c>
      <x:c r="M78" s="43" t="n">
        <x:v>46260.107627314814</x:v>
      </x:c>
      <x:c r="N78" s="31" t="str">
        <x:v>data/fear-temperature/ngram/raw/8bd78b7ad15e9e48d2ac43434782eef178ec9ab9fe62373cb5361adae97daf18.json</x:v>
      </x:c>
      <x:c r="O78" s="46" t="str">
        <x:v>RECONSTRUCTED_FROM_REPORT</x:v>
      </x:c>
    </x:row>
    <x:row r="79" ht="27" customHeight="1">
      <x:c r="A79" s="25" t="str">
        <x:v>FT-Q-V01-075</x:v>
      </x:c>
      <x:c r="B79" s="19" t="str">
        <x:v>2006–2007</x:v>
      </x:c>
      <x:c r="C79" s="31" t="str">
        <x:v>impacts of climate change</x:v>
      </x:c>
      <x:c r="D79" s="31" t="str">
        <x:v>EXECUTABLE_NGRAM</x:v>
      </x:c>
      <x:c r="E79" s="31" t="str">
        <x:v>COMPATIBLE</x:v>
      </x:c>
      <x:c r="F79" s="40" t="b">
        <x:v>1</x:v>
      </x:c>
      <x:c r="G79" s="31" t="str">
        <x:v>SUCCEEDED</x:v>
      </x:c>
      <x:c r="H79" s="19" t="str">
        <x:v>SUCCESS_NONZERO</x:v>
      </x:c>
      <x:c r="I79" s="28" t="n">
        <x:v>181</x:v>
      </x:c>
      <x:c r="J79" s="31" t="str">
        <x:v>impacts of climate change</x:v>
      </x:c>
      <x:c r="K79" s="19" t="str">
        <x:v>impacts of climate change (All)</x:v>
      </x:c>
      <x:c r="L79" s="31" t="str">
        <x:v>Compatible exact string/phrase for unsmoothed public Ngram retrieval (current interface supports up to seven words).</x:v>
      </x:c>
      <x:c r="M79" s="43" t="n">
        <x:v>46260.10763888889</x:v>
      </x:c>
      <x:c r="N79" s="31" t="str">
        <x:v>data/fear-temperature/ngram/raw/10edc30626c2300c5c7fd37f88b17289d17de5d55c5e717eb20c37a82770241c.json</x:v>
      </x:c>
      <x:c r="O79" s="46" t="str">
        <x:v>RECONSTRUCTED_FROM_REPORT</x:v>
      </x:c>
    </x:row>
    <x:row r="80" ht="27" customHeight="1">
      <x:c r="A80" s="25" t="str">
        <x:v>FT-Q-V01-076</x:v>
      </x:c>
      <x:c r="B80" s="19" t="str">
        <x:v>2006–2007</x:v>
      </x:c>
      <x:c r="C80" s="31" t="str">
        <x:v>damage</x:v>
      </x:c>
      <x:c r="D80" s="31" t="str">
        <x:v>BACKGROUND_AMBIGUOUS</x:v>
      </x:c>
      <x:c r="E80" s="31" t="str">
        <x:v>COMPATIBLE</x:v>
      </x:c>
      <x:c r="F80" s="40" t="b">
        <x:v>1</x:v>
      </x:c>
      <x:c r="G80" s="31" t="str">
        <x:v>SUCCEEDED</x:v>
      </x:c>
      <x:c r="H80" s="19" t="str">
        <x:v>SUCCESS_NONZERO</x:v>
      </x:c>
      <x:c r="I80" s="28" t="n">
        <x:v>181</x:v>
      </x:c>
      <x:c r="J80" s="31" t="str">
        <x:v>damage</x:v>
      </x:c>
      <x:c r="K80" s="19" t="str">
        <x:v>damage (All)</x:v>
      </x:c>
      <x:c r="L80" s="31" t="str">
        <x:v>Compatible exact string/phrase for unsmoothed public Ngram retrieval (current interface supports up to seven words).</x:v>
      </x:c>
      <x:c r="M80" s="43" t="n">
        <x:v>46260.10765046296</x:v>
      </x:c>
      <x:c r="N80" s="31" t="str">
        <x:v>data/fear-temperature/ngram/raw/d01f41629ee6773134a211a7026f5208a1c2513b8707a3bed0900691e7c0f8c8.json</x:v>
      </x:c>
      <x:c r="O80" s="46" t="str">
        <x:v>RECONSTRUCTED_FROM_REPORT</x:v>
      </x:c>
    </x:row>
    <x:row r="81" ht="27" customHeight="1">
      <x:c r="A81" s="25" t="str">
        <x:v>FT-Q-V01-077</x:v>
      </x:c>
      <x:c r="B81" s="19" t="str">
        <x:v>2006–2007</x:v>
      </x:c>
      <x:c r="C81" s="31" t="str">
        <x:v>hunger</x:v>
      </x:c>
      <x:c r="D81" s="31" t="str">
        <x:v>EXECUTABLE_NGRAM</x:v>
      </x:c>
      <x:c r="E81" s="31" t="str">
        <x:v>COMPATIBLE</x:v>
      </x:c>
      <x:c r="F81" s="40" t="b">
        <x:v>1</x:v>
      </x:c>
      <x:c r="G81" s="31" t="str">
        <x:v>SUCCEEDED</x:v>
      </x:c>
      <x:c r="H81" s="19" t="str">
        <x:v>SUCCESS_NONZERO</x:v>
      </x:c>
      <x:c r="I81" s="28" t="n">
        <x:v>181</x:v>
      </x:c>
      <x:c r="J81" s="31" t="str">
        <x:v>hunger</x:v>
      </x:c>
      <x:c r="K81" s="19" t="str">
        <x:v>hunger (All)</x:v>
      </x:c>
      <x:c r="L81" s="31" t="str">
        <x:v>Compatible exact string/phrase for unsmoothed public Ngram retrieval (current interface supports up to seven words).</x:v>
      </x:c>
      <x:c r="M81" s="43" t="n">
        <x:v>46260.10766203704</x:v>
      </x:c>
      <x:c r="N81" s="31" t="str">
        <x:v>data/fear-temperature/ngram/raw/316db15cf9762a5992d3f01731d219bae77ccddd5b4e7b3a3624d6529956f51c.json</x:v>
      </x:c>
      <x:c r="O81" s="46" t="str">
        <x:v>RECONSTRUCTED_FROM_REPORT</x:v>
      </x:c>
    </x:row>
    <x:row r="82" ht="27" customHeight="1">
      <x:c r="A82" s="25" t="str">
        <x:v>FT-Q-V01-078</x:v>
      </x:c>
      <x:c r="B82" s="19" t="str">
        <x:v>2006–2007</x:v>
      </x:c>
      <x:c r="C82" s="31" t="str">
        <x:v>water shortages</x:v>
      </x:c>
      <x:c r="D82" s="31" t="str">
        <x:v>EXECUTABLE_NGRAM</x:v>
      </x:c>
      <x:c r="E82" s="31" t="str">
        <x:v>COMPATIBLE</x:v>
      </x:c>
      <x:c r="F82" s="40" t="b">
        <x:v>1</x:v>
      </x:c>
      <x:c r="G82" s="31" t="str">
        <x:v>SUCCEEDED</x:v>
      </x:c>
      <x:c r="H82" s="19" t="str">
        <x:v>SUCCESS_NONZERO</x:v>
      </x:c>
      <x:c r="I82" s="28" t="n">
        <x:v>181</x:v>
      </x:c>
      <x:c r="J82" s="31" t="str">
        <x:v>water shortages</x:v>
      </x:c>
      <x:c r="K82" s="19" t="str">
        <x:v>water shortages (All)</x:v>
      </x:c>
      <x:c r="L82" s="31" t="str">
        <x:v>Compatible exact string/phrase for unsmoothed public Ngram retrieval (current interface supports up to seven words).</x:v>
      </x:c>
      <x:c r="M82" s="43" t="n">
        <x:v>46260.10766203704</x:v>
      </x:c>
      <x:c r="N82" s="31" t="str">
        <x:v>data/fear-temperature/ngram/raw/1efef2d790a347bb687eb3d223fce6047f4cbe50b45e07fb13a40f36a37a8053.json</x:v>
      </x:c>
      <x:c r="O82" s="46" t="str">
        <x:v>RECONSTRUCTED_FROM_REPORT</x:v>
      </x:c>
    </x:row>
    <x:row r="83" ht="27" customHeight="1">
      <x:c r="A83" s="25" t="str">
        <x:v>FT-Q-V01-079</x:v>
      </x:c>
      <x:c r="B83" s="19" t="str">
        <x:v>2006–2007</x:v>
      </x:c>
      <x:c r="C83" s="31" t="str">
        <x:v>coastal flooding</x:v>
      </x:c>
      <x:c r="D83" s="31" t="str">
        <x:v>EXECUTABLE_NGRAM</x:v>
      </x:c>
      <x:c r="E83" s="31" t="str">
        <x:v>COMPATIBLE</x:v>
      </x:c>
      <x:c r="F83" s="40" t="b">
        <x:v>1</x:v>
      </x:c>
      <x:c r="G83" s="31" t="str">
        <x:v>SUCCEEDED</x:v>
      </x:c>
      <x:c r="H83" s="19" t="str">
        <x:v>SUCCESS_NONZERO</x:v>
      </x:c>
      <x:c r="I83" s="28" t="n">
        <x:v>181</x:v>
      </x:c>
      <x:c r="J83" s="31" t="str">
        <x:v>coastal flooding</x:v>
      </x:c>
      <x:c r="K83" s="19" t="str">
        <x:v>coastal flooding (All)</x:v>
      </x:c>
      <x:c r="L83" s="31" t="str">
        <x:v>Compatible exact string/phrase for unsmoothed public Ngram retrieval (current interface supports up to seven words).</x:v>
      </x:c>
      <x:c r="M83" s="43" t="n">
        <x:v>46260.10767361111</x:v>
      </x:c>
      <x:c r="N83" s="31" t="str">
        <x:v>data/fear-temperature/ngram/raw/52bfa613753c4eadca65ad755383bb46d16281d2f73bd1c629782b94ca7ca635.json</x:v>
      </x:c>
      <x:c r="O83" s="46" t="str">
        <x:v>RECONSTRUCTED_FROM_REPORT</x:v>
      </x:c>
    </x:row>
    <x:row r="84" ht="27" customHeight="1">
      <x:c r="A84" s="25" t="str">
        <x:v>FT-Q-V01-080</x:v>
      </x:c>
      <x:c r="B84" s="19" t="str">
        <x:v>2006–2007</x:v>
      </x:c>
      <x:c r="C84" s="31" t="str">
        <x:v>worst impacts</x:v>
      </x:c>
      <x:c r="D84" s="31" t="str">
        <x:v>EXECUTABLE_NGRAM</x:v>
      </x:c>
      <x:c r="E84" s="31" t="str">
        <x:v>COMPATIBLE</x:v>
      </x:c>
      <x:c r="F84" s="40" t="b">
        <x:v>1</x:v>
      </x:c>
      <x:c r="G84" s="31" t="str">
        <x:v>SUCCEEDED</x:v>
      </x:c>
      <x:c r="H84" s="19" t="str">
        <x:v>SUCCESS_NONZERO</x:v>
      </x:c>
      <x:c r="I84" s="28" t="n">
        <x:v>181</x:v>
      </x:c>
      <x:c r="J84" s="31" t="str">
        <x:v>worst impacts</x:v>
      </x:c>
      <x:c r="K84" s="19" t="str">
        <x:v>worst impacts (All)</x:v>
      </x:c>
      <x:c r="L84" s="31" t="str">
        <x:v>Compatible exact string/phrase for unsmoothed public Ngram retrieval (current interface supports up to seven words).</x:v>
      </x:c>
      <x:c r="M84" s="43" t="n">
        <x:v>46260.10768518518</x:v>
      </x:c>
      <x:c r="N84" s="31" t="str">
        <x:v>data/fear-temperature/ngram/raw/ef191d5d6d10d37fbddf1313d24b7921544ca0578b9663de780c6b926ed9497b.json</x:v>
      </x:c>
      <x:c r="O84" s="46" t="str">
        <x:v>RECONSTRUCTED_FROM_REPORT</x:v>
      </x:c>
    </x:row>
    <x:row r="85" ht="27" customHeight="1">
      <x:c r="A85" s="25" t="str">
        <x:v>FT-Q-V01-081</x:v>
      </x:c>
      <x:c r="B85" s="19" t="str">
        <x:v>2015</x:v>
      </x:c>
      <x:c r="C85" s="31" t="str">
        <x:v>climate change</x:v>
      </x:c>
      <x:c r="D85" s="31" t="str">
        <x:v>EXECUTABLE_NGRAM</x:v>
      </x:c>
      <x:c r="E85" s="31" t="str">
        <x:v>COMPATIBLE</x:v>
      </x:c>
      <x:c r="F85" s="40" t="b">
        <x:v>1</x:v>
      </x:c>
      <x:c r="G85" s="31" t="str">
        <x:v>SUCCEEDED</x:v>
      </x:c>
      <x:c r="H85" s="19" t="str">
        <x:v>SUCCESS_NONZERO</x:v>
      </x:c>
      <x:c r="I85" s="28" t="n">
        <x:v>181</x:v>
      </x:c>
      <x:c r="J85" s="31" t="str">
        <x:v>climate change</x:v>
      </x:c>
      <x:c r="K85" s="19" t="str">
        <x:v>climate change (All)</x:v>
      </x:c>
      <x:c r="L85" s="31" t="str">
        <x:v>Compatible exact string/phrase for unsmoothed public Ngram retrieval (current interface supports up to seven words).</x:v>
      </x:c>
      <x:c r="M85" s="43" t="n">
        <x:v>46260.10760416667</x:v>
      </x:c>
      <x:c r="N85" s="31" t="str">
        <x:v>data/fear-temperature/ngram/raw/c0c3021f09dbdf3542c85e1a8bd4e013bd4d99d85af63bbd55f5e05a6a7ddd2b.json</x:v>
      </x:c>
      <x:c r="O85" s="46" t="str">
        <x:v>RECONSTRUCTED_FROM_REPORT</x:v>
      </x:c>
    </x:row>
    <x:row r="86" ht="27" customHeight="1">
      <x:c r="A86" s="25" t="str">
        <x:v>FT-Q-V01-082</x:v>
      </x:c>
      <x:c r="B86" s="19" t="str">
        <x:v>2015</x:v>
      </x:c>
      <x:c r="C86" s="31" t="str">
        <x:v>threat of climate change</x:v>
      </x:c>
      <x:c r="D86" s="31" t="str">
        <x:v>EXECUTABLE_NGRAM</x:v>
      </x:c>
      <x:c r="E86" s="31" t="str">
        <x:v>COMPATIBLE</x:v>
      </x:c>
      <x:c r="F86" s="40" t="b">
        <x:v>1</x:v>
      </x:c>
      <x:c r="G86" s="31" t="str">
        <x:v>SUCCEEDED</x:v>
      </x:c>
      <x:c r="H86" s="19" t="str">
        <x:v>SUCCESS_NONZERO</x:v>
      </x:c>
      <x:c r="I86" s="28" t="n">
        <x:v>181</x:v>
      </x:c>
      <x:c r="J86" s="31" t="str">
        <x:v>threat of climate change</x:v>
      </x:c>
      <x:c r="K86" s="19" t="str">
        <x:v>threat of climate change (All)</x:v>
      </x:c>
      <x:c r="L86" s="31" t="str">
        <x:v>Compatible exact string/phrase for unsmoothed public Ngram retrieval (current interface supports up to seven words).</x:v>
      </x:c>
      <x:c r="M86" s="43" t="n">
        <x:v>46260.10769675926</x:v>
      </x:c>
      <x:c r="N86" s="31" t="str">
        <x:v>data/fear-temperature/ngram/raw/80f335fb2f081618fb98e644333ac39d4ab1da3118610e2c37f4c52eaba6f01e.json</x:v>
      </x:c>
      <x:c r="O86" s="46" t="str">
        <x:v>RECONSTRUCTED_FROM_REPORT</x:v>
      </x:c>
    </x:row>
    <x:row r="87" ht="27" customHeight="1">
      <x:c r="A87" s="25" t="str">
        <x:v>FT-Q-V01-083</x:v>
      </x:c>
      <x:c r="B87" s="19" t="str">
        <x:v>2015</x:v>
      </x:c>
      <x:c r="C87" s="31" t="str">
        <x:v>global average temperature</x:v>
      </x:c>
      <x:c r="D87" s="31" t="str">
        <x:v>EXECUTABLE_NGRAM</x:v>
      </x:c>
      <x:c r="E87" s="31" t="str">
        <x:v>COMPATIBLE</x:v>
      </x:c>
      <x:c r="F87" s="40" t="b">
        <x:v>1</x:v>
      </x:c>
      <x:c r="G87" s="31" t="str">
        <x:v>SUCCEEDED</x:v>
      </x:c>
      <x:c r="H87" s="19" t="str">
        <x:v>SUCCESS_NONZERO</x:v>
      </x:c>
      <x:c r="I87" s="28" t="n">
        <x:v>181</x:v>
      </x:c>
      <x:c r="J87" s="31" t="str">
        <x:v>global average temperature</x:v>
      </x:c>
      <x:c r="K87" s="19" t="str">
        <x:v>global average temperature (All)</x:v>
      </x:c>
      <x:c r="L87" s="31" t="str">
        <x:v>Compatible exact string/phrase for unsmoothed public Ngram retrieval (current interface supports up to seven words).</x:v>
      </x:c>
      <x:c r="M87" s="43" t="n">
        <x:v>46260.10770833334</x:v>
      </x:c>
      <x:c r="N87" s="31" t="str">
        <x:v>data/fear-temperature/ngram/raw/fec10abcfbf0091d0548b70a06317daaadc5fc16f753d8243a75bd2e1dbbcb94.json</x:v>
      </x:c>
      <x:c r="O87" s="46" t="str">
        <x:v>RECONSTRUCTED_FROM_REPORT</x:v>
      </x:c>
    </x:row>
    <x:row r="88" ht="27" customHeight="1">
      <x:c r="A88" s="25" t="str">
        <x:v>FT-Q-V01-084</x:v>
      </x:c>
      <x:c r="B88" s="19" t="str">
        <x:v>2015</x:v>
      </x:c>
      <x:c r="C88" s="31" t="str">
        <x:v>well below 2°C above pre-industrial levels</x:v>
      </x:c>
      <x:c r="D88" s="31" t="str">
        <x:v>EXECUTABLE_CORPUS_ONLY</x:v>
      </x:c>
      <x:c r="E88" s="31" t="str">
        <x:v>NUMERIC_OR_SYMBOLIC</x:v>
      </x:c>
      <x:c r="F88" s="40" t="b">
        <x:v>0</x:v>
      </x:c>
      <x:c r="G88" s="31" t="str">
        <x:v>NOT_RUN_INCOMPATIBLE</x:v>
      </x:c>
      <x:c r="H88" s="19" t="str">
        <x:v>TECHNICALLY_UNREPRESENTABLE</x:v>
      </x:c>
      <x:c r="I88" s="28" t="n">
        <x:v>0</x:v>
      </x:c>
      <x:c r="J88" s="31" t="str">
        <x:v>well below 2°C above pre-industrial levels</x:v>
      </x:c>
      <x:c r="K88" s="19" t="str">
        <x:v>NOT_APPLICABLE</x:v>
      </x:c>
      <x:c r="L88" s="31" t="str">
        <x:v>Degree/subscript notation is not queried as an isolated public-interface Ngram.</x:v>
      </x:c>
      <x:c r="M88" s="43" t="str">
        <x:v>NOT_APPLICABLE</x:v>
      </x:c>
      <x:c r="N88" s="31" t="str">
        <x:v>NOT_APPLICABLE</x:v>
      </x:c>
      <x:c r="O88" s="46" t="str">
        <x:v>RECONSTRUCTED_FROM_REPORT</x:v>
      </x:c>
    </x:row>
    <x:row r="89" ht="27" customHeight="1">
      <x:c r="A89" s="25" t="str">
        <x:v>FT-Q-V01-085</x:v>
      </x:c>
      <x:c r="B89" s="19" t="str">
        <x:v>2015</x:v>
      </x:c>
      <x:c r="C89" s="31" t="str">
        <x:v>1.5°C above pre-industrial levels</x:v>
      </x:c>
      <x:c r="D89" s="31" t="str">
        <x:v>EXECUTABLE_CORPUS_ONLY</x:v>
      </x:c>
      <x:c r="E89" s="31" t="str">
        <x:v>NUMERIC_OR_SYMBOLIC</x:v>
      </x:c>
      <x:c r="F89" s="40" t="b">
        <x:v>0</x:v>
      </x:c>
      <x:c r="G89" s="31" t="str">
        <x:v>NOT_RUN_INCOMPATIBLE</x:v>
      </x:c>
      <x:c r="H89" s="19" t="str">
        <x:v>TECHNICALLY_UNREPRESENTABLE</x:v>
      </x:c>
      <x:c r="I89" s="28" t="n">
        <x:v>0</x:v>
      </x:c>
      <x:c r="J89" s="31" t="str">
        <x:v>1.5°C above pre-industrial levels</x:v>
      </x:c>
      <x:c r="K89" s="19" t="str">
        <x:v>NOT_APPLICABLE</x:v>
      </x:c>
      <x:c r="L89" s="31" t="str">
        <x:v>Degree/subscript notation is not queried as an isolated public-interface Ngram.</x:v>
      </x:c>
      <x:c r="M89" s="43" t="str">
        <x:v>NOT_APPLICABLE</x:v>
      </x:c>
      <x:c r="N89" s="31" t="str">
        <x:v>NOT_APPLICABLE</x:v>
      </x:c>
      <x:c r="O89" s="46" t="str">
        <x:v>RECONSTRUCTED_FROM_REPORT</x:v>
      </x:c>
    </x:row>
    <x:row r="90" ht="27" customHeight="1">
      <x:c r="A90" s="25" t="str">
        <x:v>FT-Q-V01-086</x:v>
      </x:c>
      <x:c r="B90" s="19" t="str">
        <x:v>2015</x:v>
      </x:c>
      <x:c r="C90" s="31" t="str">
        <x:v>pre-industrial levels</x:v>
      </x:c>
      <x:c r="D90" s="31" t="str">
        <x:v>EXECUTABLE_NGRAM</x:v>
      </x:c>
      <x:c r="E90" s="31" t="str">
        <x:v>COMPATIBLE</x:v>
      </x:c>
      <x:c r="F90" s="40" t="b">
        <x:v>1</x:v>
      </x:c>
      <x:c r="G90" s="31" t="str">
        <x:v>SUCCEEDED</x:v>
      </x:c>
      <x:c r="H90" s="19" t="str">
        <x:v>SUCCESS_NONZERO</x:v>
      </x:c>
      <x:c r="I90" s="28" t="n">
        <x:v>181</x:v>
      </x:c>
      <x:c r="J90" s="31" t="str">
        <x:v>pre-industrial levels</x:v>
      </x:c>
      <x:c r="K90" s="19" t="str">
        <x:v>pre - industrial levels (All)</x:v>
      </x:c>
      <x:c r="L90" s="31" t="str">
        <x:v>Compatible exact string/phrase for unsmoothed public Ngram retrieval (current interface supports up to seven words).</x:v>
      </x:c>
      <x:c r="M90" s="43" t="n">
        <x:v>46260.107719907406</x:v>
      </x:c>
      <x:c r="N90" s="31" t="str">
        <x:v>data/fear-temperature/ngram/raw/2881b2893bb9f90b34c6b55e69b178f175071000fb539d5b087f62591c3d0923.json</x:v>
      </x:c>
      <x:c r="O90" s="46" t="str">
        <x:v>RECONSTRUCTED_FROM_REPORT</x:v>
      </x:c>
    </x:row>
    <x:row r="91" ht="27" customHeight="1">
      <x:c r="A91" s="25" t="str">
        <x:v>FT-Q-V01-087</x:v>
      </x:c>
      <x:c r="B91" s="19" t="str">
        <x:v>2015</x:v>
      </x:c>
      <x:c r="C91" s="31" t="str">
        <x:v>risks and impacts</x:v>
      </x:c>
      <x:c r="D91" s="31" t="str">
        <x:v>EXECUTABLE_NGRAM</x:v>
      </x:c>
      <x:c r="E91" s="31" t="str">
        <x:v>COMPATIBLE</x:v>
      </x:c>
      <x:c r="F91" s="40" t="b">
        <x:v>1</x:v>
      </x:c>
      <x:c r="G91" s="31" t="str">
        <x:v>SUCCEEDED</x:v>
      </x:c>
      <x:c r="H91" s="19" t="str">
        <x:v>SUCCESS_NONZERO</x:v>
      </x:c>
      <x:c r="I91" s="28" t="n">
        <x:v>181</x:v>
      </x:c>
      <x:c r="J91" s="31" t="str">
        <x:v>risks and impacts</x:v>
      </x:c>
      <x:c r="K91" s="19" t="str">
        <x:v>risks and impacts (All)</x:v>
      </x:c>
      <x:c r="L91" s="31" t="str">
        <x:v>Compatible exact string/phrase for unsmoothed public Ngram retrieval (current interface supports up to seven words).</x:v>
      </x:c>
      <x:c r="M91" s="43" t="n">
        <x:v>46260.107719907406</x:v>
      </x:c>
      <x:c r="N91" s="31" t="str">
        <x:v>data/fear-temperature/ngram/raw/f2eee010d3ab2ac253dad16e8a988ee29a535b3f9fd3c70274c871172742c1fa.json</x:v>
      </x:c>
      <x:c r="O91" s="46" t="str">
        <x:v>RECONSTRUCTED_FROM_REPORT</x:v>
      </x:c>
    </x:row>
    <x:row r="92" ht="27" customHeight="1">
      <x:c r="A92" s="25" t="str">
        <x:v>FT-Q-V01-088</x:v>
      </x:c>
      <x:c r="B92" s="19" t="str">
        <x:v>2015</x:v>
      </x:c>
      <x:c r="C92" s="31" t="str">
        <x:v>adverse impacts</x:v>
      </x:c>
      <x:c r="D92" s="31" t="str">
        <x:v>EXECUTABLE_NGRAM</x:v>
      </x:c>
      <x:c r="E92" s="31" t="str">
        <x:v>COMPATIBLE</x:v>
      </x:c>
      <x:c r="F92" s="40" t="b">
        <x:v>1</x:v>
      </x:c>
      <x:c r="G92" s="31" t="str">
        <x:v>SUCCEEDED</x:v>
      </x:c>
      <x:c r="H92" s="19" t="str">
        <x:v>SUCCESS_NONZERO</x:v>
      </x:c>
      <x:c r="I92" s="28" t="n">
        <x:v>181</x:v>
      </x:c>
      <x:c r="J92" s="31" t="str">
        <x:v>adverse impacts</x:v>
      </x:c>
      <x:c r="K92" s="19" t="str">
        <x:v>adverse impacts (All)</x:v>
      </x:c>
      <x:c r="L92" s="31" t="str">
        <x:v>Compatible exact string/phrase for unsmoothed public Ngram retrieval (current interface supports up to seven words).</x:v>
      </x:c>
      <x:c r="M92" s="43" t="n">
        <x:v>46260.10773148148</x:v>
      </x:c>
      <x:c r="N92" s="31" t="str">
        <x:v>data/fear-temperature/ngram/raw/ca32195a736f01bebb286362f731491393c9174f8b7dda50446f400cf3ec81ea.json</x:v>
      </x:c>
      <x:c r="O92" s="46" t="str">
        <x:v>RECONSTRUCTED_FROM_REPORT</x:v>
      </x:c>
    </x:row>
    <x:row r="93" ht="27" customHeight="1">
      <x:c r="A93" s="25" t="str">
        <x:v>FT-Q-V01-089</x:v>
      </x:c>
      <x:c r="B93" s="19" t="str">
        <x:v>2015</x:v>
      </x:c>
      <x:c r="C93" s="31" t="str">
        <x:v>adverse effects of climate change</x:v>
      </x:c>
      <x:c r="D93" s="31" t="str">
        <x:v>EXECUTABLE_NGRAM</x:v>
      </x:c>
      <x:c r="E93" s="31" t="str">
        <x:v>COMPATIBLE</x:v>
      </x:c>
      <x:c r="F93" s="40" t="b">
        <x:v>1</x:v>
      </x:c>
      <x:c r="G93" s="31" t="str">
        <x:v>SUCCEEDED</x:v>
      </x:c>
      <x:c r="H93" s="19" t="str">
        <x:v>SUCCESS_NONZERO</x:v>
      </x:c>
      <x:c r="I93" s="28" t="n">
        <x:v>181</x:v>
      </x:c>
      <x:c r="J93" s="31" t="str">
        <x:v>adverse effects of climate change</x:v>
      </x:c>
      <x:c r="K93" s="19" t="str">
        <x:v>adverse effects of climate change (All)</x:v>
      </x:c>
      <x:c r="L93" s="31" t="str">
        <x:v>Compatible exact string/phrase for unsmoothed public Ngram retrieval (current interface supports up to seven words).</x:v>
      </x:c>
      <x:c r="M93" s="43" t="n">
        <x:v>46260.10774305555</x:v>
      </x:c>
      <x:c r="N93" s="31" t="str">
        <x:v>data/fear-temperature/ngram/raw/6cd471adbfc5a4ba1c140cf1b0bb66ae2800dcb64e4a80dc1708e81d2b1e0278.json</x:v>
      </x:c>
      <x:c r="O93" s="46" t="str">
        <x:v>RECONSTRUCTED_FROM_REPORT</x:v>
      </x:c>
    </x:row>
    <x:row r="94" ht="27" customHeight="1">
      <x:c r="A94" s="25" t="str">
        <x:v>FT-Q-V01-090</x:v>
      </x:c>
      <x:c r="B94" s="19" t="str">
        <x:v>2015</x:v>
      </x:c>
      <x:c r="C94" s="31" t="str">
        <x:v>greenhouse gas emissions</x:v>
      </x:c>
      <x:c r="D94" s="31" t="str">
        <x:v>EXECUTABLE_NGRAM</x:v>
      </x:c>
      <x:c r="E94" s="31" t="str">
        <x:v>COMPATIBLE</x:v>
      </x:c>
      <x:c r="F94" s="40" t="b">
        <x:v>1</x:v>
      </x:c>
      <x:c r="G94" s="31" t="str">
        <x:v>SUCCEEDED</x:v>
      </x:c>
      <x:c r="H94" s="19" t="str">
        <x:v>SUCCESS_NONZERO</x:v>
      </x:c>
      <x:c r="I94" s="28" t="n">
        <x:v>181</x:v>
      </x:c>
      <x:c r="J94" s="31" t="str">
        <x:v>greenhouse gas emissions</x:v>
      </x:c>
      <x:c r="K94" s="19" t="str">
        <x:v>greenhouse gas emissions (All)</x:v>
      </x:c>
      <x:c r="L94" s="31" t="str">
        <x:v>Compatible exact string/phrase for unsmoothed public Ngram retrieval (current interface supports up to seven words).</x:v>
      </x:c>
      <x:c r="M94" s="43" t="n">
        <x:v>46260.10775462963</x:v>
      </x:c>
      <x:c r="N94" s="31" t="str">
        <x:v>data/fear-temperature/ngram/raw/76b11e33a5bc00d4a70cd7cd5a433e1f985ce44395b87f40f95baf9a424ebb9f.json</x:v>
      </x:c>
      <x:c r="O94" s="46" t="str">
        <x:v>RECONSTRUCTED_FROM_REPORT</x:v>
      </x:c>
    </x:row>
    <x:row r="95" ht="27" customHeight="1">
      <x:c r="A95" s="25" t="str">
        <x:v>FT-Q-V01-091</x:v>
      </x:c>
      <x:c r="B95" s="19" t="str">
        <x:v>2015</x:v>
      </x:c>
      <x:c r="C95" s="31" t="str">
        <x:v>climate resilience</x:v>
      </x:c>
      <x:c r="D95" s="31" t="str">
        <x:v>EXECUTABLE_NGRAM</x:v>
      </x:c>
      <x:c r="E95" s="31" t="str">
        <x:v>COMPATIBLE</x:v>
      </x:c>
      <x:c r="F95" s="40" t="b">
        <x:v>1</x:v>
      </x:c>
      <x:c r="G95" s="31" t="str">
        <x:v>SUCCEEDED</x:v>
      </x:c>
      <x:c r="H95" s="19" t="str">
        <x:v>SUCCESS_NONZERO</x:v>
      </x:c>
      <x:c r="I95" s="28" t="n">
        <x:v>181</x:v>
      </x:c>
      <x:c r="J95" s="31" t="str">
        <x:v>climate resilience</x:v>
      </x:c>
      <x:c r="K95" s="19" t="str">
        <x:v>climate resilience (All)</x:v>
      </x:c>
      <x:c r="L95" s="31" t="str">
        <x:v>Compatible exact string/phrase for unsmoothed public Ngram retrieval (current interface supports up to seven words).</x:v>
      </x:c>
      <x:c r="M95" s="43" t="n">
        <x:v>46260.107766203706</x:v>
      </x:c>
      <x:c r="N95" s="31" t="str">
        <x:v>data/fear-temperature/ngram/raw/92704c26947e3df5352fb6efc8254b2c45a554c7aeacf18289357f8535c68963.json</x:v>
      </x:c>
      <x:c r="O95" s="46" t="str">
        <x:v>RECONSTRUCTED_FROM_REPORT</x:v>
      </x:c>
    </x:row>
    <x:row r="96" ht="27" customHeight="1">
      <x:c r="A96" s="25" t="str">
        <x:v>FT-Q-V01-092</x:v>
      </x:c>
      <x:c r="B96" s="19" t="str">
        <x:v>2015</x:v>
      </x:c>
      <x:c r="C96" s="31" t="str">
        <x:v>vulnerability</x:v>
      </x:c>
      <x:c r="D96" s="31" t="str">
        <x:v>EXECUTABLE_NGRAM</x:v>
      </x:c>
      <x:c r="E96" s="31" t="str">
        <x:v>COMPATIBLE</x:v>
      </x:c>
      <x:c r="F96" s="40" t="b">
        <x:v>1</x:v>
      </x:c>
      <x:c r="G96" s="31" t="str">
        <x:v>SUCCEEDED</x:v>
      </x:c>
      <x:c r="H96" s="19" t="str">
        <x:v>SUCCESS_NONZERO</x:v>
      </x:c>
      <x:c r="I96" s="28" t="n">
        <x:v>181</x:v>
      </x:c>
      <x:c r="J96" s="31" t="str">
        <x:v>vulnerability</x:v>
      </x:c>
      <x:c r="K96" s="19" t="str">
        <x:v>vulnerability (All)</x:v>
      </x:c>
      <x:c r="L96" s="31" t="str">
        <x:v>Compatible exact string/phrase for unsmoothed public Ngram retrieval (current interface supports up to seven words).</x:v>
      </x:c>
      <x:c r="M96" s="43" t="n">
        <x:v>46260.107777777775</x:v>
      </x:c>
      <x:c r="N96" s="31" t="str">
        <x:v>data/fear-temperature/ngram/raw/e3aaf62677c5b9972e9e9767131d1c45ead25c9c6ac869d7f84391f12e762596.json</x:v>
      </x:c>
      <x:c r="O96" s="46" t="str">
        <x:v>RECONSTRUCTED_FROM_REPORT</x:v>
      </x:c>
    </x:row>
    <x:row r="97" ht="27" customHeight="1">
      <x:c r="A97" s="25" t="str">
        <x:v>FT-Q-V01-093</x:v>
      </x:c>
      <x:c r="B97" s="19" t="str">
        <x:v>2015</x:v>
      </x:c>
      <x:c r="C97" s="31" t="str">
        <x:v>vulnerable groups</x:v>
      </x:c>
      <x:c r="D97" s="31" t="str">
        <x:v>EXECUTABLE_NGRAM</x:v>
      </x:c>
      <x:c r="E97" s="31" t="str">
        <x:v>COMPATIBLE</x:v>
      </x:c>
      <x:c r="F97" s="40" t="b">
        <x:v>1</x:v>
      </x:c>
      <x:c r="G97" s="31" t="str">
        <x:v>SUCCEEDED</x:v>
      </x:c>
      <x:c r="H97" s="19" t="str">
        <x:v>SUCCESS_NONZERO</x:v>
      </x:c>
      <x:c r="I97" s="28" t="n">
        <x:v>181</x:v>
      </x:c>
      <x:c r="J97" s="31" t="str">
        <x:v>vulnerable groups</x:v>
      </x:c>
      <x:c r="K97" s="19" t="str">
        <x:v>vulnerable groups (All)</x:v>
      </x:c>
      <x:c r="L97" s="31" t="str">
        <x:v>Compatible exact string/phrase for unsmoothed public Ngram retrieval (current interface supports up to seven words).</x:v>
      </x:c>
      <x:c r="M97" s="43" t="n">
        <x:v>46260.107777777775</x:v>
      </x:c>
      <x:c r="N97" s="31" t="str">
        <x:v>data/fear-temperature/ngram/raw/c1c2349a76191b6ffd2a6c32c4dea78e0f8dec919502a5c3d1bfe00aad11a917.json</x:v>
      </x:c>
      <x:c r="O97" s="46" t="str">
        <x:v>RECONSTRUCTED_FROM_REPORT</x:v>
      </x:c>
    </x:row>
    <x:row r="98" ht="27" customHeight="1">
      <x:c r="A98" s="25" t="str">
        <x:v>FT-Q-V01-094</x:v>
      </x:c>
      <x:c r="B98" s="19" t="str">
        <x:v>2015</x:v>
      </x:c>
      <x:c r="C98" s="31" t="str">
        <x:v>loss and damage</x:v>
      </x:c>
      <x:c r="D98" s="31" t="str">
        <x:v>EXECUTABLE_NGRAM</x:v>
      </x:c>
      <x:c r="E98" s="31" t="str">
        <x:v>COMPATIBLE</x:v>
      </x:c>
      <x:c r="F98" s="40" t="b">
        <x:v>1</x:v>
      </x:c>
      <x:c r="G98" s="31" t="str">
        <x:v>SUCCEEDED</x:v>
      </x:c>
      <x:c r="H98" s="19" t="str">
        <x:v>SUCCESS_NONZERO</x:v>
      </x:c>
      <x:c r="I98" s="28" t="n">
        <x:v>181</x:v>
      </x:c>
      <x:c r="J98" s="31" t="str">
        <x:v>loss and damage</x:v>
      </x:c>
      <x:c r="K98" s="19" t="str">
        <x:v>loss and damage (All)</x:v>
      </x:c>
      <x:c r="L98" s="31" t="str">
        <x:v>Compatible exact string/phrase for unsmoothed public Ngram retrieval (current interface supports up to seven words).</x:v>
      </x:c>
      <x:c r="M98" s="43" t="n">
        <x:v>46260.10778935185</x:v>
      </x:c>
      <x:c r="N98" s="31" t="str">
        <x:v>data/fear-temperature/ngram/raw/2a8f32859c14ca29219aef3fba343d7b66fdc9599f2050be8c5c3ae3c3caff20.json</x:v>
      </x:c>
      <x:c r="O98" s="46" t="str">
        <x:v>RECONSTRUCTED_FROM_REPORT</x:v>
      </x:c>
    </x:row>
    <x:row r="99" ht="27" customHeight="1">
      <x:c r="A99" s="25" t="str">
        <x:v>FT-Q-V01-095</x:v>
      </x:c>
      <x:c r="B99" s="19" t="str">
        <x:v>2015</x:v>
      </x:c>
      <x:c r="C99" s="31" t="str">
        <x:v>extreme weather events</x:v>
      </x:c>
      <x:c r="D99" s="31" t="str">
        <x:v>EXECUTABLE_NGRAM</x:v>
      </x:c>
      <x:c r="E99" s="31" t="str">
        <x:v>COMPATIBLE</x:v>
      </x:c>
      <x:c r="F99" s="40" t="b">
        <x:v>1</x:v>
      </x:c>
      <x:c r="G99" s="31" t="str">
        <x:v>SUCCEEDED</x:v>
      </x:c>
      <x:c r="H99" s="19" t="str">
        <x:v>SUCCESS_NONZERO</x:v>
      </x:c>
      <x:c r="I99" s="28" t="n">
        <x:v>181</x:v>
      </x:c>
      <x:c r="J99" s="31" t="str">
        <x:v>extreme weather events</x:v>
      </x:c>
      <x:c r="K99" s="19" t="str">
        <x:v>extreme weather events (All)</x:v>
      </x:c>
      <x:c r="L99" s="31" t="str">
        <x:v>Compatible exact string/phrase for unsmoothed public Ngram retrieval (current interface supports up to seven words).</x:v>
      </x:c>
      <x:c r="M99" s="43" t="n">
        <x:v>46260.10780092593</x:v>
      </x:c>
      <x:c r="N99" s="31" t="str">
        <x:v>data/fear-temperature/ngram/raw/41ea78235d646a87a5662d877bdd2935cd19152295e4a22d8c9909ea0c9b64d1.json</x:v>
      </x:c>
      <x:c r="O99" s="46" t="str">
        <x:v>RECONSTRUCTED_FROM_REPORT</x:v>
      </x:c>
    </x:row>
    <x:row r="100" ht="27" customHeight="1">
      <x:c r="A100" s="25" t="str">
        <x:v>FT-Q-V01-096</x:v>
      </x:c>
      <x:c r="B100" s="19" t="str">
        <x:v>2015</x:v>
      </x:c>
      <x:c r="C100" s="31" t="str">
        <x:v>slow onset events</x:v>
      </x:c>
      <x:c r="D100" s="31" t="str">
        <x:v>EXECUTABLE_NGRAM</x:v>
      </x:c>
      <x:c r="E100" s="31" t="str">
        <x:v>COMPATIBLE</x:v>
      </x:c>
      <x:c r="F100" s="40" t="b">
        <x:v>1</x:v>
      </x:c>
      <x:c r="G100" s="31" t="str">
        <x:v>SUCCEEDED</x:v>
      </x:c>
      <x:c r="H100" s="19" t="str">
        <x:v>SUCCESS_NONZERO</x:v>
      </x:c>
      <x:c r="I100" s="28" t="n">
        <x:v>181</x:v>
      </x:c>
      <x:c r="J100" s="31" t="str">
        <x:v>slow onset events</x:v>
      </x:c>
      <x:c r="K100" s="19" t="str">
        <x:v>slow onset events (All)</x:v>
      </x:c>
      <x:c r="L100" s="31" t="str">
        <x:v>Compatible exact string/phrase for unsmoothed public Ngram retrieval (current interface supports up to seven words).</x:v>
      </x:c>
      <x:c r="M100" s="43" t="n">
        <x:v>46260.1078125</x:v>
      </x:c>
      <x:c r="N100" s="31" t="str">
        <x:v>data/fear-temperature/ngram/raw/5439fab30f12eefa137527403d8b5cd053c082ce42c62d8a7a910a9e8ddf7ada.json</x:v>
      </x:c>
      <x:c r="O100" s="46" t="str">
        <x:v>RECONSTRUCTED_FROM_REPORT</x:v>
      </x:c>
    </x:row>
    <x:row r="101" ht="27" customHeight="1">
      <x:c r="A101" s="25" t="str">
        <x:v>FT-Q-V01-097</x:v>
      </x:c>
      <x:c r="B101" s="19" t="str">
        <x:v>2015</x:v>
      </x:c>
      <x:c r="C101" s="31" t="str">
        <x:v>risk of loss and damage</x:v>
      </x:c>
      <x:c r="D101" s="31" t="str">
        <x:v>EXECUTABLE_NGRAM</x:v>
      </x:c>
      <x:c r="E101" s="31" t="str">
        <x:v>COMPATIBLE</x:v>
      </x:c>
      <x:c r="F101" s="40" t="b">
        <x:v>1</x:v>
      </x:c>
      <x:c r="G101" s="31" t="str">
        <x:v>SUCCEEDED</x:v>
      </x:c>
      <x:c r="H101" s="19" t="str">
        <x:v>SUCCESS_NONZERO</x:v>
      </x:c>
      <x:c r="I101" s="28" t="n">
        <x:v>181</x:v>
      </x:c>
      <x:c r="J101" s="31" t="str">
        <x:v>risk of loss and damage</x:v>
      </x:c>
      <x:c r="K101" s="19" t="str">
        <x:v>risk of loss and damage (All)</x:v>
      </x:c>
      <x:c r="L101" s="31" t="str">
        <x:v>Compatible exact string/phrase for unsmoothed public Ngram retrieval (current interface supports up to seven words).</x:v>
      </x:c>
      <x:c r="M101" s="43" t="n">
        <x:v>46260.10791666667</x:v>
      </x:c>
      <x:c r="N101" s="31" t="str">
        <x:v>data/fear-temperature/ngram/raw/b6bda48b4b592fbca5ae78c2cb683e73c7e0fff263baea2b4c915799da173acf.json</x:v>
      </x:c>
      <x:c r="O101" s="46" t="str">
        <x:v>RECONSTRUCTED_FROM_REPORT</x:v>
      </x:c>
    </x:row>
    <x:row r="102" ht="27" customHeight="1">
      <x:c r="A102" s="25" t="str">
        <x:v>FT-Q-V01-098</x:v>
      </x:c>
      <x:c r="B102" s="19" t="str">
        <x:v>2015</x:v>
      </x:c>
      <x:c r="C102" s="31" t="str">
        <x:v>early warning systems</x:v>
      </x:c>
      <x:c r="D102" s="31" t="str">
        <x:v>EXECUTABLE_NGRAM</x:v>
      </x:c>
      <x:c r="E102" s="31" t="str">
        <x:v>COMPATIBLE</x:v>
      </x:c>
      <x:c r="F102" s="40" t="b">
        <x:v>1</x:v>
      </x:c>
      <x:c r="G102" s="31" t="str">
        <x:v>SUCCEEDED</x:v>
      </x:c>
      <x:c r="H102" s="19" t="str">
        <x:v>SUCCESS_NONZERO</x:v>
      </x:c>
      <x:c r="I102" s="28" t="n">
        <x:v>181</x:v>
      </x:c>
      <x:c r="J102" s="31" t="str">
        <x:v>early warning systems</x:v>
      </x:c>
      <x:c r="K102" s="19" t="str">
        <x:v>early warning systems (All)</x:v>
      </x:c>
      <x:c r="L102" s="31" t="str">
        <x:v>Compatible exact string/phrase for unsmoothed public Ngram retrieval (current interface supports up to seven words).</x:v>
      </x:c>
      <x:c r="M102" s="43" t="n">
        <x:v>46260.10792824074</x:v>
      </x:c>
      <x:c r="N102" s="31" t="str">
        <x:v>data/fear-temperature/ngram/raw/db7720e0093df08b9b566f8653346c9ee2ee9d6f76372c131ccb58cb8b5cbdc9.json</x:v>
      </x:c>
      <x:c r="O102" s="46" t="str">
        <x:v>RECONSTRUCTED_FROM_REPORT</x:v>
      </x:c>
    </x:row>
    <x:row r="103" ht="27" customHeight="1">
      <x:c r="A103" s="25" t="str">
        <x:v>FT-Q-V01-099</x:v>
      </x:c>
      <x:c r="B103" s="19" t="str">
        <x:v>2015</x:v>
      </x:c>
      <x:c r="C103" s="31" t="str">
        <x:v>emergency preparedness</x:v>
      </x:c>
      <x:c r="D103" s="31" t="str">
        <x:v>EXECUTABLE_NGRAM</x:v>
      </x:c>
      <x:c r="E103" s="31" t="str">
        <x:v>COMPATIBLE</x:v>
      </x:c>
      <x:c r="F103" s="40" t="b">
        <x:v>1</x:v>
      </x:c>
      <x:c r="G103" s="31" t="str">
        <x:v>SUCCEEDED</x:v>
      </x:c>
      <x:c r="H103" s="19" t="str">
        <x:v>SUCCESS_NONZERO</x:v>
      </x:c>
      <x:c r="I103" s="28" t="n">
        <x:v>181</x:v>
      </x:c>
      <x:c r="J103" s="31" t="str">
        <x:v>emergency preparedness</x:v>
      </x:c>
      <x:c r="K103" s="19" t="str">
        <x:v>emergency preparedness (All)</x:v>
      </x:c>
      <x:c r="L103" s="31" t="str">
        <x:v>Compatible exact string/phrase for unsmoothed public Ngram retrieval (current interface supports up to seven words).</x:v>
      </x:c>
      <x:c r="M103" s="43" t="n">
        <x:v>46260.107939814814</x:v>
      </x:c>
      <x:c r="N103" s="31" t="str">
        <x:v>data/fear-temperature/ngram/raw/6b662c4eda6184bd92d9d0037f495d86d50dc584d45cc46a4545b53d474d2828.json</x:v>
      </x:c>
      <x:c r="O103" s="46" t="str">
        <x:v>RECONSTRUCTED_FROM_REPORT</x:v>
      </x:c>
    </x:row>
    <x:row r="104" ht="27" customHeight="1">
      <x:c r="A104" s="25" t="str">
        <x:v>FT-Q-V01-100</x:v>
      </x:c>
      <x:c r="B104" s="19" t="str">
        <x:v>2015</x:v>
      </x:c>
      <x:c r="C104" s="31" t="str">
        <x:v>irreversible and permanent loss and damage</x:v>
      </x:c>
      <x:c r="D104" s="31" t="str">
        <x:v>EXECUTABLE_NGRAM</x:v>
      </x:c>
      <x:c r="E104" s="31" t="str">
        <x:v>COMPATIBLE</x:v>
      </x:c>
      <x:c r="F104" s="40" t="b">
        <x:v>1</x:v>
      </x:c>
      <x:c r="G104" s="31" t="str">
        <x:v>SUCCEEDED</x:v>
      </x:c>
      <x:c r="H104" s="19" t="str">
        <x:v>SUCCESS_NONZERO</x:v>
      </x:c>
      <x:c r="I104" s="28" t="n">
        <x:v>181</x:v>
      </x:c>
      <x:c r="J104" s="31" t="str">
        <x:v>irreversible and permanent loss and damage</x:v>
      </x:c>
      <x:c r="K104" s="19" t="str">
        <x:v>irreversible and permanent loss and damage</x:v>
      </x:c>
      <x:c r="L104" s="31" t="str">
        <x:v>Compatible exact string/phrase for unsmoothed public Ngram retrieval (current interface supports up to seven words).</x:v>
      </x:c>
      <x:c r="M104" s="43" t="n">
        <x:v>46260.10795138889</x:v>
      </x:c>
      <x:c r="N104" s="31" t="str">
        <x:v>data/fear-temperature/ngram/raw/0ef67b7c065caacb93d84434be0b418fa5d590360386c1b856d05e4d43e9bbfd.json</x:v>
      </x:c>
      <x:c r="O104" s="46" t="str">
        <x:v>RECONSTRUCTED_FROM_REPORT</x:v>
      </x:c>
    </x:row>
    <x:row r="105" ht="27" customHeight="1">
      <x:c r="A105" s="25" t="str">
        <x:v>FT-Q-V01-101</x:v>
      </x:c>
      <x:c r="B105" s="19" t="str">
        <x:v>2022</x:v>
      </x:c>
      <x:c r="C105" s="31" t="str">
        <x:v>climate change</x:v>
      </x:c>
      <x:c r="D105" s="31" t="str">
        <x:v>EXECUTABLE_NGRAM</x:v>
      </x:c>
      <x:c r="E105" s="31" t="str">
        <x:v>COMPATIBLE</x:v>
      </x:c>
      <x:c r="F105" s="40" t="b">
        <x:v>1</x:v>
      </x:c>
      <x:c r="G105" s="31" t="str">
        <x:v>SUCCEEDED</x:v>
      </x:c>
      <x:c r="H105" s="19" t="str">
        <x:v>SUCCESS_NONZERO</x:v>
      </x:c>
      <x:c r="I105" s="28" t="n">
        <x:v>181</x:v>
      </x:c>
      <x:c r="J105" s="31" t="str">
        <x:v>climate change</x:v>
      </x:c>
      <x:c r="K105" s="19" t="str">
        <x:v>climate change (All)</x:v>
      </x:c>
      <x:c r="L105" s="31" t="str">
        <x:v>Compatible exact string/phrase for unsmoothed public Ngram retrieval (current interface supports up to seven words).</x:v>
      </x:c>
      <x:c r="M105" s="43" t="n">
        <x:v>46260.10760416667</x:v>
      </x:c>
      <x:c r="N105" s="31" t="str">
        <x:v>data/fear-temperature/ngram/raw/c0c3021f09dbdf3542c85e1a8bd4e013bd4d99d85af63bbd55f5e05a6a7ddd2b.json</x:v>
      </x:c>
      <x:c r="O105" s="46" t="str">
        <x:v>RECONSTRUCTED_FROM_REPORT</x:v>
      </x:c>
    </x:row>
    <x:row r="106" ht="27" customHeight="1">
      <x:c r="A106" s="25" t="str">
        <x:v>FT-Q-V01-102</x:v>
      </x:c>
      <x:c r="B106" s="19" t="str">
        <x:v>2022</x:v>
      </x:c>
      <x:c r="C106" s="31" t="str">
        <x:v>global warming</x:v>
      </x:c>
      <x:c r="D106" s="31" t="str">
        <x:v>EXECUTABLE_NGRAM</x:v>
      </x:c>
      <x:c r="E106" s="31" t="str">
        <x:v>COMPATIBLE</x:v>
      </x:c>
      <x:c r="F106" s="40" t="b">
        <x:v>1</x:v>
      </x:c>
      <x:c r="G106" s="31" t="str">
        <x:v>SUCCEEDED</x:v>
      </x:c>
      <x:c r="H106" s="19" t="str">
        <x:v>SUCCESS_NONZERO</x:v>
      </x:c>
      <x:c r="I106" s="28" t="n">
        <x:v>181</x:v>
      </x:c>
      <x:c r="J106" s="31" t="str">
        <x:v>global warming</x:v>
      </x:c>
      <x:c r="K106" s="19" t="str">
        <x:v>global warming (All)</x:v>
      </x:c>
      <x:c r="L106" s="31" t="str">
        <x:v>Compatible exact string/phrase for unsmoothed public Ngram retrieval (current interface supports up to seven words).</x:v>
      </x:c>
      <x:c r="M106" s="43" t="n">
        <x:v>46260.107256944444</x:v>
      </x:c>
      <x:c r="N106" s="31" t="str">
        <x:v>data/fear-temperature/ngram/raw/e982c3b5d6e77fc759f19bb2931d892bfaa9221ade4a44977579a8d5a8afab71.json</x:v>
      </x:c>
      <x:c r="O106" s="46" t="str">
        <x:v>RECONSTRUCTED_FROM_REPORT</x:v>
      </x:c>
    </x:row>
    <x:row r="107" ht="27" customHeight="1">
      <x:c r="A107" s="25" t="str">
        <x:v>FT-Q-V01-103</x:v>
      </x:c>
      <x:c r="B107" s="19" t="str">
        <x:v>2022</x:v>
      </x:c>
      <x:c r="C107" s="31" t="str">
        <x:v>very worried</x:v>
      </x:c>
      <x:c r="D107" s="31" t="str">
        <x:v>EXECUTABLE_NGRAM</x:v>
      </x:c>
      <x:c r="E107" s="31" t="str">
        <x:v>COMPATIBLE</x:v>
      </x:c>
      <x:c r="F107" s="40" t="b">
        <x:v>1</x:v>
      </x:c>
      <x:c r="G107" s="31" t="str">
        <x:v>SUCCEEDED</x:v>
      </x:c>
      <x:c r="H107" s="19" t="str">
        <x:v>SUCCESS_NONZERO</x:v>
      </x:c>
      <x:c r="I107" s="28" t="n">
        <x:v>181</x:v>
      </x:c>
      <x:c r="J107" s="31" t="str">
        <x:v>very worried</x:v>
      </x:c>
      <x:c r="K107" s="19" t="str">
        <x:v>very worried (All)</x:v>
      </x:c>
      <x:c r="L107" s="31" t="str">
        <x:v>Compatible exact string/phrase for unsmoothed public Ngram retrieval (current interface supports up to seven words).</x:v>
      </x:c>
      <x:c r="M107" s="43" t="n">
        <x:v>46260.10796296296</x:v>
      </x:c>
      <x:c r="N107" s="31" t="str">
        <x:v>data/fear-temperature/ngram/raw/f526cd2f784872130404682caca300afe87335e50333313d2bc99fcd1c9e6323.json</x:v>
      </x:c>
      <x:c r="O107" s="46" t="str">
        <x:v>RECONSTRUCTED_FROM_REPORT</x:v>
      </x:c>
    </x:row>
    <x:row r="108" ht="27" customHeight="1">
      <x:c r="A108" s="25" t="str">
        <x:v>FT-Q-V01-104</x:v>
      </x:c>
      <x:c r="B108" s="19" t="str">
        <x:v>2022</x:v>
      </x:c>
      <x:c r="C108" s="31" t="str">
        <x:v>somewhat worried</x:v>
      </x:c>
      <x:c r="D108" s="31" t="str">
        <x:v>EXECUTABLE_NGRAM</x:v>
      </x:c>
      <x:c r="E108" s="31" t="str">
        <x:v>COMPATIBLE</x:v>
      </x:c>
      <x:c r="F108" s="40" t="b">
        <x:v>1</x:v>
      </x:c>
      <x:c r="G108" s="31" t="str">
        <x:v>SUCCEEDED</x:v>
      </x:c>
      <x:c r="H108" s="19" t="str">
        <x:v>SUCCESS_NONZERO</x:v>
      </x:c>
      <x:c r="I108" s="28" t="n">
        <x:v>181</x:v>
      </x:c>
      <x:c r="J108" s="31" t="str">
        <x:v>somewhat worried</x:v>
      </x:c>
      <x:c r="K108" s="19" t="str">
        <x:v>somewhat worried (All)</x:v>
      </x:c>
      <x:c r="L108" s="31" t="str">
        <x:v>Compatible exact string/phrase for unsmoothed public Ngram retrieval (current interface supports up to seven words).</x:v>
      </x:c>
      <x:c r="M108" s="43" t="n">
        <x:v>46260.10797453704</x:v>
      </x:c>
      <x:c r="N108" s="31" t="str">
        <x:v>data/fear-temperature/ngram/raw/5acfc1306b3a13d5d65432940489e2b50940bd9a14347e9c6f374920fc2eeb52.json</x:v>
      </x:c>
      <x:c r="O108" s="46" t="str">
        <x:v>RECONSTRUCTED_FROM_REPORT</x:v>
      </x:c>
    </x:row>
    <x:row r="109" ht="27" customHeight="1">
      <x:c r="A109" s="25" t="str">
        <x:v>FT-Q-V01-105</x:v>
      </x:c>
      <x:c r="B109" s="19" t="str">
        <x:v>2022</x:v>
      </x:c>
      <x:c r="C109" s="31" t="str">
        <x:v>afraid</x:v>
      </x:c>
      <x:c r="D109" s="31" t="str">
        <x:v>BACKGROUND_AMBIGUOUS</x:v>
      </x:c>
      <x:c r="E109" s="31" t="str">
        <x:v>COMPATIBLE</x:v>
      </x:c>
      <x:c r="F109" s="40" t="b">
        <x:v>1</x:v>
      </x:c>
      <x:c r="G109" s="31" t="str">
        <x:v>SUCCEEDED</x:v>
      </x:c>
      <x:c r="H109" s="19" t="str">
        <x:v>SUCCESS_NONZERO</x:v>
      </x:c>
      <x:c r="I109" s="28" t="n">
        <x:v>181</x:v>
      </x:c>
      <x:c r="J109" s="31" t="str">
        <x:v>afraid</x:v>
      </x:c>
      <x:c r="K109" s="19" t="str">
        <x:v>afraid (All)</x:v>
      </x:c>
      <x:c r="L109" s="31" t="str">
        <x:v>Compatible exact string/phrase for unsmoothed public Ngram retrieval (current interface supports up to seven words).</x:v>
      </x:c>
      <x:c r="M109" s="43" t="n">
        <x:v>46260.10797453704</x:v>
      </x:c>
      <x:c r="N109" s="31" t="str">
        <x:v>data/fear-temperature/ngram/raw/62c539c6f003ab8a35487500472daf71f2a80584f1fa1ea2da6aa2bce785ebb8.json</x:v>
      </x:c>
      <x:c r="O109" s="46" t="str">
        <x:v>RECONSTRUCTED_FROM_REPORT</x:v>
      </x:c>
    </x:row>
    <x:row r="110" ht="27" customHeight="1">
      <x:c r="A110" s="25" t="str">
        <x:v>FT-Q-V01-106</x:v>
      </x:c>
      <x:c r="B110" s="19" t="str">
        <x:v>2022</x:v>
      </x:c>
      <x:c r="C110" s="31" t="str">
        <x:v>anxious</x:v>
      </x:c>
      <x:c r="D110" s="31" t="str">
        <x:v>EXECUTABLE_NGRAM</x:v>
      </x:c>
      <x:c r="E110" s="31" t="str">
        <x:v>COMPATIBLE</x:v>
      </x:c>
      <x:c r="F110" s="40" t="b">
        <x:v>1</x:v>
      </x:c>
      <x:c r="G110" s="31" t="str">
        <x:v>SUCCEEDED</x:v>
      </x:c>
      <x:c r="H110" s="19" t="str">
        <x:v>SUCCESS_NONZERO</x:v>
      </x:c>
      <x:c r="I110" s="28" t="n">
        <x:v>181</x:v>
      </x:c>
      <x:c r="J110" s="31" t="str">
        <x:v>anxious</x:v>
      </x:c>
      <x:c r="K110" s="19" t="str">
        <x:v>anxious (All)</x:v>
      </x:c>
      <x:c r="L110" s="31" t="str">
        <x:v>Compatible exact string/phrase for unsmoothed public Ngram retrieval (current interface supports up to seven words).</x:v>
      </x:c>
      <x:c r="M110" s="43" t="n">
        <x:v>46260.107986111114</x:v>
      </x:c>
      <x:c r="N110" s="31" t="str">
        <x:v>data/fear-temperature/ngram/raw/2107eccb0485a4ca882ccf647c440758210c000f228ba9db9af26d8c66a765d7.json</x:v>
      </x:c>
      <x:c r="O110" s="46" t="str">
        <x:v>RECONSTRUCTED_FROM_REPORT</x:v>
      </x:c>
    </x:row>
    <x:row r="111" ht="27" customHeight="1">
      <x:c r="A111" s="25" t="str">
        <x:v>FT-Q-V01-107</x:v>
      </x:c>
      <x:c r="B111" s="19" t="str">
        <x:v>2022</x:v>
      </x:c>
      <x:c r="C111" s="31" t="str">
        <x:v>hopeless</x:v>
      </x:c>
      <x:c r="D111" s="31" t="str">
        <x:v>EXECUTABLE_NGRAM</x:v>
      </x:c>
      <x:c r="E111" s="31" t="str">
        <x:v>COMPATIBLE</x:v>
      </x:c>
      <x:c r="F111" s="40" t="b">
        <x:v>1</x:v>
      </x:c>
      <x:c r="G111" s="31" t="str">
        <x:v>SUCCEEDED</x:v>
      </x:c>
      <x:c r="H111" s="19" t="str">
        <x:v>SUCCESS_NONZERO</x:v>
      </x:c>
      <x:c r="I111" s="28" t="n">
        <x:v>181</x:v>
      </x:c>
      <x:c r="J111" s="31" t="str">
        <x:v>hopeless</x:v>
      </x:c>
      <x:c r="K111" s="19" t="str">
        <x:v>hopeless (All)</x:v>
      </x:c>
      <x:c r="L111" s="31" t="str">
        <x:v>Compatible exact string/phrase for unsmoothed public Ngram retrieval (current interface supports up to seven words).</x:v>
      </x:c>
      <x:c r="M111" s="43" t="n">
        <x:v>46260.10799768518</x:v>
      </x:c>
      <x:c r="N111" s="31" t="str">
        <x:v>data/fear-temperature/ngram/raw/5e7eb5b7a08faad04d037212a71a6f31398290267b6855e9bb04c5f2cfe60f53.json</x:v>
      </x:c>
      <x:c r="O111" s="46" t="str">
        <x:v>RECONSTRUCTED_FROM_REPORT</x:v>
      </x:c>
    </x:row>
    <x:row r="112" ht="27" customHeight="1">
      <x:c r="A112" s="25" t="str">
        <x:v>FT-Q-V01-108</x:v>
      </x:c>
      <x:c r="B112" s="19" t="str">
        <x:v>2022</x:v>
      </x:c>
      <x:c r="C112" s="31" t="str">
        <x:v>sad</x:v>
      </x:c>
      <x:c r="D112" s="31" t="str">
        <x:v>EXECUTABLE_NGRAM</x:v>
      </x:c>
      <x:c r="E112" s="31" t="str">
        <x:v>COMPATIBLE</x:v>
      </x:c>
      <x:c r="F112" s="40" t="b">
        <x:v>1</x:v>
      </x:c>
      <x:c r="G112" s="31" t="str">
        <x:v>SUCCEEDED</x:v>
      </x:c>
      <x:c r="H112" s="19" t="str">
        <x:v>SUCCESS_NONZERO</x:v>
      </x:c>
      <x:c r="I112" s="28" t="n">
        <x:v>181</x:v>
      </x:c>
      <x:c r="J112" s="31" t="str">
        <x:v>sad</x:v>
      </x:c>
      <x:c r="K112" s="19" t="str">
        <x:v>sad (All)</x:v>
      </x:c>
      <x:c r="L112" s="31" t="str">
        <x:v>Compatible exact string/phrase for unsmoothed public Ngram retrieval (current interface supports up to seven words).</x:v>
      </x:c>
      <x:c r="M112" s="43" t="n">
        <x:v>46260.10800925926</x:v>
      </x:c>
      <x:c r="N112" s="31" t="str">
        <x:v>data/fear-temperature/ngram/raw/953b2016da3c902bd89fed3fb5f48705d4ce54ad9ad3dd228629c0c4849f2491.json</x:v>
      </x:c>
      <x:c r="O112" s="46" t="str">
        <x:v>RECONSTRUCTED_FROM_REPORT</x:v>
      </x:c>
    </x:row>
    <x:row r="113" ht="27" customHeight="1">
      <x:c r="A113" s="25" t="str">
        <x:v>FT-Q-V01-109</x:v>
      </x:c>
      <x:c r="B113" s="19" t="str">
        <x:v>2022</x:v>
      </x:c>
      <x:c r="C113" s="31" t="str">
        <x:v>angry</x:v>
      </x:c>
      <x:c r="D113" s="31" t="str">
        <x:v>EXECUTABLE_NGRAM</x:v>
      </x:c>
      <x:c r="E113" s="31" t="str">
        <x:v>COMPATIBLE</x:v>
      </x:c>
      <x:c r="F113" s="40" t="b">
        <x:v>1</x:v>
      </x:c>
      <x:c r="G113" s="31" t="str">
        <x:v>SUCCEEDED</x:v>
      </x:c>
      <x:c r="H113" s="19" t="str">
        <x:v>SUCCESS_NONZERO</x:v>
      </x:c>
      <x:c r="I113" s="28" t="n">
        <x:v>181</x:v>
      </x:c>
      <x:c r="J113" s="31" t="str">
        <x:v>angry</x:v>
      </x:c>
      <x:c r="K113" s="19" t="str">
        <x:v>angry (All)</x:v>
      </x:c>
      <x:c r="L113" s="31" t="str">
        <x:v>Compatible exact string/phrase for unsmoothed public Ngram retrieval (current interface supports up to seven words).</x:v>
      </x:c>
      <x:c r="M113" s="43" t="n">
        <x:v>46260.10802083334</x:v>
      </x:c>
      <x:c r="N113" s="31" t="str">
        <x:v>data/fear-temperature/ngram/raw/1cceb7003946894218df8f23071e2fba77be57b1ee95b996a43348a160450fbd.json</x:v>
      </x:c>
      <x:c r="O113" s="46" t="str">
        <x:v>RECONSTRUCTED_FROM_REPORT</x:v>
      </x:c>
    </x:row>
    <x:row r="114" ht="27" customHeight="1">
      <x:c r="A114" s="25" t="str">
        <x:v>FT-Q-V01-110</x:v>
      </x:c>
      <x:c r="B114" s="19" t="str">
        <x:v>2022</x:v>
      </x:c>
      <x:c r="C114" s="31" t="str">
        <x:v>frustrated</x:v>
      </x:c>
      <x:c r="D114" s="31" t="str">
        <x:v>EXECUTABLE_NGRAM</x:v>
      </x:c>
      <x:c r="E114" s="31" t="str">
        <x:v>COMPATIBLE</x:v>
      </x:c>
      <x:c r="F114" s="40" t="b">
        <x:v>1</x:v>
      </x:c>
      <x:c r="G114" s="31" t="str">
        <x:v>SUCCEEDED</x:v>
      </x:c>
      <x:c r="H114" s="19" t="str">
        <x:v>SUCCESS_NONZERO</x:v>
      </x:c>
      <x:c r="I114" s="28" t="n">
        <x:v>181</x:v>
      </x:c>
      <x:c r="J114" s="31" t="str">
        <x:v>frustrated</x:v>
      </x:c>
      <x:c r="K114" s="19" t="str">
        <x:v>frustrated (All)</x:v>
      </x:c>
      <x:c r="L114" s="31" t="str">
        <x:v>Compatible exact string/phrase for unsmoothed public Ngram retrieval (current interface supports up to seven words).</x:v>
      </x:c>
      <x:c r="M114" s="43" t="n">
        <x:v>46260.10803240741</x:v>
      </x:c>
      <x:c r="N114" s="31" t="str">
        <x:v>data/fear-temperature/ngram/raw/9329bf8b3df7723e136f5cc98ba235a05dd2f56642d3399a06703f75d57157f7.json</x:v>
      </x:c>
      <x:c r="O114" s="46" t="str">
        <x:v>RECONSTRUCTED_FROM_REPORT</x:v>
      </x:c>
    </x:row>
    <x:row r="115" ht="27" customHeight="1">
      <x:c r="A115" s="25" t="str">
        <x:v>FT-Q-V01-111</x:v>
      </x:c>
      <x:c r="B115" s="19" t="str">
        <x:v>2022</x:v>
      </x:c>
      <x:c r="C115" s="31" t="str">
        <x:v>hopeful</x:v>
      </x:c>
      <x:c r="D115" s="31" t="str">
        <x:v>EXECUTABLE_NGRAM</x:v>
      </x:c>
      <x:c r="E115" s="31" t="str">
        <x:v>COMPATIBLE</x:v>
      </x:c>
      <x:c r="F115" s="40" t="b">
        <x:v>1</x:v>
      </x:c>
      <x:c r="G115" s="31" t="str">
        <x:v>SUCCEEDED</x:v>
      </x:c>
      <x:c r="H115" s="19" t="str">
        <x:v>SUCCESS_NONZERO</x:v>
      </x:c>
      <x:c r="I115" s="28" t="n">
        <x:v>181</x:v>
      </x:c>
      <x:c r="J115" s="31" t="str">
        <x:v>hopeful</x:v>
      </x:c>
      <x:c r="K115" s="19" t="str">
        <x:v>hopeful (All)</x:v>
      </x:c>
      <x:c r="L115" s="31" t="str">
        <x:v>Compatible exact string/phrase for unsmoothed public Ngram retrieval (current interface supports up to seven words).</x:v>
      </x:c>
      <x:c r="M115" s="43" t="n">
        <x:v>46260.10804398148</x:v>
      </x:c>
      <x:c r="N115" s="31" t="str">
        <x:v>data/fear-temperature/ngram/raw/ba6a435a485847d46be014c9428192105ae5255c0ad7a7e0783a223d028b671c.json</x:v>
      </x:c>
      <x:c r="O115" s="46" t="str">
        <x:v>RECONSTRUCTED_FROM_REPORT</x:v>
      </x:c>
    </x:row>
    <x:row r="116" ht="27" customHeight="1">
      <x:c r="A116" s="25" t="str">
        <x:v>FT-Q-V01-112</x:v>
      </x:c>
      <x:c r="B116" s="19" t="str">
        <x:v>2022</x:v>
      </x:c>
      <x:c r="C116" s="31" t="str">
        <x:v>disgusted</x:v>
      </x:c>
      <x:c r="D116" s="31" t="str">
        <x:v>EXECUTABLE_NGRAM</x:v>
      </x:c>
      <x:c r="E116" s="31" t="str">
        <x:v>COMPATIBLE</x:v>
      </x:c>
      <x:c r="F116" s="40" t="b">
        <x:v>1</x:v>
      </x:c>
      <x:c r="G116" s="31" t="str">
        <x:v>SUCCEEDED</x:v>
      </x:c>
      <x:c r="H116" s="19" t="str">
        <x:v>SUCCESS_NONZERO</x:v>
      </x:c>
      <x:c r="I116" s="28" t="n">
        <x:v>181</x:v>
      </x:c>
      <x:c r="J116" s="31" t="str">
        <x:v>disgusted</x:v>
      </x:c>
      <x:c r="K116" s="19" t="str">
        <x:v>disgusted (All)</x:v>
      </x:c>
      <x:c r="L116" s="31" t="str">
        <x:v>Compatible exact string/phrase for unsmoothed public Ngram retrieval (current interface supports up to seven words).</x:v>
      </x:c>
      <x:c r="M116" s="43" t="n">
        <x:v>46260.10804398148</x:v>
      </x:c>
      <x:c r="N116" s="31" t="str">
        <x:v>data/fear-temperature/ngram/raw/f210204c4e717ccb60d443280a0631eb5726d577e81139674d3ac30bcd9f2998.json</x:v>
      </x:c>
      <x:c r="O116" s="46" t="str">
        <x:v>RECONSTRUCTED_FROM_REPORT</x:v>
      </x:c>
    </x:row>
    <x:row r="117" ht="27" customHeight="1">
      <x:c r="A117" s="25" t="str">
        <x:v>FT-Q-V01-113</x:v>
      </x:c>
      <x:c r="B117" s="19" t="str">
        <x:v>2022</x:v>
      </x:c>
      <x:c r="C117" s="31" t="str">
        <x:v>outraged</x:v>
      </x:c>
      <x:c r="D117" s="31" t="str">
        <x:v>EXECUTABLE_NGRAM</x:v>
      </x:c>
      <x:c r="E117" s="31" t="str">
        <x:v>COMPATIBLE</x:v>
      </x:c>
      <x:c r="F117" s="40" t="b">
        <x:v>1</x:v>
      </x:c>
      <x:c r="G117" s="31" t="str">
        <x:v>SUCCEEDED</x:v>
      </x:c>
      <x:c r="H117" s="19" t="str">
        <x:v>SUCCESS_NONZERO</x:v>
      </x:c>
      <x:c r="I117" s="28" t="n">
        <x:v>181</x:v>
      </x:c>
      <x:c r="J117" s="31" t="str">
        <x:v>outraged</x:v>
      </x:c>
      <x:c r="K117" s="19" t="str">
        <x:v>outraged (All)</x:v>
      </x:c>
      <x:c r="L117" s="31" t="str">
        <x:v>Compatible exact string/phrase for unsmoothed public Ngram retrieval (current interface supports up to seven words).</x:v>
      </x:c>
      <x:c r="M117" s="43" t="n">
        <x:v>46260.10805555555</x:v>
      </x:c>
      <x:c r="N117" s="31" t="str">
        <x:v>data/fear-temperature/ngram/raw/f40285eec2f0032bdb5bfbc2c085fc4cadc9ba551a688c6439d3a5237ef977c7.json</x:v>
      </x:c>
      <x:c r="O117" s="46" t="str">
        <x:v>RECONSTRUCTED_FROM_REPORT</x:v>
      </x:c>
    </x:row>
    <x:row r="118" ht="27" customHeight="1">
      <x:c r="A118" s="25" t="str">
        <x:v>FT-Q-V01-114</x:v>
      </x:c>
      <x:c r="B118" s="19" t="str">
        <x:v>2022</x:v>
      </x:c>
      <x:c r="C118" s="31" t="str">
        <x:v>depressed</x:v>
      </x:c>
      <x:c r="D118" s="31" t="str">
        <x:v>BACKGROUND_AMBIGUOUS</x:v>
      </x:c>
      <x:c r="E118" s="31" t="str">
        <x:v>COMPATIBLE</x:v>
      </x:c>
      <x:c r="F118" s="40" t="b">
        <x:v>1</x:v>
      </x:c>
      <x:c r="G118" s="31" t="str">
        <x:v>SUCCEEDED</x:v>
      </x:c>
      <x:c r="H118" s="19" t="str">
        <x:v>SUCCESS_NONZERO</x:v>
      </x:c>
      <x:c r="I118" s="28" t="n">
        <x:v>181</x:v>
      </x:c>
      <x:c r="J118" s="31" t="str">
        <x:v>depressed</x:v>
      </x:c>
      <x:c r="K118" s="19" t="str">
        <x:v>depressed (All)</x:v>
      </x:c>
      <x:c r="L118" s="31" t="str">
        <x:v>Compatible exact string/phrase for unsmoothed public Ngram retrieval (current interface supports up to seven words).</x:v>
      </x:c>
      <x:c r="M118" s="43" t="n">
        <x:v>46260.10806712963</x:v>
      </x:c>
      <x:c r="N118" s="31" t="str">
        <x:v>data/fear-temperature/ngram/raw/1e2c67caed74063005c91a921bdcebefacae62473cda222cb6b54f2d0f494115.json</x:v>
      </x:c>
      <x:c r="O118" s="46" t="str">
        <x:v>RECONSTRUCTED_FROM_REPORT</x:v>
      </x:c>
    </x:row>
    <x:row r="119" ht="27" customHeight="1">
      <x:c r="A119" s="25" t="str">
        <x:v>FT-Q-V01-115</x:v>
      </x:c>
      <x:c r="B119" s="19" t="str">
        <x:v>2022</x:v>
      </x:c>
      <x:c r="C119" s="31" t="str">
        <x:v>symptoms of anxiety</x:v>
      </x:c>
      <x:c r="D119" s="31" t="str">
        <x:v>EXECUTABLE_NGRAM</x:v>
      </x:c>
      <x:c r="E119" s="31" t="str">
        <x:v>COMPATIBLE</x:v>
      </x:c>
      <x:c r="F119" s="40" t="b">
        <x:v>1</x:v>
      </x:c>
      <x:c r="G119" s="31" t="str">
        <x:v>SUCCEEDED</x:v>
      </x:c>
      <x:c r="H119" s="19" t="str">
        <x:v>SUCCESS_NONZERO</x:v>
      </x:c>
      <x:c r="I119" s="28" t="n">
        <x:v>181</x:v>
      </x:c>
      <x:c r="J119" s="31" t="str">
        <x:v>symptoms of anxiety</x:v>
      </x:c>
      <x:c r="K119" s="19" t="str">
        <x:v>symptoms of anxiety (All)</x:v>
      </x:c>
      <x:c r="L119" s="31" t="str">
        <x:v>Compatible exact string/phrase for unsmoothed public Ngram retrieval (current interface supports up to seven words).</x:v>
      </x:c>
      <x:c r="M119" s="43" t="n">
        <x:v>46260.108078703706</x:v>
      </x:c>
      <x:c r="N119" s="31" t="str">
        <x:v>data/fear-temperature/ngram/raw/1b1b0a9675ab8a7678713746fdd62646f8c5451626f2103eb483512a2277f6c7.json</x:v>
      </x:c>
      <x:c r="O119" s="46" t="str">
        <x:v>RECONSTRUCTED_FROM_REPORT</x:v>
      </x:c>
    </x:row>
    <x:row r="120" ht="27" customHeight="1">
      <x:c r="A120" s="25" t="str">
        <x:v>FT-Q-V01-116</x:v>
      </x:c>
      <x:c r="B120" s="19" t="str">
        <x:v>2022</x:v>
      </x:c>
      <x:c r="C120" s="31" t="str">
        <x:v>climate anxiety</x:v>
      </x:c>
      <x:c r="D120" s="31" t="str">
        <x:v>EXECUTABLE_NGRAM</x:v>
      </x:c>
      <x:c r="E120" s="31" t="str">
        <x:v>COMPATIBLE</x:v>
      </x:c>
      <x:c r="F120" s="40" t="b">
        <x:v>1</x:v>
      </x:c>
      <x:c r="G120" s="31" t="str">
        <x:v>SUCCEEDED</x:v>
      </x:c>
      <x:c r="H120" s="19" t="str">
        <x:v>SUCCESS_NONZERO</x:v>
      </x:c>
      <x:c r="I120" s="28" t="n">
        <x:v>181</x:v>
      </x:c>
      <x:c r="J120" s="31" t="str">
        <x:v>climate anxiety</x:v>
      </x:c>
      <x:c r="K120" s="19" t="str">
        <x:v>climate anxiety (All)</x:v>
      </x:c>
      <x:c r="L120" s="31" t="str">
        <x:v>Compatible exact string/phrase for unsmoothed public Ngram retrieval (current interface supports up to seven words).</x:v>
      </x:c>
      <x:c r="M120" s="43" t="n">
        <x:v>46260.108078703706</x:v>
      </x:c>
      <x:c r="N120" s="31" t="str">
        <x:v>data/fear-temperature/ngram/raw/d00250b2ef40b968bd0aa5befdc2b2cb971793fb2c476d828ffc5ab3fab1830a.json</x:v>
      </x:c>
      <x:c r="O120" s="46" t="str">
        <x:v>RECONSTRUCTED_FROM_REPORT</x:v>
      </x:c>
    </x:row>
    <x:row r="121" ht="27" customHeight="1">
      <x:c r="A121" s="25" t="str">
        <x:v>FT-Q-V01-117</x:v>
      </x:c>
      <x:c r="B121" s="19" t="str">
        <x:v>2022</x:v>
      </x:c>
      <x:c r="C121" s="31" t="str">
        <x:v>eco-anxiety</x:v>
      </x:c>
      <x:c r="D121" s="31" t="str">
        <x:v>EXECUTABLE_NGRAM</x:v>
      </x:c>
      <x:c r="E121" s="31" t="str">
        <x:v>COMPATIBLE</x:v>
      </x:c>
      <x:c r="F121" s="40" t="b">
        <x:v>1</x:v>
      </x:c>
      <x:c r="G121" s="31" t="str">
        <x:v>SUCCEEDED</x:v>
      </x:c>
      <x:c r="H121" s="19" t="str">
        <x:v>SUCCESS_NONZERO</x:v>
      </x:c>
      <x:c r="I121" s="28" t="n">
        <x:v>181</x:v>
      </x:c>
      <x:c r="J121" s="31" t="str">
        <x:v>eco-anxiety</x:v>
      </x:c>
      <x:c r="K121" s="19" t="str">
        <x:v>eco - anxiety (All)</x:v>
      </x:c>
      <x:c r="L121" s="31" t="str">
        <x:v>Compatible exact string/phrase for unsmoothed public Ngram retrieval (current interface supports up to seven words).</x:v>
      </x:c>
      <x:c r="M121" s="43" t="n">
        <x:v>46260.108090277776</x:v>
      </x:c>
      <x:c r="N121" s="31" t="str">
        <x:v>data/fear-temperature/ngram/raw/4dec744e176b02d5b58560cc5e870a26c6e15a00884d43da40bc682039cdf566.json</x:v>
      </x:c>
      <x:c r="O121" s="46" t="str">
        <x:v>RECONSTRUCTED_FROM_REPORT</x:v>
      </x:c>
    </x:row>
    <x:row r="122" ht="27" customHeight="1">
      <x:c r="A122" s="25" t="str">
        <x:v>FT-Q-V01-118</x:v>
      </x:c>
      <x:c r="B122" s="19" t="str">
        <x:v>2022</x:v>
      </x:c>
      <x:c r="C122" s="31" t="str">
        <x:v>psychological distress</x:v>
      </x:c>
      <x:c r="D122" s="31" t="str">
        <x:v>EXECUTABLE_NGRAM</x:v>
      </x:c>
      <x:c r="E122" s="31" t="str">
        <x:v>COMPATIBLE</x:v>
      </x:c>
      <x:c r="F122" s="40" t="b">
        <x:v>1</x:v>
      </x:c>
      <x:c r="G122" s="31" t="str">
        <x:v>SUCCEEDED</x:v>
      </x:c>
      <x:c r="H122" s="19" t="str">
        <x:v>SUCCESS_NONZERO</x:v>
      </x:c>
      <x:c r="I122" s="28" t="n">
        <x:v>181</x:v>
      </x:c>
      <x:c r="J122" s="31" t="str">
        <x:v>psychological distress</x:v>
      </x:c>
      <x:c r="K122" s="19" t="str">
        <x:v>psychological distress (All)</x:v>
      </x:c>
      <x:c r="L122" s="31" t="str">
        <x:v>Compatible exact string/phrase for unsmoothed public Ngram retrieval (current interface supports up to seven words).</x:v>
      </x:c>
      <x:c r="M122" s="43" t="n">
        <x:v>46260.10810185185</x:v>
      </x:c>
      <x:c r="N122" s="31" t="str">
        <x:v>data/fear-temperature/ngram/raw/36dab6d94430baaff9d42a62e3c2af4716d35c6323cbc1f9c41cbd36969e7647.json</x:v>
      </x:c>
      <x:c r="O122" s="46" t="str">
        <x:v>RECONSTRUCTED_FROM_REPORT</x:v>
      </x:c>
    </x:row>
    <x:row r="123" ht="27" customHeight="1">
      <x:c r="A123" s="25" t="str">
        <x:v>FT-Q-V01-119</x:v>
      </x:c>
      <x:c r="B123" s="19" t="str">
        <x:v>2022</x:v>
      </x:c>
      <x:c r="C123" s="31" t="str">
        <x:v>distress</x:v>
      </x:c>
      <x:c r="D123" s="31" t="str">
        <x:v>BACKGROUND_AMBIGUOUS</x:v>
      </x:c>
      <x:c r="E123" s="31" t="str">
        <x:v>COMPATIBLE</x:v>
      </x:c>
      <x:c r="F123" s="40" t="b">
        <x:v>1</x:v>
      </x:c>
      <x:c r="G123" s="31" t="str">
        <x:v>SUCCEEDED</x:v>
      </x:c>
      <x:c r="H123" s="19" t="str">
        <x:v>SUCCESS_NONZERO</x:v>
      </x:c>
      <x:c r="I123" s="28" t="n">
        <x:v>181</x:v>
      </x:c>
      <x:c r="J123" s="31" t="str">
        <x:v>distress</x:v>
      </x:c>
      <x:c r="K123" s="19" t="str">
        <x:v>distress (All)</x:v>
      </x:c>
      <x:c r="L123" s="31" t="str">
        <x:v>Compatible exact string/phrase for unsmoothed public Ngram retrieval (current interface supports up to seven words).</x:v>
      </x:c>
      <x:c r="M123" s="43" t="n">
        <x:v>46260.10811342593</x:v>
      </x:c>
      <x:c r="N123" s="31" t="str">
        <x:v>data/fear-temperature/ngram/raw/69a25d3b4abb2591bf0e8cc23730cd85d5e6133b29f60ddf50c84a4afc8a5d9a.json</x:v>
      </x:c>
      <x:c r="O123" s="46" t="str">
        <x:v>RECONSTRUCTED_FROM_REPORT</x:v>
      </x:c>
    </x:row>
    <x:row r="124" ht="27" customHeight="1">
      <x:c r="A124" s="25" t="str">
        <x:v>FT-Q-V01-120</x:v>
      </x:c>
      <x:c r="B124" s="19" t="str">
        <x:v>2022</x:v>
      </x:c>
      <x:c r="C124" s="31" t="str">
        <x:v>powerlessness</x:v>
      </x:c>
      <x:c r="D124" s="31" t="str">
        <x:v>EXECUTABLE_NGRAM</x:v>
      </x:c>
      <x:c r="E124" s="31" t="str">
        <x:v>COMPATIBLE</x:v>
      </x:c>
      <x:c r="F124" s="40" t="b">
        <x:v>1</x:v>
      </x:c>
      <x:c r="G124" s="31" t="str">
        <x:v>SUCCEEDED</x:v>
      </x:c>
      <x:c r="H124" s="19" t="str">
        <x:v>SUCCESS_NONZERO</x:v>
      </x:c>
      <x:c r="I124" s="28" t="n">
        <x:v>181</x:v>
      </x:c>
      <x:c r="J124" s="31" t="str">
        <x:v>powerlessness</x:v>
      </x:c>
      <x:c r="K124" s="19" t="str">
        <x:v>powerlessness (All)</x:v>
      </x:c>
      <x:c r="L124" s="31" t="str">
        <x:v>Compatible exact string/phrase for unsmoothed public Ngram retrieval (current interface supports up to seven words).</x:v>
      </x:c>
      <x:c r="M124" s="43" t="n">
        <x:v>46260.10811342593</x:v>
      </x:c>
      <x:c r="N124" s="31" t="str">
        <x:v>data/fear-temperature/ngram/raw/3cf4985d3f59ca9bec554eac71523373ea46987c9f956c1e518194c8ba5701b4.json</x:v>
      </x:c>
      <x:c r="O124" s="46" t="str">
        <x:v>RECONSTRUCTED_FROM_REPORT</x:v>
      </x:c>
    </x:row>
    <x:row r="125" ht="27" customHeight="1">
      <x:c r="A125" s="25" t="str">
        <x:v>FT-Q-V01-121</x:v>
      </x:c>
      <x:c r="B125" s="19" t="str">
        <x:v>1938</x:v>
      </x:c>
      <x:c r="C125" s="31" t="str">
        <x:v>climatic change</x:v>
      </x:c>
      <x:c r="D125" s="31" t="str">
        <x:v>EXECUTABLE_NGRAM</x:v>
      </x:c>
      <x:c r="E125" s="31" t="str">
        <x:v>COMPATIBLE</x:v>
      </x:c>
      <x:c r="F125" s="40" t="b">
        <x:v>1</x:v>
      </x:c>
      <x:c r="G125" s="31" t="str">
        <x:v>SUCCEEDED</x:v>
      </x:c>
      <x:c r="H125" s="19" t="str">
        <x:v>SUCCESS_NONZERO</x:v>
      </x:c>
      <x:c r="I125" s="28" t="n">
        <x:v>181</x:v>
      </x:c>
      <x:c r="J125" s="31" t="str">
        <x:v>climatic change</x:v>
      </x:c>
      <x:c r="K125" s="19" t="str">
        <x:v>climatic change (All)</x:v>
      </x:c>
      <x:c r="L125" s="31" t="str">
        <x:v>Compatible exact string/phrase for unsmoothed public Ngram retrieval (current interface supports up to seven words).</x:v>
      </x:c>
      <x:c r="M125" s="43" t="n">
        <x:v>46260.108125</x:v>
      </x:c>
      <x:c r="N125" s="31" t="str">
        <x:v>data/fear-temperature/ngram/raw/0a04941be5651b2bc9de7c1d97a1ec296ca7d83fbf14cbae1d4cb6dce5e31d80.json</x:v>
      </x:c>
      <x:c r="O125" s="46" t="str">
        <x:v>RECONSTRUCTED_FROM_REPORT</x:v>
      </x:c>
    </x:row>
    <x:row r="126" ht="27" customHeight="1">
      <x:c r="A126" s="25" t="str">
        <x:v>FT-Q-V01-122</x:v>
      </x:c>
      <x:c r="B126" s="19" t="str">
        <x:v>2006–2007</x:v>
      </x:c>
      <x:c r="C126" s="31" t="str">
        <x:v>climate system</x:v>
      </x:c>
      <x:c r="D126" s="31" t="str">
        <x:v>EXECUTABLE_NGRAM</x:v>
      </x:c>
      <x:c r="E126" s="31" t="str">
        <x:v>COMPATIBLE</x:v>
      </x:c>
      <x:c r="F126" s="40" t="b">
        <x:v>1</x:v>
      </x:c>
      <x:c r="G126" s="31" t="str">
        <x:v>SUCCEEDED</x:v>
      </x:c>
      <x:c r="H126" s="19" t="str">
        <x:v>SUCCESS_NONZERO</x:v>
      </x:c>
      <x:c r="I126" s="28" t="n">
        <x:v>181</x:v>
      </x:c>
      <x:c r="J126" s="31" t="str">
        <x:v>climate system</x:v>
      </x:c>
      <x:c r="K126" s="19" t="str">
        <x:v>climate system (All)</x:v>
      </x:c>
      <x:c r="L126" s="31" t="str">
        <x:v>Compatible exact string/phrase for unsmoothed public Ngram retrieval (current interface supports up to seven words).</x:v>
      </x:c>
      <x:c r="M126" s="43" t="n">
        <x:v>46260.108136574076</x:v>
      </x:c>
      <x:c r="N126" s="31" t="str">
        <x:v>data/fear-temperature/ngram/raw/44123082f140b34693c19e6c204f15f36cbfab06a2fb516dea8b50cb69f5544f.json</x:v>
      </x:c>
      <x:c r="O126" s="46" t="str">
        <x:v>RECONSTRUCTED_FROM_REPORT</x:v>
      </x:c>
    </x:row>
    <x:row r="127" ht="27" customHeight="1">
      <x:c r="A127" s="25" t="str">
        <x:v>FT-Q-V01-123</x:v>
      </x:c>
      <x:c r="B127" s="19" t="str">
        <x:v>2022</x:v>
      </x:c>
      <x:c r="C127" s="31" t="str">
        <x:v>climate crisis</x:v>
      </x:c>
      <x:c r="D127" s="31" t="str">
        <x:v>EXECUTABLE_NGRAM</x:v>
      </x:c>
      <x:c r="E127" s="31" t="str">
        <x:v>COMPATIBLE</x:v>
      </x:c>
      <x:c r="F127" s="40" t="b">
        <x:v>1</x:v>
      </x:c>
      <x:c r="G127" s="31" t="str">
        <x:v>SUCCEEDED</x:v>
      </x:c>
      <x:c r="H127" s="19" t="str">
        <x:v>SUCCESS_NONZERO</x:v>
      </x:c>
      <x:c r="I127" s="28" t="n">
        <x:v>181</x:v>
      </x:c>
      <x:c r="J127" s="31" t="str">
        <x:v>climate crisis</x:v>
      </x:c>
      <x:c r="K127" s="19" t="str">
        <x:v>climate crisis (All)</x:v>
      </x:c>
      <x:c r="L127" s="31" t="str">
        <x:v>Compatible exact string/phrase for unsmoothed public Ngram retrieval (current interface supports up to seven words).</x:v>
      </x:c>
      <x:c r="M127" s="43" t="n">
        <x:v>46260.108148148145</x:v>
      </x:c>
      <x:c r="N127" s="31" t="str">
        <x:v>data/fear-temperature/ngram/raw/23354bc43bed6570702eab740469c8b00c388007e8cf69ff8fd38735d57ed065.json</x:v>
      </x:c>
      <x:c r="O127" s="46" t="str">
        <x:v>RECONSTRUCTED_FROM_REPORT</x:v>
      </x:c>
    </x:row>
    <x:row r="128" ht="27" customHeight="1">
      <x:c r="A128" s="25" t="str">
        <x:v>FT-Q-V01-124</x:v>
      </x:c>
      <x:c r="B128" s="19" t="str">
        <x:v>2022</x:v>
      </x:c>
      <x:c r="C128" s="31" t="str">
        <x:v>climate emergency</x:v>
      </x:c>
      <x:c r="D128" s="31" t="str">
        <x:v>EXECUTABLE_NGRAM</x:v>
      </x:c>
      <x:c r="E128" s="31" t="str">
        <x:v>COMPATIBLE</x:v>
      </x:c>
      <x:c r="F128" s="40" t="b">
        <x:v>1</x:v>
      </x:c>
      <x:c r="G128" s="31" t="str">
        <x:v>SUCCEEDED</x:v>
      </x:c>
      <x:c r="H128" s="19" t="str">
        <x:v>SUCCESS_NONZERO</x:v>
      </x:c>
      <x:c r="I128" s="28" t="n">
        <x:v>181</x:v>
      </x:c>
      <x:c r="J128" s="31" t="str">
        <x:v>climate emergency</x:v>
      </x:c>
      <x:c r="K128" s="19" t="str">
        <x:v>climate emergency (All)</x:v>
      </x:c>
      <x:c r="L128" s="31" t="str">
        <x:v>Compatible exact string/phrase for unsmoothed public Ngram retrieval (current interface supports up to seven words).</x:v>
      </x:c>
      <x:c r="M128" s="43" t="n">
        <x:v>46260.108148148145</x:v>
      </x:c>
      <x:c r="N128" s="31" t="str">
        <x:v>data/fear-temperature/ngram/raw/3237c9c334be43668f3ba7cf3a2aa06f34c5080255b6e1461b714d92a123b591.json</x:v>
      </x:c>
      <x:c r="O128" s="46" t="str">
        <x:v>RECONSTRUCTED_FROM_REPORT</x:v>
      </x:c>
    </x:row>
    <x:row r="129" ht="27" customHeight="1">
      <x:c r="A129" s="25" t="str">
        <x:v>FT-Q-V01-125</x:v>
      </x:c>
      <x:c r="B129" s="19" t="str">
        <x:v>1842</x:v>
      </x:c>
      <x:c r="C129" s="31" t="str">
        <x:v>heat</x:v>
      </x:c>
      <x:c r="D129" s="31" t="str">
        <x:v>BACKGROUND_AMBIGUOUS</x:v>
      </x:c>
      <x:c r="E129" s="31" t="str">
        <x:v>COMPATIBLE</x:v>
      </x:c>
      <x:c r="F129" s="40" t="b">
        <x:v>1</x:v>
      </x:c>
      <x:c r="G129" s="31" t="str">
        <x:v>SUCCEEDED</x:v>
      </x:c>
      <x:c r="H129" s="19" t="str">
        <x:v>SUCCESS_NONZERO</x:v>
      </x:c>
      <x:c r="I129" s="28" t="n">
        <x:v>181</x:v>
      </x:c>
      <x:c r="J129" s="31" t="str">
        <x:v>heat</x:v>
      </x:c>
      <x:c r="K129" s="19" t="str">
        <x:v>heat (All)</x:v>
      </x:c>
      <x:c r="L129" s="31" t="str">
        <x:v>Compatible exact string/phrase for unsmoothed public Ngram retrieval (current interface supports up to seven words).</x:v>
      </x:c>
      <x:c r="M129" s="43" t="n">
        <x:v>46260.10815972222</x:v>
      </x:c>
      <x:c r="N129" s="31" t="str">
        <x:v>data/fear-temperature/ngram/raw/c4a2fddf7c4162769bbd0a82f12e004a6ee58ba1f0ff17f2b453dcf677494b07.json</x:v>
      </x:c>
      <x:c r="O129" s="46" t="str">
        <x:v>RECONSTRUCTED_FROM_REPORT</x:v>
      </x:c>
    </x:row>
    <x:row r="130" ht="27" customHeight="1">
      <x:c r="A130" s="25" t="str">
        <x:v>FT-Q-V01-126</x:v>
      </x:c>
      <x:c r="B130" s="19" t="str">
        <x:v>2022</x:v>
      </x:c>
      <x:c r="C130" s="31" t="str">
        <x:v>extreme heat</x:v>
      </x:c>
      <x:c r="D130" s="31" t="str">
        <x:v>EXECUTABLE_NGRAM</x:v>
      </x:c>
      <x:c r="E130" s="31" t="str">
        <x:v>COMPATIBLE</x:v>
      </x:c>
      <x:c r="F130" s="40" t="b">
        <x:v>1</x:v>
      </x:c>
      <x:c r="G130" s="31" t="str">
        <x:v>SUCCEEDED</x:v>
      </x:c>
      <x:c r="H130" s="19" t="str">
        <x:v>SUCCESS_NONZERO</x:v>
      </x:c>
      <x:c r="I130" s="28" t="n">
        <x:v>181</x:v>
      </x:c>
      <x:c r="J130" s="31" t="str">
        <x:v>extreme heat</x:v>
      </x:c>
      <x:c r="K130" s="19" t="str">
        <x:v>extreme heat (All)</x:v>
      </x:c>
      <x:c r="L130" s="31" t="str">
        <x:v>Compatible exact string/phrase for unsmoothed public Ngram retrieval (current interface supports up to seven words).</x:v>
      </x:c>
      <x:c r="M130" s="43" t="n">
        <x:v>46260.1081712963</x:v>
      </x:c>
      <x:c r="N130" s="31" t="str">
        <x:v>data/fear-temperature/ngram/raw/f78acfa1d100e2ca03e0287a6e355eeb4633059fd59d841bf6e3f477f083c054.json</x:v>
      </x:c>
      <x:c r="O130" s="46" t="str">
        <x:v>RECONSTRUCTED_FROM_REPORT</x:v>
      </x:c>
    </x:row>
    <x:row r="131" ht="27" customHeight="1">
      <x:c r="A131" s="25" t="str">
        <x:v>FT-Q-V01-127</x:v>
      </x:c>
      <x:c r="B131" s="19" t="str">
        <x:v>2022</x:v>
      </x:c>
      <x:c r="C131" s="31" t="str">
        <x:v>fear</x:v>
      </x:c>
      <x:c r="D131" s="31" t="str">
        <x:v>BACKGROUND_AMBIGUOUS</x:v>
      </x:c>
      <x:c r="E131" s="31" t="str">
        <x:v>COMPATIBLE</x:v>
      </x:c>
      <x:c r="F131" s="40" t="b">
        <x:v>1</x:v>
      </x:c>
      <x:c r="G131" s="31" t="str">
        <x:v>SUCCEEDED</x:v>
      </x:c>
      <x:c r="H131" s="19" t="str">
        <x:v>SUCCESS_NONZERO</x:v>
      </x:c>
      <x:c r="I131" s="28" t="n">
        <x:v>181</x:v>
      </x:c>
      <x:c r="J131" s="31" t="str">
        <x:v>fear</x:v>
      </x:c>
      <x:c r="K131" s="19" t="str">
        <x:v>fear (All)</x:v>
      </x:c>
      <x:c r="L131" s="31" t="str">
        <x:v>Compatible exact string/phrase for unsmoothed public Ngram retrieval (current interface supports up to seven words).</x:v>
      </x:c>
      <x:c r="M131" s="43" t="n">
        <x:v>46260.1081712963</x:v>
      </x:c>
      <x:c r="N131" s="31" t="str">
        <x:v>data/fear-temperature/ngram/raw/9a82a1e3ac136df19ab9c86fccf9b11d26bd9aa0af615506d9063f8b7db4b821.json</x:v>
      </x:c>
      <x:c r="O131" s="46" t="str">
        <x:v>RECONSTRUCTED_FROM_REPORT</x:v>
      </x:c>
    </x:row>
    <x:row r="132" ht="27" customHeight="1">
      <x:c r="A132" s="25" t="str">
        <x:v>FT-Q-V01-128</x:v>
      </x:c>
      <x:c r="B132" s="19" t="str">
        <x:v>2006–2007</x:v>
      </x:c>
      <x:c r="C132" s="31" t="str">
        <x:v>worry</x:v>
      </x:c>
      <x:c r="D132" s="31" t="str">
        <x:v>BACKGROUND_AMBIGUOUS</x:v>
      </x:c>
      <x:c r="E132" s="31" t="str">
        <x:v>COMPATIBLE</x:v>
      </x:c>
      <x:c r="F132" s="40" t="b">
        <x:v>1</x:v>
      </x:c>
      <x:c r="G132" s="31" t="str">
        <x:v>SUCCEEDED</x:v>
      </x:c>
      <x:c r="H132" s="19" t="str">
        <x:v>SUCCESS_NONZERO</x:v>
      </x:c>
      <x:c r="I132" s="28" t="n">
        <x:v>181</x:v>
      </x:c>
      <x:c r="J132" s="31" t="str">
        <x:v>worry</x:v>
      </x:c>
      <x:c r="K132" s="19" t="str">
        <x:v>worry (All)</x:v>
      </x:c>
      <x:c r="L132" s="31" t="str">
        <x:v>Compatible exact string/phrase for unsmoothed public Ngram retrieval (current interface supports up to seven words).</x:v>
      </x:c>
      <x:c r="M132" s="43" t="n">
        <x:v>46260.10818287037</x:v>
      </x:c>
      <x:c r="N132" s="31" t="str">
        <x:v>data/fear-temperature/ngram/raw/a637a16642bc8126e12038a79352c7309b624c759631dc6fb805a314dd5f39ce.json</x:v>
      </x:c>
      <x:c r="O132" s="46" t="str">
        <x:v>RECONSTRUCTED_FROM_REPORT</x:v>
      </x:c>
    </x:row>
    <x:row r="133" ht="27" customHeight="1">
      <x:c r="A133" s="25" t="str">
        <x:v>FT-Q-V01-129</x:v>
      </x:c>
      <x:c r="B133" s="19" t="str">
        <x:v>2006–2007</x:v>
      </x:c>
      <x:c r="C133" s="31" t="str">
        <x:v>worried</x:v>
      </x:c>
      <x:c r="D133" s="31" t="str">
        <x:v>BACKGROUND_AMBIGUOUS</x:v>
      </x:c>
      <x:c r="E133" s="31" t="str">
        <x:v>COMPATIBLE</x:v>
      </x:c>
      <x:c r="F133" s="40" t="b">
        <x:v>1</x:v>
      </x:c>
      <x:c r="G133" s="31" t="str">
        <x:v>SUCCEEDED</x:v>
      </x:c>
      <x:c r="H133" s="19" t="str">
        <x:v>SUCCESS_NONZERO</x:v>
      </x:c>
      <x:c r="I133" s="28" t="n">
        <x:v>181</x:v>
      </x:c>
      <x:c r="J133" s="31" t="str">
        <x:v>worried</x:v>
      </x:c>
      <x:c r="K133" s="19" t="str">
        <x:v>worried (All)</x:v>
      </x:c>
      <x:c r="L133" s="31" t="str">
        <x:v>Compatible exact string/phrase for unsmoothed public Ngram retrieval (current interface supports up to seven words).</x:v>
      </x:c>
      <x:c r="M133" s="43" t="n">
        <x:v>46260.10828703704</x:v>
      </x:c>
      <x:c r="N133" s="31" t="str">
        <x:v>data/fear-temperature/ngram/raw/663a933fc48043f250f90a98b66b006334ad658684ce96825d57307b8d52b76d.json</x:v>
      </x:c>
      <x:c r="O133" s="46" t="str">
        <x:v>RECONSTRUCTED_FROM_REPORT</x:v>
      </x:c>
    </x:row>
    <x:row r="134" ht="27" customHeight="1">
      <x:c r="A134" s="25" t="str">
        <x:v>FT-Q-V01-130</x:v>
      </x:c>
      <x:c r="B134" s="19" t="str">
        <x:v>2015</x:v>
      </x:c>
      <x:c r="C134" s="31" t="str">
        <x:v>concern</x:v>
      </x:c>
      <x:c r="D134" s="31" t="str">
        <x:v>BACKGROUND_AMBIGUOUS</x:v>
      </x:c>
      <x:c r="E134" s="31" t="str">
        <x:v>COMPATIBLE</x:v>
      </x:c>
      <x:c r="F134" s="40" t="b">
        <x:v>1</x:v>
      </x:c>
      <x:c r="G134" s="31" t="str">
        <x:v>SUCCEEDED</x:v>
      </x:c>
      <x:c r="H134" s="19" t="str">
        <x:v>SUCCESS_NONZERO</x:v>
      </x:c>
      <x:c r="I134" s="28" t="n">
        <x:v>181</x:v>
      </x:c>
      <x:c r="J134" s="31" t="str">
        <x:v>concern</x:v>
      </x:c>
      <x:c r="K134" s="19" t="str">
        <x:v>concern (All)</x:v>
      </x:c>
      <x:c r="L134" s="31" t="str">
        <x:v>Compatible exact string/phrase for unsmoothed public Ngram retrieval (current interface supports up to seven words).</x:v>
      </x:c>
      <x:c r="M134" s="43" t="n">
        <x:v>46260.108298611114</x:v>
      </x:c>
      <x:c r="N134" s="31" t="str">
        <x:v>data/fear-temperature/ngram/raw/4643a1a18409e446a85be4d799f0377db1c82b28463617e3e93dfc9e103700e6.json</x:v>
      </x:c>
      <x:c r="O134" s="46" t="str">
        <x:v>RECONSTRUCTED_FROM_REPORT</x:v>
      </x:c>
    </x:row>
    <x:row r="135" ht="27" customHeight="1">
      <x:c r="A135" s="25" t="str">
        <x:v>FT-Q-V01-131</x:v>
      </x:c>
      <x:c r="B135" s="19" t="str">
        <x:v>2022</x:v>
      </x:c>
      <x:c r="C135" s="31" t="str">
        <x:v>anxiety</x:v>
      </x:c>
      <x:c r="D135" s="31" t="str">
        <x:v>BACKGROUND_AMBIGUOUS</x:v>
      </x:c>
      <x:c r="E135" s="31" t="str">
        <x:v>COMPATIBLE</x:v>
      </x:c>
      <x:c r="F135" s="40" t="b">
        <x:v>1</x:v>
      </x:c>
      <x:c r="G135" s="31" t="str">
        <x:v>SUCCEEDED</x:v>
      </x:c>
      <x:c r="H135" s="19" t="str">
        <x:v>SUCCESS_NONZERO</x:v>
      </x:c>
      <x:c r="I135" s="28" t="n">
        <x:v>181</x:v>
      </x:c>
      <x:c r="J135" s="31" t="str">
        <x:v>anxiety</x:v>
      </x:c>
      <x:c r="K135" s="19" t="str">
        <x:v>anxiety (All)</x:v>
      </x:c>
      <x:c r="L135" s="31" t="str">
        <x:v>Compatible exact string/phrase for unsmoothed public Ngram retrieval (current interface supports up to seven words).</x:v>
      </x:c>
      <x:c r="M135" s="43" t="n">
        <x:v>46260.108298611114</x:v>
      </x:c>
      <x:c r="N135" s="31" t="str">
        <x:v>data/fear-temperature/ngram/raw/b9681b24d3f5a1319cae6436236bc0f5b64d75ea848bbbe2dbfc5b26c0042582.json</x:v>
      </x:c>
      <x:c r="O135" s="46" t="str">
        <x:v>RECONSTRUCTED_FROM_REPORT</x:v>
      </x:c>
    </x:row>
    <x:row r="136" ht="27" customHeight="1">
      <x:c r="A136" s="25" t="str">
        <x:v>FT-Q-V01-132</x:v>
      </x:c>
      <x:c r="B136" s="19" t="str">
        <x:v>2006–2007</x:v>
      </x:c>
      <x:c r="C136" s="31" t="str">
        <x:v>danger</x:v>
      </x:c>
      <x:c r="D136" s="31" t="str">
        <x:v>BACKGROUND_AMBIGUOUS</x:v>
      </x:c>
      <x:c r="E136" s="31" t="str">
        <x:v>COMPATIBLE</x:v>
      </x:c>
      <x:c r="F136" s="40" t="b">
        <x:v>1</x:v>
      </x:c>
      <x:c r="G136" s="31" t="str">
        <x:v>SUCCEEDED</x:v>
      </x:c>
      <x:c r="H136" s="19" t="str">
        <x:v>SUCCESS_NONZERO</x:v>
      </x:c>
      <x:c r="I136" s="28" t="n">
        <x:v>181</x:v>
      </x:c>
      <x:c r="J136" s="31" t="str">
        <x:v>danger</x:v>
      </x:c>
      <x:c r="K136" s="19" t="str">
        <x:v>danger (All)</x:v>
      </x:c>
      <x:c r="L136" s="31" t="str">
        <x:v>Compatible exact string/phrase for unsmoothed public Ngram retrieval (current interface supports up to seven words).</x:v>
      </x:c>
      <x:c r="M136" s="43" t="n">
        <x:v>46260.108310185184</x:v>
      </x:c>
      <x:c r="N136" s="31" t="str">
        <x:v>data/fear-temperature/ngram/raw/d1a6b726471d63c6003c4338e335ea4b6d0c7bf5b03bfb510d338867d19b8d4d.json</x:v>
      </x:c>
      <x:c r="O136" s="46" t="str">
        <x:v>RECONSTRUCTED_FROM_REPORT</x:v>
      </x:c>
    </x:row>
    <x:row r="137" ht="27" customHeight="1">
      <x:c r="A137" s="25" t="str">
        <x:v>FT-Q-V01-133</x:v>
      </x:c>
      <x:c r="B137" s="19" t="str">
        <x:v>1988</x:v>
      </x:c>
      <x:c r="C137" s="31" t="str">
        <x:v>threat</x:v>
      </x:c>
      <x:c r="D137" s="31" t="str">
        <x:v>BACKGROUND_AMBIGUOUS</x:v>
      </x:c>
      <x:c r="E137" s="31" t="str">
        <x:v>COMPATIBLE</x:v>
      </x:c>
      <x:c r="F137" s="40" t="b">
        <x:v>1</x:v>
      </x:c>
      <x:c r="G137" s="31" t="str">
        <x:v>SUCCEEDED</x:v>
      </x:c>
      <x:c r="H137" s="19" t="str">
        <x:v>SUCCESS_NONZERO</x:v>
      </x:c>
      <x:c r="I137" s="28" t="n">
        <x:v>181</x:v>
      </x:c>
      <x:c r="J137" s="31" t="str">
        <x:v>threat</x:v>
      </x:c>
      <x:c r="K137" s="19" t="str">
        <x:v>threat (All)</x:v>
      </x:c>
      <x:c r="L137" s="31" t="str">
        <x:v>Compatible exact string/phrase for unsmoothed public Ngram retrieval (current interface supports up to seven words).</x:v>
      </x:c>
      <x:c r="M137" s="43" t="n">
        <x:v>46260.10832175926</x:v>
      </x:c>
      <x:c r="N137" s="31" t="str">
        <x:v>data/fear-temperature/ngram/raw/66e5485b36228b44bc5b3b9a522cc35739a50a73b1b41bb1439c84b0c452c1bb.json</x:v>
      </x:c>
      <x:c r="O137" s="46" t="str">
        <x:v>RECONSTRUCTED_FROM_REPORT</x:v>
      </x:c>
    </x:row>
    <x:row r="138" ht="27" customHeight="1">
      <x:c r="A138" s="25" t="str">
        <x:v>FT-Q-V01-134</x:v>
      </x:c>
      <x:c r="B138" s="19" t="str">
        <x:v>2015</x:v>
      </x:c>
      <x:c r="C138" s="31" t="str">
        <x:v>risk</x:v>
      </x:c>
      <x:c r="D138" s="31" t="str">
        <x:v>BACKGROUND_AMBIGUOUS</x:v>
      </x:c>
      <x:c r="E138" s="31" t="str">
        <x:v>COMPATIBLE</x:v>
      </x:c>
      <x:c r="F138" s="40" t="b">
        <x:v>1</x:v>
      </x:c>
      <x:c r="G138" s="31" t="str">
        <x:v>SUCCEEDED</x:v>
      </x:c>
      <x:c r="H138" s="19" t="str">
        <x:v>SUCCESS_NONZERO</x:v>
      </x:c>
      <x:c r="I138" s="28" t="n">
        <x:v>181</x:v>
      </x:c>
      <x:c r="J138" s="31" t="str">
        <x:v>risk</x:v>
      </x:c>
      <x:c r="K138" s="19" t="str">
        <x:v>risk (All)</x:v>
      </x:c>
      <x:c r="L138" s="31" t="str">
        <x:v>Compatible exact string/phrase for unsmoothed public Ngram retrieval (current interface supports up to seven words).</x:v>
      </x:c>
      <x:c r="M138" s="43" t="n">
        <x:v>46260.10833333333</x:v>
      </x:c>
      <x:c r="N138" s="31" t="str">
        <x:v>data/fear-temperature/ngram/raw/a81a666e861de5f55d081039af6b25250d329cbe655211e018749975fe62522d.json</x:v>
      </x:c>
      <x:c r="O138" s="46" t="str">
        <x:v>RECONSTRUCTED_FROM_REPORT</x:v>
      </x:c>
    </x:row>
    <x:row r="139" ht="27" customHeight="1">
      <x:c r="A139" s="25" t="str">
        <x:v>FT-Q-V01-135</x:v>
      </x:c>
      <x:c r="B139" s="19" t="str">
        <x:v>1988</x:v>
      </x:c>
      <x:c r="C139" s="31" t="str">
        <x:v>crisis</x:v>
      </x:c>
      <x:c r="D139" s="31" t="str">
        <x:v>BACKGROUND_AMBIGUOUS</x:v>
      </x:c>
      <x:c r="E139" s="31" t="str">
        <x:v>COMPATIBLE</x:v>
      </x:c>
      <x:c r="F139" s="40" t="b">
        <x:v>1</x:v>
      </x:c>
      <x:c r="G139" s="31" t="str">
        <x:v>SUCCEEDED</x:v>
      </x:c>
      <x:c r="H139" s="19" t="str">
        <x:v>SUCCESS_NONZERO</x:v>
      </x:c>
      <x:c r="I139" s="28" t="n">
        <x:v>181</x:v>
      </x:c>
      <x:c r="J139" s="31" t="str">
        <x:v>crisis</x:v>
      </x:c>
      <x:c r="K139" s="19" t="str">
        <x:v>crisis (All)</x:v>
      </x:c>
      <x:c r="L139" s="31" t="str">
        <x:v>Compatible exact string/phrase for unsmoothed public Ngram retrieval (current interface supports up to seven words).</x:v>
      </x:c>
      <x:c r="M139" s="43" t="n">
        <x:v>46260.10833333333</x:v>
      </x:c>
      <x:c r="N139" s="31" t="str">
        <x:v>data/fear-temperature/ngram/raw/51f107a3bb3ac7010decceb94d2ae2bf077c7cdba099bdf39d277bd64b1a1a9e.json</x:v>
      </x:c>
      <x:c r="O139" s="46" t="str">
        <x:v>RECONSTRUCTED_FROM_REPORT</x:v>
      </x:c>
    </x:row>
    <x:row r="140" ht="27" customHeight="1">
      <x:c r="A140" s="25" t="str">
        <x:v>FT-Q-V01-136</x:v>
      </x:c>
      <x:c r="B140" s="19" t="str">
        <x:v>2015</x:v>
      </x:c>
      <x:c r="C140" s="31" t="str">
        <x:v>emergency</x:v>
      </x:c>
      <x:c r="D140" s="31" t="str">
        <x:v>BACKGROUND_AMBIGUOUS</x:v>
      </x:c>
      <x:c r="E140" s="31" t="str">
        <x:v>COMPATIBLE</x:v>
      </x:c>
      <x:c r="F140" s="40" t="b">
        <x:v>1</x:v>
      </x:c>
      <x:c r="G140" s="31" t="str">
        <x:v>SUCCEEDED</x:v>
      </x:c>
      <x:c r="H140" s="19" t="str">
        <x:v>SUCCESS_NONZERO</x:v>
      </x:c>
      <x:c r="I140" s="28" t="n">
        <x:v>181</x:v>
      </x:c>
      <x:c r="J140" s="31" t="str">
        <x:v>emergency</x:v>
      </x:c>
      <x:c r="K140" s="19" t="str">
        <x:v>emergency (All)</x:v>
      </x:c>
      <x:c r="L140" s="31" t="str">
        <x:v>Compatible exact string/phrase for unsmoothed public Ngram retrieval (current interface supports up to seven words).</x:v>
      </x:c>
      <x:c r="M140" s="43" t="n">
        <x:v>46260.10834490741</x:v>
      </x:c>
      <x:c r="N140" s="31" t="str">
        <x:v>data/fear-temperature/ngram/raw/c5162a664882434d77d4c5d3bffd7a896165ae13d26ba78263febba6d337d60e.json</x:v>
      </x:c>
      <x:c r="O140" s="46" t="str">
        <x:v>RECONSTRUCTED_FROM_REPORT</x:v>
      </x:c>
    </x:row>
    <x:row r="141" ht="27" customHeight="1">
      <x:c r="A141" s="25" t="str">
        <x:v>FT-Q-V01-137</x:v>
      </x:c>
      <x:c r="B141" s="19" t="str">
        <x:v>2022</x:v>
      </x:c>
      <x:c r="C141" s="31" t="str">
        <x:v>mortality</x:v>
      </x:c>
      <x:c r="D141" s="31" t="str">
        <x:v>BACKGROUND_AMBIGUOUS</x:v>
      </x:c>
      <x:c r="E141" s="31" t="str">
        <x:v>COMPATIBLE</x:v>
      </x:c>
      <x:c r="F141" s="40" t="b">
        <x:v>1</x:v>
      </x:c>
      <x:c r="G141" s="31" t="str">
        <x:v>SUCCEEDED</x:v>
      </x:c>
      <x:c r="H141" s="19" t="str">
        <x:v>SUCCESS_NONZERO</x:v>
      </x:c>
      <x:c r="I141" s="28" t="n">
        <x:v>181</x:v>
      </x:c>
      <x:c r="J141" s="31" t="str">
        <x:v>mortality</x:v>
      </x:c>
      <x:c r="K141" s="19" t="str">
        <x:v>mortality (All)</x:v>
      </x:c>
      <x:c r="L141" s="31" t="str">
        <x:v>Compatible exact string/phrase for unsmoothed public Ngram retrieval (current interface supports up to seven words).</x:v>
      </x:c>
      <x:c r="M141" s="43" t="n">
        <x:v>46260.10835648148</x:v>
      </x:c>
      <x:c r="N141" s="31" t="str">
        <x:v>data/fear-temperature/ngram/raw/8e9bd7f9f8db93306a8194efc16e753c9591ba2cf84f600e436012188897e8db.json</x:v>
      </x:c>
      <x:c r="O141" s="46" t="str">
        <x:v>RECONSTRUCTED_FROM_REPORT</x:v>
      </x:c>
    </x:row>
    <x:row r="142" ht="27" customHeight="1">
      <x:c r="A142" s="25" t="str">
        <x:v>FT-Q-V01-138</x:v>
      </x:c>
      <x:c r="B142" s="19" t="str">
        <x:v>1842</x:v>
      </x:c>
      <x:c r="C142" s="31" t="str">
        <x:v>heat of the irons</x:v>
      </x:c>
      <x:c r="D142" s="31" t="str">
        <x:v>EXECUTABLE_NGRAM</x:v>
      </x:c>
      <x:c r="E142" s="31" t="str">
        <x:v>COMPATIBLE</x:v>
      </x:c>
      <x:c r="F142" s="40" t="b">
        <x:v>1</x:v>
      </x:c>
      <x:c r="G142" s="31" t="str">
        <x:v>SUCCEEDED</x:v>
      </x:c>
      <x:c r="H142" s="19" t="str">
        <x:v>SUCCESS_NONZERO</x:v>
      </x:c>
      <x:c r="I142" s="28" t="n">
        <x:v>181</x:v>
      </x:c>
      <x:c r="J142" s="31" t="str">
        <x:v>heat of the irons</x:v>
      </x:c>
      <x:c r="K142" s="19" t="str">
        <x:v>heat of the irons</x:v>
      </x:c>
      <x:c r="L142" s="31" t="str">
        <x:v>Compatible exact string/phrase for unsmoothed public Ngram retrieval (current interface supports up to seven words).</x:v>
      </x:c>
      <x:c r="M142" s="43" t="n">
        <x:v>46260.10836805555</x:v>
      </x:c>
      <x:c r="N142" s="31" t="str">
        <x:v>data/fear-temperature/ngram/raw/6e0dd6ba68158e1e452d6bca05216b6ea57e3abfb75c80405a05fbd06153ad7a.json</x:v>
      </x:c>
      <x:c r="O142" s="46" t="str">
        <x:v>RECONSTRUCTED_FROM_REPORT</x:v>
      </x:c>
    </x:row>
    <x:row r="143" ht="27" customHeight="1">
      <x:c r="A143" s="25" t="str">
        <x:v>FT-Q-V01-139</x:v>
      </x:c>
      <x:c r="B143" s="19" t="str">
        <x:v>1938</x:v>
      </x:c>
      <x:c r="C143" s="31" t="str">
        <x:v>heat wave</x:v>
      </x:c>
      <x:c r="D143" s="31" t="str">
        <x:v>EXECUTABLE_NGRAM</x:v>
      </x:c>
      <x:c r="E143" s="31" t="str">
        <x:v>COMPATIBLE</x:v>
      </x:c>
      <x:c r="F143" s="40" t="b">
        <x:v>1</x:v>
      </x:c>
      <x:c r="G143" s="31" t="str">
        <x:v>SUCCEEDED</x:v>
      </x:c>
      <x:c r="H143" s="19" t="str">
        <x:v>SUCCESS_NONZERO</x:v>
      </x:c>
      <x:c r="I143" s="28" t="n">
        <x:v>181</x:v>
      </x:c>
      <x:c r="J143" s="31" t="str">
        <x:v>heat wave</x:v>
      </x:c>
      <x:c r="K143" s="19" t="str">
        <x:v>heat wave (All)</x:v>
      </x:c>
      <x:c r="L143" s="31" t="str">
        <x:v>Compatible exact string/phrase for unsmoothed public Ngram retrieval (current interface supports up to seven words).</x:v>
      </x:c>
      <x:c r="M143" s="43" t="n">
        <x:v>46260.10731481481</x:v>
      </x:c>
      <x:c r="N143" s="31" t="str">
        <x:v>data/fear-temperature/ngram/raw/306e212ec9cdb980f5e1f91f3e6734e7998c99820aa93fd4a8109533d1676f5a.json</x:v>
      </x:c>
      <x:c r="O143" s="46" t="str">
        <x:v>RECONSTRUCTED_FROM_REPORT</x:v>
      </x:c>
    </x:row>
    <x:row r="144" ht="27" customHeight="1">
      <x:c r="A144" s="25" t="str">
        <x:v>FT-Q-V01-140</x:v>
      </x:c>
      <x:c r="B144" s="19" t="str">
        <x:v>1988</x:v>
      </x:c>
      <x:c r="C144" s="31" t="str">
        <x:v>grave threats</x:v>
      </x:c>
      <x:c r="D144" s="31" t="str">
        <x:v>EXECUTABLE_NGRAM</x:v>
      </x:c>
      <x:c r="E144" s="31" t="str">
        <x:v>COMPATIBLE</x:v>
      </x:c>
      <x:c r="F144" s="40" t="b">
        <x:v>1</x:v>
      </x:c>
      <x:c r="G144" s="31" t="str">
        <x:v>SUCCEEDED</x:v>
      </x:c>
      <x:c r="H144" s="19" t="str">
        <x:v>SUCCESS_NONZERO</x:v>
      </x:c>
      <x:c r="I144" s="28" t="n">
        <x:v>181</x:v>
      </x:c>
      <x:c r="J144" s="31" t="str">
        <x:v>grave threats</x:v>
      </x:c>
      <x:c r="K144" s="19" t="str">
        <x:v>grave threats (All)</x:v>
      </x:c>
      <x:c r="L144" s="31" t="str">
        <x:v>Compatible exact string/phrase for unsmoothed public Ngram retrieval (current interface supports up to seven words).</x:v>
      </x:c>
      <x:c r="M144" s="43" t="n">
        <x:v>46260.10837962963</x:v>
      </x:c>
      <x:c r="N144" s="31" t="str">
        <x:v>data/fear-temperature/ngram/raw/199a2de4dde46b1f28e8d82214a736fd2943900d1124288ca73d431bc50f76b4.json</x:v>
      </x:c>
      <x:c r="O144" s="46" t="str">
        <x:v>RECONSTRUCTED_FROM_REPORT</x:v>
      </x:c>
    </x:row>
    <x:row r="145" ht="27" customHeight="1">
      <x:c r="A145" s="25" t="str">
        <x:v>FT-Q-V01-141</x:v>
      </x:c>
      <x:c r="B145" s="19" t="str">
        <x:v>2006–2007</x:v>
      </x:c>
      <x:c r="C145" s="31" t="str">
        <x:v>Be Worried. Be Very Worried.</x:v>
      </x:c>
      <x:c r="D145" s="31" t="str">
        <x:v>EXECUTABLE_CORPUS_ONLY</x:v>
      </x:c>
      <x:c r="E145" s="31" t="str">
        <x:v>PUNCTUATION_HEAVY</x:v>
      </x:c>
      <x:c r="F145" s="40" t="b">
        <x:v>0</x:v>
      </x:c>
      <x:c r="G145" s="31" t="str">
        <x:v>NOT_RUN_INCOMPATIBLE</x:v>
      </x:c>
      <x:c r="H145" s="19" t="str">
        <x:v>TECHNICALLY_UNREPRESENTABLE</x:v>
      </x:c>
      <x:c r="I145" s="28" t="n">
        <x:v>0</x:v>
      </x:c>
      <x:c r="J145" s="31" t="str">
        <x:v>Be Worried. Be Very Worried.</x:v>
      </x:c>
      <x:c r="K145" s="19" t="str">
        <x:v>NOT_APPLICABLE</x:v>
      </x:c>
      <x:c r="L145" s="31" t="str">
        <x:v>Sentence-level punctuation makes this a corpus-context rule, not an Ngram phrase.</x:v>
      </x:c>
      <x:c r="M145" s="43" t="str">
        <x:v>NOT_APPLICABLE</x:v>
      </x:c>
      <x:c r="N145" s="31" t="str">
        <x:v>NOT_APPLICABLE</x:v>
      </x:c>
      <x:c r="O145" s="46" t="str">
        <x:v>RECONSTRUCTED_FROM_REPORT</x:v>
      </x:c>
    </x:row>
    <x:row r="146" ht="27" customHeight="1">
      <x:c r="A146" s="25" t="str">
        <x:v>FT-Q-V01-142</x:v>
      </x:c>
      <x:c r="B146" s="19" t="str">
        <x:v>2015</x:v>
      </x:c>
      <x:c r="C146" s="31" t="str">
        <x:v>comprehensive risk assessment and management</x:v>
      </x:c>
      <x:c r="D146" s="31" t="str">
        <x:v>EXECUTABLE_NGRAM</x:v>
      </x:c>
      <x:c r="E146" s="31" t="str">
        <x:v>COMPATIBLE</x:v>
      </x:c>
      <x:c r="F146" s="40" t="b">
        <x:v>1</x:v>
      </x:c>
      <x:c r="G146" s="31" t="str">
        <x:v>SUCCEEDED</x:v>
      </x:c>
      <x:c r="H146" s="19" t="str">
        <x:v>SUCCESS_NONZERO</x:v>
      </x:c>
      <x:c r="I146" s="28" t="n">
        <x:v>181</x:v>
      </x:c>
      <x:c r="J146" s="31" t="str">
        <x:v>comprehensive risk assessment and management</x:v>
      </x:c>
      <x:c r="K146" s="19" t="str">
        <x:v>comprehensive risk assessment and management (All)</x:v>
      </x:c>
      <x:c r="L146" s="31" t="str">
        <x:v>Compatible exact string/phrase for unsmoothed public Ngram retrieval (current interface supports up to seven words).</x:v>
      </x:c>
      <x:c r="M146" s="43" t="n">
        <x:v>46260.10839120371</x:v>
      </x:c>
      <x:c r="N146" s="31" t="str">
        <x:v>data/fear-temperature/ngram/raw/98133fcfa53e45c78d53cec796f58bcdaf049d4f7b7d689a9b32d8a79abe6afd.json</x:v>
      </x:c>
      <x:c r="O146" s="46" t="str">
        <x:v>RECONSTRUCTED_FROM_REPORT</x:v>
      </x:c>
    </x:row>
    <x:row r="147" ht="27" customHeight="1">
      <x:c r="A147" s="26" t="str">
        <x:v>FT-Q-V01-143</x:v>
      </x:c>
      <x:c r="B147" s="22" t="str">
        <x:v>2022</x:v>
      </x:c>
      <x:c r="C147" s="32" t="str">
        <x:v>guilt</x:v>
      </x:c>
      <x:c r="D147" s="32" t="str">
        <x:v>EXECUTABLE_NGRAM</x:v>
      </x:c>
      <x:c r="E147" s="32" t="str">
        <x:v>COMPATIBLE</x:v>
      </x:c>
      <x:c r="F147" s="41" t="b">
        <x:v>1</x:v>
      </x:c>
      <x:c r="G147" s="32" t="str">
        <x:v>SUCCEEDED</x:v>
      </x:c>
      <x:c r="H147" s="22" t="str">
        <x:v>SUCCESS_NONZERO</x:v>
      </x:c>
      <x:c r="I147" s="29" t="n">
        <x:v>181</x:v>
      </x:c>
      <x:c r="J147" s="32" t="str">
        <x:v>guilt</x:v>
      </x:c>
      <x:c r="K147" s="22" t="str">
        <x:v>guilt (All)</x:v>
      </x:c>
      <x:c r="L147" s="32" t="str">
        <x:v>Compatible exact string/phrase for unsmoothed public Ngram retrieval (current interface supports up to seven words).</x:v>
      </x:c>
      <x:c r="M147" s="44" t="n">
        <x:v>46260.10839120371</x:v>
      </x:c>
      <x:c r="N147" s="32" t="str">
        <x:v>data/fear-temperature/ngram/raw/5b4a6bef176c04f9daabd6c22aca47c6b2abebd8c7e08193bc29846a6873320a.json</x:v>
      </x:c>
      <x:c r="O147" s="47" t="str">
        <x:v>RECONSTRUCTED_FROM_REPORT</x:v>
      </x:c>
    </x:row>
  </x:sheetData>
  <x:mergeCells>
    <x:mergeCell ref="A1:O1"/>
    <x:mergeCell ref="A2:O2"/>
    <x:mergeCell ref="Q1:X1"/>
    <x:mergeCell ref="Q2:X2"/>
  </x:mergeCells>
  <x:conditionalFormatting sqref="E5:E147">
    <x:cfRule type="containsText" dxfId="99" priority="1" operator="containsText" text="FULLY"/>
    <x:cfRule type="containsText" dxfId="100" priority="2" operator="containsText" text="SUCCESS"/>
    <x:cfRule type="containsText" dxfId="101" priority="3" operator="containsText" text="DIRECT_HEADWORD"/>
    <x:cfRule type="containsText" dxfId="102" priority="4" operator="containsText" text="TECHNICAL_GLOSSARY"/>
    <x:cfRule type="containsText" dxfId="103" priority="5" operator="containsText" text="ZERO"/>
    <x:cfRule type="containsText" dxfId="104" priority="6" operator="containsText" text="UNRESOLVED"/>
    <x:cfRule type="containsText" dxfId="105" priority="7" operator="containsText" text="PENDING"/>
    <x:cfRule type="containsText" dxfId="106" priority="8" operator="containsText" text="NOT_EXPOSED"/>
    <x:cfRule type="containsText" dxfId="107" priority="9" operator="containsText" text="NOT_ANNOTATED"/>
    <x:cfRule type="containsText" dxfId="108" priority="10" operator="containsText" text="NOT_LOCATED"/>
    <x:cfRule type="containsText" dxfId="109" priority="11" operator="containsText" text="NOT_APPLICABLE"/>
  </x:conditionalFormatting>
  <x:conditionalFormatting sqref="G5:G147">
    <x:cfRule type="containsText" dxfId="110" priority="12" operator="containsText" text="FULLY"/>
    <x:cfRule type="containsText" dxfId="111" priority="13" operator="containsText" text="SUCCESS"/>
    <x:cfRule type="containsText" dxfId="112" priority="14" operator="containsText" text="DIRECT_HEADWORD"/>
    <x:cfRule type="containsText" dxfId="113" priority="15" operator="containsText" text="TECHNICAL_GLOSSARY"/>
    <x:cfRule type="containsText" dxfId="114" priority="16" operator="containsText" text="ZERO"/>
    <x:cfRule type="containsText" dxfId="115" priority="17" operator="containsText" text="UNRESOLVED"/>
    <x:cfRule type="containsText" dxfId="116" priority="18" operator="containsText" text="PENDING"/>
    <x:cfRule type="containsText" dxfId="117" priority="19" operator="containsText" text="NOT_EXPOSED"/>
    <x:cfRule type="containsText" dxfId="118" priority="20" operator="containsText" text="NOT_ANNOTATED"/>
    <x:cfRule type="containsText" dxfId="119" priority="21" operator="containsText" text="NOT_LOCATED"/>
    <x:cfRule type="containsText" dxfId="120" priority="22" operator="containsText" text="NOT_APPLICABLE"/>
  </x:conditionalFormatting>
  <x:conditionalFormatting sqref="O5:O147">
    <x:cfRule type="containsText" dxfId="121" priority="23" operator="containsText" text="FULLY"/>
    <x:cfRule type="containsText" dxfId="122" priority="24" operator="containsText" text="SUCCESS"/>
    <x:cfRule type="containsText" dxfId="123" priority="25" operator="containsText" text="DIRECT_HEADWORD"/>
    <x:cfRule type="containsText" dxfId="124" priority="26" operator="containsText" text="TECHNICAL_GLOSSARY"/>
    <x:cfRule type="containsText" dxfId="125" priority="27" operator="containsText" text="ZERO"/>
    <x:cfRule type="containsText" dxfId="126" priority="28" operator="containsText" text="UNRESOLVED"/>
    <x:cfRule type="containsText" dxfId="127" priority="29" operator="containsText" text="PENDING"/>
    <x:cfRule type="containsText" dxfId="128" priority="30" operator="containsText" text="NOT_EXPOSED"/>
    <x:cfRule type="containsText" dxfId="129" priority="31" operator="containsText" text="NOT_ANNOTATED"/>
    <x:cfRule type="containsText" dxfId="130" priority="32" operator="containsText" text="NOT_LOCATED"/>
    <x:cfRule type="containsText" dxfId="131" priority="33" operator="containsText" text="NOT_APPLICABLE"/>
  </x:conditionalFormatting>
  <x:pageMargins left="0.7" right="0.7" top="0.75" bottom="0.75" header="0.3" footer="0.3"/>
  <x:tableParts count="2">
    <x:tablePart xmlns:r="http://schemas.openxmlformats.org/officeDocument/2006/relationships" r:id="R024a2ebe7dc940ad"/>
    <x:tablePart xmlns:r="http://schemas.openxmlformats.org/officeDocument/2006/relationships" r:id="R854c507a90a54c4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7" hidden="0" customWidth="1"/>
    <x:col min="4" max="4" width="26" hidden="0" customWidth="1"/>
    <x:col min="5" max="5" width="26" hidden="0" customWidth="1"/>
    <x:col min="6" max="6" width="16" hidden="0" customWidth="1"/>
    <x:col min="7" max="7" width="23" hidden="0" customWidth="1"/>
    <x:col min="8" max="8" width="16" hidden="0" customWidth="1"/>
    <x:col min="9" max="9" width="16" hidden="0" customWidth="1"/>
    <x:col min="10" max="10" width="16" hidden="0" customWidth="1"/>
    <x:col min="11" max="11" width="16" hidden="0" customWidth="1"/>
    <x:col min="12" max="12" width="42" hidden="0" customWidth="1"/>
    <x:col min="13" max="13" width="42" hidden="0" customWidth="1"/>
    <x:col min="14" max="14" width="42" hidden="0" customWidth="1"/>
    <x:col min="15" max="15" width="42" hidden="0" customWidth="1"/>
    <x:col min="16" max="16" width="16" hidden="0" customWidth="1"/>
    <x:col min="17" max="17" width="42" hidden="0" customWidth="1"/>
    <x:col min="18" max="18" width="38" hidden="0" customWidth="1"/>
    <x:col min="19" max="19" width="21" hidden="0" customWidth="1"/>
    <x:col min="20" max="20" width="42" hidden="0" customWidth="1"/>
  </x:cols>
  <x:sheetData>
    <x:row r="1" ht="38" customHeight="1">
      <x:c r="A1" s="3" t="str">
        <x:v>Dictionary and Lexicographic Coverage - 180 Candidates</x:v>
      </x:c>
      <x:c r="B1" s="3" t="str">
        <x:v>Dictionary and Lexicographic Coverage - 180 Candidates</x:v>
      </x:c>
      <x:c r="C1" s="3" t="str">
        <x:v>Dictionary and Lexicographic Coverage - 180 Candidates</x:v>
      </x:c>
      <x:c r="D1" s="3" t="str">
        <x:v>Dictionary and Lexicographic Coverage - 180 Candidates</x:v>
      </x:c>
      <x:c r="E1" s="3" t="str">
        <x:v>Dictionary and Lexicographic Coverage - 180 Candidates</x:v>
      </x:c>
      <x:c r="F1" s="3" t="str">
        <x:v>Dictionary and Lexicographic Coverage - 180 Candidates</x:v>
      </x:c>
      <x:c r="G1" s="3" t="str">
        <x:v>Dictionary and Lexicographic Coverage - 180 Candidates</x:v>
      </x:c>
      <x:c r="H1" s="3" t="str">
        <x:v>Dictionary and Lexicographic Coverage - 180 Candidates</x:v>
      </x:c>
      <x:c r="I1" s="3" t="str">
        <x:v>Dictionary and Lexicographic Coverage - 180 Candidates</x:v>
      </x:c>
      <x:c r="J1" s="3" t="str">
        <x:v>Dictionary and Lexicographic Coverage - 180 Candidates</x:v>
      </x:c>
      <x:c r="K1" s="3" t="str">
        <x:v>Dictionary and Lexicographic Coverage - 180 Candidates</x:v>
      </x:c>
      <x:c r="L1" s="3" t="str">
        <x:v>Dictionary and Lexicographic Coverage - 180 Candidates</x:v>
      </x:c>
      <x:c r="M1" s="3" t="str">
        <x:v>Dictionary and Lexicographic Coverage - 180 Candidates</x:v>
      </x:c>
      <x:c r="N1" s="3" t="str">
        <x:v>Dictionary and Lexicographic Coverage - 180 Candidates</x:v>
      </x:c>
      <x:c r="O1" s="3" t="str">
        <x:v>Dictionary and Lexicographic Coverage - 180 Candidates</x:v>
      </x:c>
      <x:c r="P1" s="3" t="str">
        <x:v>Dictionary and Lexicographic Coverage - 180 Candidates</x:v>
      </x:c>
      <x:c r="Q1" s="3" t="str">
        <x:v>Dictionary and Lexicographic Coverage - 180 Candidates</x:v>
      </x:c>
      <x:c r="R1" s="3" t="str">
        <x:v>Dictionary and Lexicographic Coverage - 180 Candidates</x:v>
      </x:c>
      <x:c r="S1" s="3" t="str">
        <x:v>Dictionary and Lexicographic Coverage - 180 Candidates</x:v>
      </x:c>
      <x:c r="T1" s="3" t="str">
        <x:v>Dictionary and Lexicographic Coverage - 180 Candidates</x:v>
      </x:c>
    </x:row>
    <x:row r="2" ht="31" customHeight="1">
      <x:c r="A2" s="7" t="str">
        <x:v>Definitions are concise paraphrases with source attribution. NO_STANDALONE_HEADWORD marks phrases supported by component, historical or technical evidence rather than an invented dictionary entry.</x:v>
      </x:c>
      <x:c r="B2" s="7" t="str">
        <x:v>Definitions are concise paraphrases with source attribution. NO_STANDALONE_HEADWORD marks phrases supported by component, historical or technical evidence rather than an invented dictionary entry.</x:v>
      </x:c>
      <x:c r="C2" s="7" t="str">
        <x:v>Definitions are concise paraphrases with source attribution. NO_STANDALONE_HEADWORD marks phrases supported by component, historical or technical evidence rather than an invented dictionary entry.</x:v>
      </x:c>
      <x:c r="D2" s="7" t="str">
        <x:v>Definitions are concise paraphrases with source attribution. NO_STANDALONE_HEADWORD marks phrases supported by component, historical or technical evidence rather than an invented dictionary entry.</x:v>
      </x:c>
      <x:c r="E2" s="7" t="str">
        <x:v>Definitions are concise paraphrases with source attribution. NO_STANDALONE_HEADWORD marks phrases supported by component, historical or technical evidence rather than an invented dictionary entry.</x:v>
      </x:c>
      <x:c r="F2" s="7" t="str">
        <x:v>Definitions are concise paraphrases with source attribution. NO_STANDALONE_HEADWORD marks phrases supported by component, historical or technical evidence rather than an invented dictionary entry.</x:v>
      </x:c>
      <x:c r="G2" s="7" t="str">
        <x:v>Definitions are concise paraphrases with source attribution. NO_STANDALONE_HEADWORD marks phrases supported by component, historical or technical evidence rather than an invented dictionary entry.</x:v>
      </x:c>
      <x:c r="H2" s="7" t="str">
        <x:v>Definitions are concise paraphrases with source attribution. NO_STANDALONE_HEADWORD marks phrases supported by component, historical or technical evidence rather than an invented dictionary entry.</x:v>
      </x:c>
      <x:c r="I2" s="7" t="str">
        <x:v>Definitions are concise paraphrases with source attribution. NO_STANDALONE_HEADWORD marks phrases supported by component, historical or technical evidence rather than an invented dictionary entry.</x:v>
      </x:c>
      <x:c r="J2" s="7" t="str">
        <x:v>Definitions are concise paraphrases with source attribution. NO_STANDALONE_HEADWORD marks phrases supported by component, historical or technical evidence rather than an invented dictionary entry.</x:v>
      </x:c>
      <x:c r="K2" s="7" t="str">
        <x:v>Definitions are concise paraphrases with source attribution. NO_STANDALONE_HEADWORD marks phrases supported by component, historical or technical evidence rather than an invented dictionary entry.</x:v>
      </x:c>
      <x:c r="L2" s="7" t="str">
        <x:v>Definitions are concise paraphrases with source attribution. NO_STANDALONE_HEADWORD marks phrases supported by component, historical or technical evidence rather than an invented dictionary entry.</x:v>
      </x:c>
      <x:c r="M2" s="7" t="str">
        <x:v>Definitions are concise paraphrases with source attribution. NO_STANDALONE_HEADWORD marks phrases supported by component, historical or technical evidence rather than an invented dictionary entry.</x:v>
      </x:c>
      <x:c r="N2" s="7" t="str">
        <x:v>Definitions are concise paraphrases with source attribution. NO_STANDALONE_HEADWORD marks phrases supported by component, historical or technical evidence rather than an invented dictionary entry.</x:v>
      </x:c>
      <x:c r="O2" s="7" t="str">
        <x:v>Definitions are concise paraphrases with source attribution. NO_STANDALONE_HEADWORD marks phrases supported by component, historical or technical evidence rather than an invented dictionary entry.</x:v>
      </x:c>
      <x:c r="P2" s="7" t="str">
        <x:v>Definitions are concise paraphrases with source attribution. NO_STANDALONE_HEADWORD marks phrases supported by component, historical or technical evidence rather than an invented dictionary entry.</x:v>
      </x:c>
      <x:c r="Q2" s="7" t="str">
        <x:v>Definitions are concise paraphrases with source attribution. NO_STANDALONE_HEADWORD marks phrases supported by component, historical or technical evidence rather than an invented dictionary entry.</x:v>
      </x:c>
      <x:c r="R2" s="7" t="str">
        <x:v>Definitions are concise paraphrases with source attribution. NO_STANDALONE_HEADWORD marks phrases supported by component, historical or technical evidence rather than an invented dictionary entry.</x:v>
      </x:c>
      <x:c r="S2" s="7" t="str">
        <x:v>Definitions are concise paraphrases with source attribution. NO_STANDALONE_HEADWORD marks phrases supported by component, historical or technical evidence rather than an invented dictionary entry.</x:v>
      </x:c>
      <x:c r="T2" s="7" t="str">
        <x:v>Definitions are concise paraphrases with source attribution. NO_STANDALONE_HEADWORD marks phrases supported by component, historical or technical evidence rather than an invented dictionary entry.</x:v>
      </x:c>
    </x:row>
    <x:row r="4" ht="42" customHeight="1">
      <x:c r="A4" s="14" t="str">
        <x:v>Candidate ID</x:v>
      </x:c>
      <x:c r="B4" s="14" t="str">
        <x:v>Anchor</x:v>
      </x:c>
      <x:c r="C4" s="14" t="str">
        <x:v>Rank</x:v>
      </x:c>
      <x:c r="D4" s="14" t="str">
        <x:v>Surface Form</x:v>
      </x:c>
      <x:c r="E4" s="14" t="str">
        <x:v>Normalised Concept</x:v>
      </x:c>
      <x:c r="F4" s="14" t="str">
        <x:v>Lexical Family</x:v>
      </x:c>
      <x:c r="G4" s="14" t="str">
        <x:v>Dictionary Status</x:v>
      </x:c>
      <x:c r="H4" s="14" t="str">
        <x:v>Direct Headword Exists</x:v>
      </x:c>
      <x:c r="I4" s="14" t="str">
        <x:v>Primary Source</x:v>
      </x:c>
      <x:c r="J4" s="14" t="str">
        <x:v>Secondary Source</x:v>
      </x:c>
      <x:c r="K4" s="14" t="str">
        <x:v>Historical / Domain Source</x:v>
      </x:c>
      <x:c r="L4" s="14" t="str">
        <x:v>Concise Definition Paraphrase</x:v>
      </x:c>
      <x:c r="M4" s="14" t="str">
        <x:v>Historically Relevant Sense</x:v>
      </x:c>
      <x:c r="N4" s="14" t="str">
        <x:v>Modern Sense</x:v>
      </x:c>
      <x:c r="O4" s="14" t="str">
        <x:v>Anchor Sense Match</x:v>
      </x:c>
      <x:c r="P4" s="14" t="str">
        <x:v>First Attestation</x:v>
      </x:c>
      <x:c r="Q4" s="14" t="str">
        <x:v>Polysemy Warning</x:v>
      </x:c>
      <x:c r="R4" s="14" t="str">
        <x:v>Source Citation / Link</x:v>
      </x:c>
      <x:c r="S4" s="14" t="str">
        <x:v>Access Date</x:v>
      </x:c>
      <x:c r="T4" s="14" t="str">
        <x:v>Candidate Provenance</x:v>
      </x:c>
    </x:row>
    <x:row r="5" ht="38" customHeight="1">
      <x:c r="A5" s="24" t="str">
        <x:v>FT-SEED-R1B-P-1842-01</x:v>
      </x:c>
      <x:c r="B5" s="16" t="str">
        <x:v>1842</x:v>
      </x:c>
      <x:c r="C5" s="27" t="n">
        <x:v>1</x:v>
      </x:c>
      <x:c r="D5" s="30" t="str">
        <x:v>temperature</x:v>
      </x:c>
      <x:c r="E5" s="30" t="str">
        <x:v>local / instrumental temperature</x:v>
      </x:c>
      <x:c r="F5" s="16" t="str">
        <x:v>temperature_threshold</x:v>
      </x:c>
      <x:c r="G5" s="30" t="str">
        <x:v>DIRECT_HEADWORD</x:v>
      </x:c>
      <x:c r="H5" s="16" t="str">
        <x:v>YES</x:v>
      </x:c>
      <x:c r="I5" s="16" t="str">
        <x:v>DictionaryAPI.dev English entry (Wiktionary-derived open lexical data)</x:v>
      </x:c>
      <x:c r="J5" s="16" t="str">
        <x:v>DictionaryAPI.dev exact entry consulted; definition stored as a project paraphrase rather than a copied dictionary definition.</x:v>
      </x:c>
      <x:c r="K5" s="16" t="str">
        <x:v>Anchor-period research source/context; Webster 1913 stable component URL recorded but automated page retrieval was unavailable</x:v>
      </x:c>
      <x:c r="L5" s="30" t="str">
        <x:v>A local or instrument-specific temperature reading; the candidate is interpreted in its documented anchor and voice context.</x:v>
      </x:c>
      <x:c r="M5" s="30" t="str">
        <x:v>A physical temperature, warming, heat, or measurement sense in the documented anchor context.</x:v>
      </x:c>
      <x:c r="N5" s="30" t="str">
        <x:v>A local or instrument-specific temperature reading; the candidate is interpreted in its documented anchor and voice context.</x:v>
      </x:c>
      <x:c r="O5" s="30" t="str">
        <x:v>STRONG</x:v>
      </x:c>
      <x:c r="P5" s="16" t="str">
        <x:v>NOT_LOCATED</x:v>
      </x:c>
      <x:c r="Q5" s="30" t="str">
        <x:v>The surface form may realize multiple senses; candidate meaning remains anchored to the report-visible source context.</x:v>
      </x:c>
      <x:c r="R5" s="30" t="str">
        <x:v>https://api.dictionaryapi.dev/api/v2/entries/en/temperature; https://websters1913.timcieplowski.com/word/temperature/</x:v>
      </x:c>
      <x:c r="S5" s="42" t="str">
        <x:v>2026-08-26</x:v>
      </x:c>
      <x:c r="T5" s="45" t="str">
        <x:v>RECONSTRUCTED_FROM_REPORT; Fear of Temperature_ Stratified Lexical Expansion, Voice Mapping, and Semantic-Relational Pre-Valida.pdf; p.6; project candidate FT-SEED-R1B-P-1842-01; original visible ID not available</x:v>
      </x:c>
    </x:row>
    <x:row r="6" ht="38" customHeight="1">
      <x:c r="A6" s="25" t="str">
        <x:v>FT-SEED-R1B-P-1842-02</x:v>
      </x:c>
      <x:c r="B6" s="19" t="str">
        <x:v>1842</x:v>
      </x:c>
      <x:c r="C6" s="28" t="n">
        <x:v>2</x:v>
      </x:c>
      <x:c r="D6" s="31" t="str">
        <x:v>mean temperature</x:v>
      </x:c>
      <x:c r="E6" s="31" t="str">
        <x:v>mean temperature</x:v>
      </x:c>
      <x:c r="F6" s="19" t="str">
        <x:v>temperature_threshold</x:v>
      </x:c>
      <x:c r="G6" s="31" t="str">
        <x:v>NO_STANDALONE_HEADWORD</x:v>
      </x:c>
      <x:c r="H6" s="19" t="str">
        <x:v>NO</x:v>
      </x:c>
      <x:c r="I6" s="19" t="str">
        <x:v>Component lexical analysis plus anchor-source contextual meaning</x:v>
      </x:c>
      <x:c r="J6" s="19" t="str">
        <x:v>Component headword checked: temperature.</x:v>
      </x:c>
      <x:c r="K6" s="19" t="str">
        <x:v>Anchor-period research source/context; Webster 1913 stable component URL recorded but automated page retrieval was unavailable</x:v>
      </x:c>
      <x:c r="L6" s="31" t="str">
        <x:v>A temporally or spatially averaged temperature value; the candidate is interpreted in its documented anchor and voice context.</x:v>
      </x:c>
      <x:c r="M6" s="31" t="str">
        <x:v>A physical temperature, warming, heat, or measurement sense in the documented anchor context.</x:v>
      </x:c>
      <x:c r="N6" s="31" t="str">
        <x:v>A temporally or spatially averaged temperature value; the candidate is interpreted in its documented anchor and voice context.</x:v>
      </x:c>
      <x:c r="O6" s="31" t="str">
        <x:v>STRONG</x:v>
      </x:c>
      <x:c r="P6" s="19" t="str">
        <x:v>NOT_LOCATED</x:v>
      </x:c>
      <x:c r="Q6" s="31" t="str">
        <x:v>The surface form may realize multiple senses; candidate meaning remains anchored to the report-visible source context.</x:v>
      </x:c>
      <x:c r="R6" s="31" t="str">
        <x:v>Fear of Temperature_ Stratified Lexical Expansion, Voice Mapping, and Semantic-Relational Pre-Valida.pdf#page=8; https://api.dictionaryapi.dev/api/v2/entries/en/mean%20temperature; https://websters1913.timcieplowski.com/word/temperature/</x:v>
      </x:c>
      <x:c r="S6" s="43" t="str">
        <x:v>2026-08-26</x:v>
      </x:c>
      <x:c r="T6" s="46" t="str">
        <x:v>RECONSTRUCTED_FROM_REPORT; Fear of Temperature_ Stratified Lexical Expansion, Voice Mapping, and Semantic-Relational Pre-Valida.pdf; p.6; project candidate FT-SEED-R1B-P-1842-02; original visible ID not available</x:v>
      </x:c>
    </x:row>
    <x:row r="7" ht="38" customHeight="1">
      <x:c r="A7" s="25" t="str">
        <x:v>FT-SEED-R1B-P-1842-03</x:v>
      </x:c>
      <x:c r="B7" s="19" t="str">
        <x:v>1842</x:v>
      </x:c>
      <x:c r="C7" s="28" t="n">
        <x:v>3</x:v>
      </x:c>
      <x:c r="D7" s="31" t="str">
        <x:v>temperature of the air in shade</x:v>
      </x:c>
      <x:c r="E7" s="31" t="str">
        <x:v>local / instrumental temperature</x:v>
      </x:c>
      <x:c r="F7" s="19" t="str">
        <x:v>temperature_threshold</x:v>
      </x:c>
      <x:c r="G7" s="31" t="str">
        <x:v>NO_STANDALONE_HEADWORD</x:v>
      </x:c>
      <x:c r="H7" s="19" t="str">
        <x:v>NO</x:v>
      </x:c>
      <x:c r="I7" s="19" t="str">
        <x:v>Component lexical analysis plus anchor-source contextual meaning</x:v>
      </x:c>
      <x:c r="J7" s="19" t="str">
        <x:v>Component headword checked: shade.</x:v>
      </x:c>
      <x:c r="K7" s="19" t="str">
        <x:v>Anchor-period research source/context; Webster 1913 stable component URL recorded but automated page retrieval was unavailable</x:v>
      </x:c>
      <x:c r="L7" s="31" t="str">
        <x:v>A local or instrument-specific temperature reading; the candidate is interpreted in its documented anchor and voice context.</x:v>
      </x:c>
      <x:c r="M7" s="31" t="str">
        <x:v>A physical temperature, warming, heat, or measurement sense in the documented anchor context.</x:v>
      </x:c>
      <x:c r="N7" s="31" t="str">
        <x:v>A local or instrument-specific temperature reading; the candidate is interpreted in its documented anchor and voice context.</x:v>
      </x:c>
      <x:c r="O7" s="31" t="str">
        <x:v>STRONG</x:v>
      </x:c>
      <x:c r="P7" s="19" t="str">
        <x:v>NOT_LOCATED</x:v>
      </x:c>
      <x:c r="Q7" s="31" t="str">
        <x:v>The surface form may realize multiple senses; candidate meaning remains anchored to the report-visible source context.</x:v>
      </x:c>
      <x:c r="R7" s="31" t="str">
        <x:v>Fear of Temperature_ Stratified Lexical Expansion, Voice Mapping, and Semantic-Relational Pre-Valida.pdf#page=6; https://api.dictionaryapi.dev/api/v2/entries/en/temperature%20of%20the%20air%20in%20shade; https://websters1913.timcieplowski.com/word/shade/</x:v>
      </x:c>
      <x:c r="S7" s="43" t="str">
        <x:v>2026-08-26</x:v>
      </x:c>
      <x:c r="T7" s="46" t="str">
        <x:v>RECONSTRUCTED_FROM_REPORT; Fear of Temperature_ Stratified Lexical Expansion, Voice Mapping, and Semantic-Relational Pre-Valida.pdf; p.6; project candidate FT-SEED-R1B-P-1842-03; original visible ID not available</x:v>
      </x:c>
    </x:row>
    <x:row r="8" ht="38" customHeight="1">
      <x:c r="A8" s="25" t="str">
        <x:v>FT-SEED-R1B-P-1842-04</x:v>
      </x:c>
      <x:c r="B8" s="19" t="str">
        <x:v>1842</x:v>
      </x:c>
      <x:c r="C8" s="28" t="n">
        <x:v>4</x:v>
      </x:c>
      <x:c r="D8" s="31" t="str">
        <x:v>maximum temperature</x:v>
      </x:c>
      <x:c r="E8" s="31" t="str">
        <x:v>local / instrumental temperature</x:v>
      </x:c>
      <x:c r="F8" s="19" t="str">
        <x:v>temperature_threshold</x:v>
      </x:c>
      <x:c r="G8" s="31" t="str">
        <x:v>NO_STANDALONE_HEADWORD</x:v>
      </x:c>
      <x:c r="H8" s="19" t="str">
        <x:v>NO</x:v>
      </x:c>
      <x:c r="I8" s="19" t="str">
        <x:v>Component lexical analysis plus anchor-source contextual meaning</x:v>
      </x:c>
      <x:c r="J8" s="19" t="str">
        <x:v>Component headword checked: temperature.</x:v>
      </x:c>
      <x:c r="K8" s="19" t="str">
        <x:v>Anchor-period research source/context; Webster 1913 stable component URL recorded but automated page retrieval was unavailable</x:v>
      </x:c>
      <x:c r="L8" s="31" t="str">
        <x:v>A local or instrument-specific temperature reading; the candidate is interpreted in its documented anchor and voice context.</x:v>
      </x:c>
      <x:c r="M8" s="31" t="str">
        <x:v>A physical temperature, warming, heat, or measurement sense in the documented anchor context.</x:v>
      </x:c>
      <x:c r="N8" s="31" t="str">
        <x:v>A local or instrument-specific temperature reading; the candidate is interpreted in its documented anchor and voice context.</x:v>
      </x:c>
      <x:c r="O8" s="31" t="str">
        <x:v>STRONG</x:v>
      </x:c>
      <x:c r="P8" s="19" t="str">
        <x:v>NOT_LOCATED</x:v>
      </x:c>
      <x:c r="Q8" s="31" t="str">
        <x:v>The surface form may realize multiple senses; candidate meaning remains anchored to the report-visible source context.</x:v>
      </x:c>
      <x:c r="R8" s="31" t="str">
        <x:v>Fear of Temperature_ Stratified Lexical Expansion, Voice Mapping, and Semantic-Relational Pre-Valida.pdf#page=6; https://api.dictionaryapi.dev/api/v2/entries/en/maximum%20temperature; https://websters1913.timcieplowski.com/word/temperature/</x:v>
      </x:c>
      <x:c r="S8" s="43" t="str">
        <x:v>2026-08-26</x:v>
      </x:c>
      <x:c r="T8" s="46" t="str">
        <x:v>RECONSTRUCTED_FROM_REPORT; Fear of Temperature_ Stratified Lexical Expansion, Voice Mapping, and Semantic-Relational Pre-Valida.pdf; p.6; project candidate FT-SEED-R1B-P-1842-04; original visible ID not available</x:v>
      </x:c>
    </x:row>
    <x:row r="9" ht="38" customHeight="1">
      <x:c r="A9" s="25" t="str">
        <x:v>FT-SEED-R1B-P-1842-05</x:v>
      </x:c>
      <x:c r="B9" s="19" t="str">
        <x:v>1842</x:v>
      </x:c>
      <x:c r="C9" s="28" t="n">
        <x:v>5</x:v>
      </x:c>
      <x:c r="D9" s="31" t="str">
        <x:v>minimum temperature</x:v>
      </x:c>
      <x:c r="E9" s="31" t="str">
        <x:v>local / instrumental temperature</x:v>
      </x:c>
      <x:c r="F9" s="19" t="str">
        <x:v>temperature_threshold</x:v>
      </x:c>
      <x:c r="G9" s="31" t="str">
        <x:v>NO_STANDALONE_HEADWORD</x:v>
      </x:c>
      <x:c r="H9" s="19" t="str">
        <x:v>NO</x:v>
      </x:c>
      <x:c r="I9" s="19" t="str">
        <x:v>Component lexical analysis plus anchor-source contextual meaning</x:v>
      </x:c>
      <x:c r="J9" s="19" t="str">
        <x:v>Component headword checked: temperature.</x:v>
      </x:c>
      <x:c r="K9" s="19" t="str">
        <x:v>Anchor-period research source/context; Webster 1913 stable component URL recorded but automated page retrieval was unavailable</x:v>
      </x:c>
      <x:c r="L9" s="31" t="str">
        <x:v>A local or instrument-specific temperature reading; the candidate is interpreted in its documented anchor and voice context.</x:v>
      </x:c>
      <x:c r="M9" s="31" t="str">
        <x:v>A physical temperature, warming, heat, or measurement sense in the documented anchor context.</x:v>
      </x:c>
      <x:c r="N9" s="31" t="str">
        <x:v>A local or instrument-specific temperature reading; the candidate is interpreted in its documented anchor and voice context.</x:v>
      </x:c>
      <x:c r="O9" s="31" t="str">
        <x:v>STRONG</x:v>
      </x:c>
      <x:c r="P9" s="19" t="str">
        <x:v>NOT_LOCATED</x:v>
      </x:c>
      <x:c r="Q9" s="31" t="str">
        <x:v>The surface form may realize multiple senses; candidate meaning remains anchored to the report-visible source context.</x:v>
      </x:c>
      <x:c r="R9" s="31" t="str">
        <x:v>Fear of Temperature_ Stratified Lexical Expansion, Voice Mapping, and Semantic-Relational Pre-Valida.pdf#page=6; https://api.dictionaryapi.dev/api/v2/entries/en/minimum%20temperature; https://websters1913.timcieplowski.com/word/temperature/</x:v>
      </x:c>
      <x:c r="S9" s="43" t="str">
        <x:v>2026-08-26</x:v>
      </x:c>
      <x:c r="T9" s="46" t="str">
        <x:v>RECONSTRUCTED_FROM_REPORT; Fear of Temperature_ Stratified Lexical Expansion, Voice Mapping, and Semantic-Relational Pre-Valida.pdf; p.6; project candidate FT-SEED-R1B-P-1842-05; original visible ID not available</x:v>
      </x:c>
    </x:row>
    <x:row r="10" ht="38" customHeight="1">
      <x:c r="A10" s="25" t="str">
        <x:v>FT-SEED-R1B-P-1842-06</x:v>
      </x:c>
      <x:c r="B10" s="19" t="str">
        <x:v>1842</x:v>
      </x:c>
      <x:c r="C10" s="28" t="n">
        <x:v>6</x:v>
      </x:c>
      <x:c r="D10" s="31" t="str">
        <x:v>mean temperature of sea at surface</x:v>
      </x:c>
      <x:c r="E10" s="31" t="str">
        <x:v>mean temperature</x:v>
      </x:c>
      <x:c r="F10" s="19" t="str">
        <x:v>temperature_threshold</x:v>
      </x:c>
      <x:c r="G10" s="31" t="str">
        <x:v>NO_STANDALONE_HEADWORD</x:v>
      </x:c>
      <x:c r="H10" s="19" t="str">
        <x:v>NO</x:v>
      </x:c>
      <x:c r="I10" s="19" t="str">
        <x:v>Component lexical analysis plus anchor-source contextual meaning</x:v>
      </x:c>
      <x:c r="J10" s="19" t="str">
        <x:v>Component headword checked: surface.</x:v>
      </x:c>
      <x:c r="K10" s="19" t="str">
        <x:v>Anchor-period research source/context; Webster 1913 stable component URL recorded but automated page retrieval was unavailable</x:v>
      </x:c>
      <x:c r="L10" s="31" t="str">
        <x:v>A temporally or spatially averaged temperature value; the candidate is interpreted in its documented anchor and voice context.</x:v>
      </x:c>
      <x:c r="M10" s="31" t="str">
        <x:v>A physical temperature, warming, heat, or measurement sense in the documented anchor context.</x:v>
      </x:c>
      <x:c r="N10" s="31" t="str">
        <x:v>A temporally or spatially averaged temperature value; the candidate is interpreted in its documented anchor and voice context.</x:v>
      </x:c>
      <x:c r="O10" s="31" t="str">
        <x:v>STRONG</x:v>
      </x:c>
      <x:c r="P10" s="19" t="str">
        <x:v>NOT_LOCATED</x:v>
      </x:c>
      <x:c r="Q10" s="31" t="str">
        <x:v>The surface form may realize multiple senses; candidate meaning remains anchored to the report-visible source context.</x:v>
      </x:c>
      <x:c r="R10" s="31" t="str">
        <x:v>Fear of Temperature_ Stratified Lexical Expansion, Voice Mapping, and Semantic-Relational Pre-Valida.pdf#page=6; https://api.dictionaryapi.dev/api/v2/entries/en/mean%20temperature%20of%20sea%20at%20surface; https://websters1913.timcieplowski.com/word/surface/</x:v>
      </x:c>
      <x:c r="S10" s="43" t="str">
        <x:v>2026-08-26</x:v>
      </x:c>
      <x:c r="T10" s="46" t="str">
        <x:v>RECONSTRUCTED_FROM_REPORT; Fear of Temperature_ Stratified Lexical Expansion, Voice Mapping, and Semantic-Relational Pre-Valida.pdf; p.6; project candidate FT-SEED-R1B-P-1842-06; original visible ID not available</x:v>
      </x:c>
    </x:row>
    <x:row r="11" ht="38" customHeight="1">
      <x:c r="A11" s="25" t="str">
        <x:v>FT-SEED-R1B-P-1842-07</x:v>
      </x:c>
      <x:c r="B11" s="19" t="str">
        <x:v>1842</x:v>
      </x:c>
      <x:c r="C11" s="28" t="n">
        <x:v>7</x:v>
      </x:c>
      <x:c r="D11" s="31" t="str">
        <x:v>dew point</x:v>
      </x:c>
      <x:c r="E11" s="31" t="str">
        <x:v>local / instrumental temperature</x:v>
      </x:c>
      <x:c r="F11" s="19" t="str">
        <x:v>temperature_threshold</x:v>
      </x:c>
      <x:c r="G11" s="31" t="str">
        <x:v>NO_STANDALONE_HEADWORD</x:v>
      </x:c>
      <x:c r="H11" s="19" t="str">
        <x:v>NO</x:v>
      </x:c>
      <x:c r="I11" s="19" t="str">
        <x:v>Component lexical analysis plus anchor-source contextual meaning</x:v>
      </x:c>
      <x:c r="J11" s="19" t="str">
        <x:v>Component headword checked: point.</x:v>
      </x:c>
      <x:c r="K11" s="19" t="str">
        <x:v>Anchor-period research source/context; Webster 1913 stable component URL recorded but automated page retrieval was unavailable</x:v>
      </x:c>
      <x:c r="L11" s="31" t="str">
        <x:v>A local or instrument-specific temperature reading; the candidate is interpreted in its documented anchor and voice context.</x:v>
      </x:c>
      <x:c r="M11" s="31" t="str">
        <x:v>A physical temperature, warming, heat, or measurement sense in the documented anchor context.</x:v>
      </x:c>
      <x:c r="N11" s="31" t="str">
        <x:v>A local or instrument-specific temperature reading; the candidate is interpreted in its documented anchor and voice context.</x:v>
      </x:c>
      <x:c r="O11" s="31" t="str">
        <x:v>STRONG</x:v>
      </x:c>
      <x:c r="P11" s="19" t="str">
        <x:v>NOT_LOCATED</x:v>
      </x:c>
      <x:c r="Q11" s="31" t="str">
        <x:v>The surface form may realize multiple senses; candidate meaning remains anchored to the report-visible source context.</x:v>
      </x:c>
      <x:c r="R11" s="31" t="str">
        <x:v>Fear of Temperature_ Stratified Lexical Expansion, Voice Mapping, and Semantic-Relational Pre-Valida.pdf#page=6; https://api.dictionaryapi.dev/api/v2/entries/en/dew%20point; https://websters1913.timcieplowski.com/word/point/</x:v>
      </x:c>
      <x:c r="S11" s="43" t="str">
        <x:v>2026-08-26</x:v>
      </x:c>
      <x:c r="T11" s="46" t="str">
        <x:v>RECONSTRUCTED_FROM_REPORT; Fear of Temperature_ Stratified Lexical Expansion, Voice Mapping, and Semantic-Relational Pre-Valida.pdf; p.6; project candidate FT-SEED-R1B-P-1842-07; original visible ID not available</x:v>
      </x:c>
    </x:row>
    <x:row r="12" ht="38" customHeight="1">
      <x:c r="A12" s="25" t="str">
        <x:v>FT-SEED-R1B-P-1842-08</x:v>
      </x:c>
      <x:c r="B12" s="19" t="str">
        <x:v>1842</x:v>
      </x:c>
      <x:c r="C12" s="28" t="n">
        <x:v>8</x:v>
      </x:c>
      <x:c r="D12" s="31" t="str">
        <x:v>standard thermometer</x:v>
      </x:c>
      <x:c r="E12" s="31" t="str">
        <x:v>local / instrumental temperature</x:v>
      </x:c>
      <x:c r="F12" s="19" t="str">
        <x:v>temperature_threshold</x:v>
      </x:c>
      <x:c r="G12" s="31" t="str">
        <x:v>NO_STANDALONE_HEADWORD</x:v>
      </x:c>
      <x:c r="H12" s="19" t="str">
        <x:v>NO</x:v>
      </x:c>
      <x:c r="I12" s="19" t="str">
        <x:v>Component lexical analysis plus anchor-source contextual meaning</x:v>
      </x:c>
      <x:c r="J12" s="19" t="str">
        <x:v>Component headword checked: thermometer.</x:v>
      </x:c>
      <x:c r="K12" s="19" t="str">
        <x:v>Anchor-period research source/context; Webster 1913 stable component URL recorded but automated page retrieval was unavailable</x:v>
      </x:c>
      <x:c r="L12" s="31" t="str">
        <x:v>A local or instrument-specific temperature reading; the candidate is interpreted in its documented anchor and voice context.</x:v>
      </x:c>
      <x:c r="M12" s="31" t="str">
        <x:v>A physical temperature, warming, heat, or measurement sense in the documented anchor context.</x:v>
      </x:c>
      <x:c r="N12" s="31" t="str">
        <x:v>A local or instrument-specific temperature reading; the candidate is interpreted in its documented anchor and voice context.</x:v>
      </x:c>
      <x:c r="O12" s="31" t="str">
        <x:v>STRONG</x:v>
      </x:c>
      <x:c r="P12" s="19" t="str">
        <x:v>NOT_LOCATED</x:v>
      </x:c>
      <x:c r="Q12" s="31" t="str">
        <x:v>The surface form may realize multiple senses; candidate meaning remains anchored to the report-visible source context.</x:v>
      </x:c>
      <x:c r="R12" s="31" t="str">
        <x:v>Fear of Temperature_ Stratified Lexical Expansion, Voice Mapping, and Semantic-Relational Pre-Valida.pdf#page=7; https://api.dictionaryapi.dev/api/v2/entries/en/standard%20thermometer; https://websters1913.timcieplowski.com/word/thermometer/</x:v>
      </x:c>
      <x:c r="S12" s="43" t="str">
        <x:v>2026-08-26</x:v>
      </x:c>
      <x:c r="T12" s="46" t="str">
        <x:v>RECONSTRUCTED_FROM_REPORT; Fear of Temperature_ Stratified Lexical Expansion, Voice Mapping, and Semantic-Relational Pre-Valida.pdf; p.7; project candidate FT-SEED-R1B-P-1842-08; original visible ID not available</x:v>
      </x:c>
    </x:row>
    <x:row r="13" ht="38" customHeight="1">
      <x:c r="A13" s="25" t="str">
        <x:v>FT-SEED-R1B-P-1842-09</x:v>
      </x:c>
      <x:c r="B13" s="19" t="str">
        <x:v>1842</x:v>
      </x:c>
      <x:c r="C13" s="28" t="n">
        <x:v>9</x:v>
      </x:c>
      <x:c r="D13" s="31" t="str">
        <x:v>attached thermometer</x:v>
      </x:c>
      <x:c r="E13" s="31" t="str">
        <x:v>local / instrumental temperature</x:v>
      </x:c>
      <x:c r="F13" s="19" t="str">
        <x:v>temperature_threshold</x:v>
      </x:c>
      <x:c r="G13" s="31" t="str">
        <x:v>NO_STANDALONE_HEADWORD</x:v>
      </x:c>
      <x:c r="H13" s="19" t="str">
        <x:v>NO</x:v>
      </x:c>
      <x:c r="I13" s="19" t="str">
        <x:v>Component lexical analysis plus anchor-source contextual meaning</x:v>
      </x:c>
      <x:c r="J13" s="19" t="str">
        <x:v>Component headword checked: thermometer.</x:v>
      </x:c>
      <x:c r="K13" s="19" t="str">
        <x:v>Anchor-period research source/context; Webster 1913 stable component URL recorded but automated page retrieval was unavailable</x:v>
      </x:c>
      <x:c r="L13" s="31" t="str">
        <x:v>A local or instrument-specific temperature reading; the candidate is interpreted in its documented anchor and voice context.</x:v>
      </x:c>
      <x:c r="M13" s="31" t="str">
        <x:v>A physical temperature, warming, heat, or measurement sense in the documented anchor context.</x:v>
      </x:c>
      <x:c r="N13" s="31" t="str">
        <x:v>A local or instrument-specific temperature reading; the candidate is interpreted in its documented anchor and voice context.</x:v>
      </x:c>
      <x:c r="O13" s="31" t="str">
        <x:v>STRONG</x:v>
      </x:c>
      <x:c r="P13" s="19" t="str">
        <x:v>NOT_LOCATED</x:v>
      </x:c>
      <x:c r="Q13" s="31" t="str">
        <x:v>The surface form may realize multiple senses; candidate meaning remains anchored to the report-visible source context.</x:v>
      </x:c>
      <x:c r="R13" s="31" t="str">
        <x:v>Fear of Temperature_ Stratified Lexical Expansion, Voice Mapping, and Semantic-Relational Pre-Valida.pdf#page=7; https://api.dictionaryapi.dev/api/v2/entries/en/attached%20thermometer; https://websters1913.timcieplowski.com/word/thermometer/</x:v>
      </x:c>
      <x:c r="S13" s="43" t="str">
        <x:v>2026-08-26</x:v>
      </x:c>
      <x:c r="T13" s="46" t="str">
        <x:v>RECONSTRUCTED_FROM_REPORT; Fear of Temperature_ Stratified Lexical Expansion, Voice Mapping, and Semantic-Relational Pre-Valida.pdf; p.7; project candidate FT-SEED-R1B-P-1842-09; original visible ID not available</x:v>
      </x:c>
    </x:row>
    <x:row r="14" ht="38" customHeight="1">
      <x:c r="A14" s="25" t="str">
        <x:v>FT-SEED-R1B-P-1842-10</x:v>
      </x:c>
      <x:c r="B14" s="19" t="str">
        <x:v>1842</x:v>
      </x:c>
      <x:c r="C14" s="28" t="n">
        <x:v>10</x:v>
      </x:c>
      <x:c r="D14" s="31" t="str">
        <x:v>dry bulb thermometer</x:v>
      </x:c>
      <x:c r="E14" s="31" t="str">
        <x:v>local / instrumental temperature</x:v>
      </x:c>
      <x:c r="F14" s="19" t="str">
        <x:v>temperature_threshold</x:v>
      </x:c>
      <x:c r="G14" s="31" t="str">
        <x:v>NO_STANDALONE_HEADWORD</x:v>
      </x:c>
      <x:c r="H14" s="19" t="str">
        <x:v>NO</x:v>
      </x:c>
      <x:c r="I14" s="19" t="str">
        <x:v>Component lexical analysis plus anchor-source contextual meaning</x:v>
      </x:c>
      <x:c r="J14" s="19" t="str">
        <x:v>Component headword checked: thermometer.</x:v>
      </x:c>
      <x:c r="K14" s="19" t="str">
        <x:v>Anchor-period research source/context; Webster 1913 stable component URL recorded but automated page retrieval was unavailable</x:v>
      </x:c>
      <x:c r="L14" s="31" t="str">
        <x:v>A local or instrument-specific temperature reading; the candidate is interpreted in its documented anchor and voice context.</x:v>
      </x:c>
      <x:c r="M14" s="31" t="str">
        <x:v>A physical temperature, warming, heat, or measurement sense in the documented anchor context.</x:v>
      </x:c>
      <x:c r="N14" s="31" t="str">
        <x:v>A local or instrument-specific temperature reading; the candidate is interpreted in its documented anchor and voice context.</x:v>
      </x:c>
      <x:c r="O14" s="31" t="str">
        <x:v>STRONG</x:v>
      </x:c>
      <x:c r="P14" s="19" t="str">
        <x:v>NOT_LOCATED</x:v>
      </x:c>
      <x:c r="Q14" s="31" t="str">
        <x:v>The surface form may realize multiple senses; candidate meaning remains anchored to the report-visible source context.</x:v>
      </x:c>
      <x:c r="R14" s="31" t="str">
        <x:v>Fear of Temperature_ Stratified Lexical Expansion, Voice Mapping, and Semantic-Relational Pre-Valida.pdf#page=7; https://api.dictionaryapi.dev/api/v2/entries/en/dry%20bulb%20thermometer; https://websters1913.timcieplowski.com/word/thermometer/</x:v>
      </x:c>
      <x:c r="S14" s="43" t="str">
        <x:v>2026-08-26</x:v>
      </x:c>
      <x:c r="T14" s="46" t="str">
        <x:v>RECONSTRUCTED_FROM_REPORT; Fear of Temperature_ Stratified Lexical Expansion, Voice Mapping, and Semantic-Relational Pre-Valida.pdf; p.7; project candidate FT-SEED-R1B-P-1842-10; original visible ID not available</x:v>
      </x:c>
    </x:row>
    <x:row r="15" ht="38" customHeight="1">
      <x:c r="A15" s="25" t="str">
        <x:v>FT-SEED-R1B-P-1842-11</x:v>
      </x:c>
      <x:c r="B15" s="19" t="str">
        <x:v>1842</x:v>
      </x:c>
      <x:c r="C15" s="28" t="n">
        <x:v>11</x:v>
      </x:c>
      <x:c r="D15" s="31" t="str">
        <x:v>wet bulb thermometer</x:v>
      </x:c>
      <x:c r="E15" s="31" t="str">
        <x:v>local / instrumental temperature</x:v>
      </x:c>
      <x:c r="F15" s="19" t="str">
        <x:v>temperature_threshold</x:v>
      </x:c>
      <x:c r="G15" s="31" t="str">
        <x:v>NO_STANDALONE_HEADWORD</x:v>
      </x:c>
      <x:c r="H15" s="19" t="str">
        <x:v>NO</x:v>
      </x:c>
      <x:c r="I15" s="19" t="str">
        <x:v>Component lexical analysis plus anchor-source contextual meaning</x:v>
      </x:c>
      <x:c r="J15" s="19" t="str">
        <x:v>Component headword checked: thermometer.</x:v>
      </x:c>
      <x:c r="K15" s="19" t="str">
        <x:v>Anchor-period research source/context; Webster 1913 stable component URL recorded but automated page retrieval was unavailable</x:v>
      </x:c>
      <x:c r="L15" s="31" t="str">
        <x:v>A local or instrument-specific temperature reading; the candidate is interpreted in its documented anchor and voice context.</x:v>
      </x:c>
      <x:c r="M15" s="31" t="str">
        <x:v>A physical temperature, warming, heat, or measurement sense in the documented anchor context.</x:v>
      </x:c>
      <x:c r="N15" s="31" t="str">
        <x:v>A local or instrument-specific temperature reading; the candidate is interpreted in its documented anchor and voice context.</x:v>
      </x:c>
      <x:c r="O15" s="31" t="str">
        <x:v>STRONG</x:v>
      </x:c>
      <x:c r="P15" s="19" t="str">
        <x:v>NOT_LOCATED</x:v>
      </x:c>
      <x:c r="Q15" s="31" t="str">
        <x:v>The surface form may realize multiple senses; candidate meaning remains anchored to the report-visible source context.</x:v>
      </x:c>
      <x:c r="R15" s="31" t="str">
        <x:v>Fear of Temperature_ Stratified Lexical Expansion, Voice Mapping, and Semantic-Relational Pre-Valida.pdf#page=6; https://api.dictionaryapi.dev/api/v2/entries/en/wet%20bulb%20thermometer; https://websters1913.timcieplowski.com/word/thermometer/</x:v>
      </x:c>
      <x:c r="S15" s="43" t="str">
        <x:v>2026-08-26</x:v>
      </x:c>
      <x:c r="T15" s="46" t="str">
        <x:v>RECONSTRUCTED_FROM_REPORT; Fear of Temperature_ Stratified Lexical Expansion, Voice Mapping, and Semantic-Relational Pre-Valida.pdf; p.6; project candidate FT-SEED-R1B-P-1842-11; original visible ID not available</x:v>
      </x:c>
    </x:row>
    <x:row r="16" ht="38" customHeight="1">
      <x:c r="A16" s="25" t="str">
        <x:v>FT-SEED-R1B-P-1842-12</x:v>
      </x:c>
      <x:c r="B16" s="19" t="str">
        <x:v>1842</x:v>
      </x:c>
      <x:c r="C16" s="28" t="n">
        <x:v>12</x:v>
      </x:c>
      <x:c r="D16" s="31" t="str">
        <x:v>meteorological observations</x:v>
      </x:c>
      <x:c r="E16" s="31" t="str">
        <x:v>historical climate / climatological condition</x:v>
      </x:c>
      <x:c r="F16" s="19" t="str">
        <x:v>climate</x:v>
      </x:c>
      <x:c r="G16" s="31" t="str">
        <x:v>NO_STANDALONE_HEADWORD</x:v>
      </x:c>
      <x:c r="H16" s="19" t="str">
        <x:v>NO</x:v>
      </x:c>
      <x:c r="I16" s="19" t="str">
        <x:v>Component lexical analysis plus anchor-source contextual meaning</x:v>
      </x:c>
      <x:c r="J16" s="19" t="str">
        <x:v>Component headword checked: observations.</x:v>
      </x:c>
      <x:c r="K16" s="19" t="str">
        <x:v>Anchor-period research source/context; Webster 1913 stable component URL recorded but automated page retrieval was unavailable</x:v>
      </x:c>
      <x:c r="L16" s="31" t="str">
        <x:v>Climate as a historical, geographical, seasonal, or climatological condition; the candidate is interpreted in its documented anchor and voice context.</x:v>
      </x:c>
      <x:c r="M16" s="31" t="str">
        <x:v>A climatic, atmospheric, meteorological, or causal-science sense in the documented anchor context.</x:v>
      </x:c>
      <x:c r="N16" s="31" t="str">
        <x:v>Climate as a historical, geographical, seasonal, or climatological condition; the candidate is interpreted in its documented anchor and voice context.</x:v>
      </x:c>
      <x:c r="O16" s="31" t="str">
        <x:v>STRONG</x:v>
      </x:c>
      <x:c r="P16" s="19" t="str">
        <x:v>NOT_LOCATED</x:v>
      </x:c>
      <x:c r="Q16" s="31" t="str">
        <x:v>The surface form may realize multiple senses; candidate meaning remains anchored to the report-visible source context.</x:v>
      </x:c>
      <x:c r="R16" s="31" t="str">
        <x:v>Fear of Temperature_ Stratified Lexical Expansion, Voice Mapping, and Semantic-Relational Pre-Valida.pdf#page=6; https://api.dictionaryapi.dev/api/v2/entries/en/meteorological%20observations; https://websters1913.timcieplowski.com/word/observations/</x:v>
      </x:c>
      <x:c r="S16" s="43" t="str">
        <x:v>2026-08-26</x:v>
      </x:c>
      <x:c r="T16" s="46" t="str">
        <x:v>RECONSTRUCTED_FROM_REPORT; Fear of Temperature_ Stratified Lexical Expansion, Voice Mapping, and Semantic-Relational Pre-Valida.pdf; p.6; project candidate FT-SEED-R1B-P-1842-12; original visible ID not available</x:v>
      </x:c>
    </x:row>
    <x:row r="17" ht="38" customHeight="1">
      <x:c r="A17" s="25" t="str">
        <x:v>FT-SEED-R1B-P-1842-13</x:v>
      </x:c>
      <x:c r="B17" s="19" t="str">
        <x:v>1842</x:v>
      </x:c>
      <x:c r="C17" s="28" t="n">
        <x:v>13</x:v>
      </x:c>
      <x:c r="D17" s="31" t="str">
        <x:v>meteorological journal</x:v>
      </x:c>
      <x:c r="E17" s="31" t="str">
        <x:v>historical climate / climatological condition</x:v>
      </x:c>
      <x:c r="F17" s="19" t="str">
        <x:v>climate</x:v>
      </x:c>
      <x:c r="G17" s="31" t="str">
        <x:v>NO_STANDALONE_HEADWORD</x:v>
      </x:c>
      <x:c r="H17" s="19" t="str">
        <x:v>NO</x:v>
      </x:c>
      <x:c r="I17" s="19" t="str">
        <x:v>Component lexical analysis plus anchor-source contextual meaning</x:v>
      </x:c>
      <x:c r="J17" s="19" t="str">
        <x:v>Component headword checked: journal.</x:v>
      </x:c>
      <x:c r="K17" s="19" t="str">
        <x:v>Anchor-period research source/context; Webster 1913 stable component URL recorded but automated page retrieval was unavailable</x:v>
      </x:c>
      <x:c r="L17" s="31" t="str">
        <x:v>Climate as a historical, geographical, seasonal, or climatological condition; the candidate is interpreted in its documented anchor and voice context.</x:v>
      </x:c>
      <x:c r="M17" s="31" t="str">
        <x:v>A climatic, atmospheric, meteorological, or causal-science sense in the documented anchor context.</x:v>
      </x:c>
      <x:c r="N17" s="31" t="str">
        <x:v>Climate as a historical, geographical, seasonal, or climatological condition; the candidate is interpreted in its documented anchor and voice context.</x:v>
      </x:c>
      <x:c r="O17" s="31" t="str">
        <x:v>STRONG</x:v>
      </x:c>
      <x:c r="P17" s="19" t="str">
        <x:v>NOT_LOCATED</x:v>
      </x:c>
      <x:c r="Q17" s="31" t="str">
        <x:v>The surface form may realize multiple senses; candidate meaning remains anchored to the report-visible source context.</x:v>
      </x:c>
      <x:c r="R17" s="31" t="str">
        <x:v>Fear of Temperature_ Stratified Lexical Expansion, Voice Mapping, and Semantic-Relational Pre-Valida.pdf#page=6; https://api.dictionaryapi.dev/api/v2/entries/en/meteorological%20journal; https://websters1913.timcieplowski.com/word/journal/</x:v>
      </x:c>
      <x:c r="S17" s="43" t="str">
        <x:v>2026-08-26</x:v>
      </x:c>
      <x:c r="T17" s="46" t="str">
        <x:v>RECONSTRUCTED_FROM_REPORT; Fear of Temperature_ Stratified Lexical Expansion, Voice Mapping, and Semantic-Relational Pre-Valida.pdf; p.6; project candidate FT-SEED-R1B-P-1842-13; original visible ID not available</x:v>
      </x:c>
    </x:row>
    <x:row r="18" ht="38" customHeight="1">
      <x:c r="A18" s="25" t="str">
        <x:v>FT-SEED-R1B-P-1842-14</x:v>
      </x:c>
      <x:c r="B18" s="19" t="str">
        <x:v>1842</x:v>
      </x:c>
      <x:c r="C18" s="28" t="n">
        <x:v>14</x:v>
      </x:c>
      <x:c r="D18" s="31" t="str">
        <x:v>weather</x:v>
      </x:c>
      <x:c r="E18" s="31" t="str">
        <x:v>historical climate / climatological condition</x:v>
      </x:c>
      <x:c r="F18" s="19" t="str">
        <x:v>climate</x:v>
      </x:c>
      <x:c r="G18" s="31" t="str">
        <x:v>DIRECT_HEADWORD</x:v>
      </x:c>
      <x:c r="H18" s="19" t="str">
        <x:v>YES</x:v>
      </x:c>
      <x:c r="I18" s="19" t="str">
        <x:v>Webster's Revised Unabridged Dictionary (1913 public-domain headword index)</x:v>
      </x:c>
      <x:c r="J18" s="19" t="str">
        <x:v>Component headword checked: weather.</x:v>
      </x:c>
      <x:c r="K18" s="19" t="str">
        <x:v>Anchor-period research source/context; Webster 1913 stable component URL recorded but automated page retrieval was unavailable</x:v>
      </x:c>
      <x:c r="L18" s="31" t="str">
        <x:v>Climate as a historical, geographical, seasonal, or climatological condition; the candidate is interpreted in its documented anchor and voice context.</x:v>
      </x:c>
      <x:c r="M18" s="31" t="str">
        <x:v>A climatic, atmospheric, meteorological, or causal-science sense in the documented anchor context.</x:v>
      </x:c>
      <x:c r="N18" s="31" t="str">
        <x:v>Climate as a historical, geographical, seasonal, or climatological condition; the candidate is interpreted in its documented anchor and voice context.</x:v>
      </x:c>
      <x:c r="O18" s="31" t="str">
        <x:v>STRONG</x:v>
      </x:c>
      <x:c r="P18" s="19" t="str">
        <x:v>NOT_LOCATED</x:v>
      </x:c>
      <x:c r="Q18" s="31" t="str">
        <x:v>The surface form may realize multiple senses; candidate meaning remains anchored to the report-visible source context.</x:v>
      </x:c>
      <x:c r="R18" s="31" t="str">
        <x:v>https://websters1913.timcieplowski.com/word/weather/; https://api.dictionaryapi.dev/api/v2/entries/en/weather</x:v>
      </x:c>
      <x:c r="S18" s="43" t="str">
        <x:v>2026-08-26</x:v>
      </x:c>
      <x:c r="T18" s="46" t="str">
        <x:v>RECONSTRUCTED_FROM_REPORT; Fear of Temperature_ Stratified Lexical Expansion, Voice Mapping, and Semantic-Relational Pre-Valida.pdf; p.6; project candidate FT-SEED-R1B-P-1842-14; original visible ID not available</x:v>
      </x:c>
    </x:row>
    <x:row r="19" ht="38" customHeight="1">
      <x:c r="A19" s="25" t="str">
        <x:v>FT-SEED-R1B-P-1842-15</x:v>
      </x:c>
      <x:c r="B19" s="19" t="str">
        <x:v>1842</x:v>
      </x:c>
      <x:c r="C19" s="28" t="n">
        <x:v>15</x:v>
      </x:c>
      <x:c r="D19" s="31" t="str">
        <x:v>climate</x:v>
      </x:c>
      <x:c r="E19" s="31" t="str">
        <x:v>historical climate / climatological condition</x:v>
      </x:c>
      <x:c r="F19" s="19" t="str">
        <x:v>climate</x:v>
      </x:c>
      <x:c r="G19" s="31" t="str">
        <x:v>DIRECT_HEADWORD</x:v>
      </x:c>
      <x:c r="H19" s="19" t="str">
        <x:v>YES</x:v>
      </x:c>
      <x:c r="I19" s="19" t="str">
        <x:v>Webster's Revised Unabridged Dictionary (1913 public-domain headword index)</x:v>
      </x:c>
      <x:c r="J19" s="19" t="str">
        <x:v>Component headword checked: climate.</x:v>
      </x:c>
      <x:c r="K19" s="19" t="str">
        <x:v>Anchor-period research source/context; Webster 1913 stable component URL recorded but automated page retrieval was unavailable</x:v>
      </x:c>
      <x:c r="L19" s="31" t="str">
        <x:v>Climate as a historical, geographical, seasonal, or climatological condition; the candidate is interpreted in its documented anchor and voice context.</x:v>
      </x:c>
      <x:c r="M19" s="31" t="str">
        <x:v>A regional or prevailing atmospheric condition understood through meteorological observation, not the modern issue label 'climate change'.</x:v>
      </x:c>
      <x:c r="N19" s="31" t="str">
        <x:v>Modern climate commonly denotes long-term statistical weather conditions or the coupled climate system; it does not by itself mean the modern issue label 'climate change'.</x:v>
      </x:c>
      <x:c r="O19" s="31" t="str">
        <x:v>PARTIAL</x:v>
      </x:c>
      <x:c r="P19" s="19" t="str">
        <x:v>NOT_LOCATED</x:v>
      </x:c>
      <x:c r="Q19" s="31" t="str">
        <x:v>Historical meteorological climate and modern climate-system/change senses overlap only partly; business/social metaphor senses are excluded.</x:v>
      </x:c>
      <x:c r="R19" s="31" t="str">
        <x:v>https://websters1913.timcieplowski.com/word/climate/; https://api.dictionaryapi.dev/api/v2/entries/en/climate</x:v>
      </x:c>
      <x:c r="S19" s="43" t="str">
        <x:v>2026-08-26</x:v>
      </x:c>
      <x:c r="T19" s="46" t="str">
        <x:v>RECONSTRUCTED_FROM_REPORT; Fear of Temperature_ Stratified Lexical Expansion, Voice Mapping, and Semantic-Relational Pre-Valida.pdf; p.6; project candidate FT-SEED-R1B-P-1842-15; original visible ID not available</x:v>
      </x:c>
    </x:row>
    <x:row r="20" ht="38" customHeight="1">
      <x:c r="A20" s="25" t="str">
        <x:v>FT-SEED-R1B-P-1842-16</x:v>
      </x:c>
      <x:c r="B20" s="19" t="str">
        <x:v>1842</x:v>
      </x:c>
      <x:c r="C20" s="28" t="n">
        <x:v>16</x:v>
      </x:c>
      <x:c r="D20" s="31" t="str">
        <x:v>sun's heat</x:v>
      </x:c>
      <x:c r="E20" s="31" t="str">
        <x:v>physical heat source / state</x:v>
      </x:c>
      <x:c r="F20" s="19" t="str">
        <x:v>heat</x:v>
      </x:c>
      <x:c r="G20" s="31" t="str">
        <x:v>NO_STANDALONE_HEADWORD</x:v>
      </x:c>
      <x:c r="H20" s="19" t="str">
        <x:v>NO</x:v>
      </x:c>
      <x:c r="I20" s="19" t="str">
        <x:v>Component lexical analysis plus anchor-source contextual meaning</x:v>
      </x:c>
      <x:c r="J20" s="19" t="str">
        <x:v>Component headword checked: heat.</x:v>
      </x:c>
      <x:c r="K20" s="19" t="str">
        <x:v>Anchor-period research source/context; Webster 1913 stable component URL recorded but automated page retrieval was unavailable</x:v>
      </x:c>
      <x:c r="L20" s="31" t="str">
        <x:v>Heat as a physical source, state, or thermal condition; the candidate is interpreted in its documented anchor and voice context.</x:v>
      </x:c>
      <x:c r="M20" s="31" t="str">
        <x:v>Physical or embodied heat in a local meteorological, material, or bodily-exposure sense.</x:v>
      </x:c>
      <x:c r="N20" s="31" t="str">
        <x:v>Heat as a physical source, state, or thermal condition; the candidate is interpreted in its documented anchor and voice context.</x:v>
      </x:c>
      <x:c r="O20" s="31" t="str">
        <x:v>STRONG</x:v>
      </x:c>
      <x:c r="P20" s="19" t="str">
        <x:v>NOT_LOCATED</x:v>
      </x:c>
      <x:c r="Q20" s="31" t="str">
        <x:v>Heat may refer to cooking, machinery, emotion, contest, or political metaphor; those senses are not automatically relevant.</x:v>
      </x:c>
      <x:c r="R20" s="31" t="str">
        <x:v>Fear of Temperature_ Stratified Lexical Expansion, Voice Mapping, and Semantic-Relational Pre-Valida.pdf#page=6; https://api.dictionaryapi.dev/api/v2/entries/en/sun%27s%20heat; https://websters1913.timcieplowski.com/word/heat/</x:v>
      </x:c>
      <x:c r="S20" s="43" t="str">
        <x:v>2026-08-26</x:v>
      </x:c>
      <x:c r="T20" s="46" t="str">
        <x:v>RECONSTRUCTED_FROM_REPORT; Fear of Temperature_ Stratified Lexical Expansion, Voice Mapping, and Semantic-Relational Pre-Valida.pdf; p.6; project candidate FT-SEED-R1B-P-1842-16; original visible ID not available</x:v>
      </x:c>
    </x:row>
    <x:row r="21" ht="38" customHeight="1">
      <x:c r="A21" s="25" t="str">
        <x:v>FT-SEED-R1B-P-1842-17</x:v>
      </x:c>
      <x:c r="B21" s="19" t="str">
        <x:v>1842</x:v>
      </x:c>
      <x:c r="C21" s="28" t="n">
        <x:v>17</x:v>
      </x:c>
      <x:c r="D21" s="31" t="str">
        <x:v>radiation of the heat</x:v>
      </x:c>
      <x:c r="E21" s="31" t="str">
        <x:v>physical heat source / state</x:v>
      </x:c>
      <x:c r="F21" s="19" t="str">
        <x:v>heat</x:v>
      </x:c>
      <x:c r="G21" s="31" t="str">
        <x:v>NO_STANDALONE_HEADWORD</x:v>
      </x:c>
      <x:c r="H21" s="19" t="str">
        <x:v>NO</x:v>
      </x:c>
      <x:c r="I21" s="19" t="str">
        <x:v>Component lexical analysis plus anchor-source contextual meaning</x:v>
      </x:c>
      <x:c r="J21" s="19" t="str">
        <x:v>Component headword checked: heat.</x:v>
      </x:c>
      <x:c r="K21" s="19" t="str">
        <x:v>Anchor-period research source/context; Webster 1913 stable component URL recorded but automated page retrieval was unavailable</x:v>
      </x:c>
      <x:c r="L21" s="31" t="str">
        <x:v>Heat as a physical source, state, or thermal condition; the candidate is interpreted in its documented anchor and voice context.</x:v>
      </x:c>
      <x:c r="M21" s="31" t="str">
        <x:v>A climatic, atmospheric, meteorological, or causal-science sense in the documented anchor context.</x:v>
      </x:c>
      <x:c r="N21" s="31" t="str">
        <x:v>Heat as a physical source, state, or thermal condition; the candidate is interpreted in its documented anchor and voice context.</x:v>
      </x:c>
      <x:c r="O21" s="31" t="str">
        <x:v>STRONG</x:v>
      </x:c>
      <x:c r="P21" s="19" t="str">
        <x:v>NOT_LOCATED</x:v>
      </x:c>
      <x:c r="Q21" s="31" t="str">
        <x:v>The surface form may realize multiple senses; candidate meaning remains anchored to the report-visible source context.</x:v>
      </x:c>
      <x:c r="R21" s="31" t="str">
        <x:v>Fear of Temperature_ Stratified Lexical Expansion, Voice Mapping, and Semantic-Relational Pre-Valida.pdf#page=6; https://api.dictionaryapi.dev/api/v2/entries/en/radiation%20of%20the%20heat; https://websters1913.timcieplowski.com/word/heat/</x:v>
      </x:c>
      <x:c r="S21" s="43" t="str">
        <x:v>2026-08-26</x:v>
      </x:c>
      <x:c r="T21" s="46" t="str">
        <x:v>RECONSTRUCTED_FROM_REPORT; Fear of Temperature_ Stratified Lexical Expansion, Voice Mapping, and Semantic-Relational Pre-Valida.pdf; p.6; project candidate FT-SEED-R1B-P-1842-17; original visible ID not available</x:v>
      </x:c>
    </x:row>
    <x:row r="22" ht="38" customHeight="1">
      <x:c r="A22" s="25" t="str">
        <x:v>FT-SEED-R1B-P-1842-18</x:v>
      </x:c>
      <x:c r="B22" s="19" t="str">
        <x:v>1842</x:v>
      </x:c>
      <x:c r="C22" s="28" t="n">
        <x:v>18</x:v>
      </x:c>
      <x:c r="D22" s="31" t="str">
        <x:v>changes of temperature</x:v>
      </x:c>
      <x:c r="E22" s="31" t="str">
        <x:v>local / instrumental temperature</x:v>
      </x:c>
      <x:c r="F22" s="19" t="str">
        <x:v>temperature_threshold</x:v>
      </x:c>
      <x:c r="G22" s="31" t="str">
        <x:v>NO_STANDALONE_HEADWORD</x:v>
      </x:c>
      <x:c r="H22" s="19" t="str">
        <x:v>NO</x:v>
      </x:c>
      <x:c r="I22" s="19" t="str">
        <x:v>Component lexical analysis plus anchor-source contextual meaning</x:v>
      </x:c>
      <x:c r="J22" s="19" t="str">
        <x:v>Component headword checked: temperature.</x:v>
      </x:c>
      <x:c r="K22" s="19" t="str">
        <x:v>Anchor-period research source/context; Webster 1913 stable component URL recorded but automated page retrieval was unavailable</x:v>
      </x:c>
      <x:c r="L22" s="31" t="str">
        <x:v>A local or instrument-specific temperature reading; the candidate is interpreted in its documented anchor and voice context.</x:v>
      </x:c>
      <x:c r="M22" s="31" t="str">
        <x:v>A physical temperature, warming, heat, or measurement sense in the documented anchor context.</x:v>
      </x:c>
      <x:c r="N22" s="31" t="str">
        <x:v>A local or instrument-specific temperature reading; the candidate is interpreted in its documented anchor and voice context.</x:v>
      </x:c>
      <x:c r="O22" s="31" t="str">
        <x:v>STRONG</x:v>
      </x:c>
      <x:c r="P22" s="19" t="str">
        <x:v>NOT_LOCATED</x:v>
      </x:c>
      <x:c r="Q22" s="31" t="str">
        <x:v>The surface form may realize multiple senses; candidate meaning remains anchored to the report-visible source context.</x:v>
      </x:c>
      <x:c r="R22" s="31" t="str">
        <x:v>Fear of Temperature_ Stratified Lexical Expansion, Voice Mapping, and Semantic-Relational Pre-Valida.pdf#page=7; https://api.dictionaryapi.dev/api/v2/entries/en/changes%20of%20temperature; https://websters1913.timcieplowski.com/word/temperature/</x:v>
      </x:c>
      <x:c r="S22" s="43" t="str">
        <x:v>2026-08-26</x:v>
      </x:c>
      <x:c r="T22" s="46" t="str">
        <x:v>RECONSTRUCTED_FROM_REPORT; Fear of Temperature_ Stratified Lexical Expansion, Voice Mapping, and Semantic-Relational Pre-Valida.pdf; p.7; project candidate FT-SEED-R1B-P-1842-18; original visible ID not available</x:v>
      </x:c>
    </x:row>
    <x:row r="23" ht="38" customHeight="1">
      <x:c r="A23" s="25" t="str">
        <x:v>FT-SEED-R1B-P-1842-19</x:v>
      </x:c>
      <x:c r="B23" s="19" t="str">
        <x:v>1842</x:v>
      </x:c>
      <x:c r="C23" s="28" t="n">
        <x:v>19</x:v>
      </x:c>
      <x:c r="D23" s="31" t="str">
        <x:v>excessive heat</x:v>
      </x:c>
      <x:c r="E23" s="31" t="str">
        <x:v>extreme-heat hazard</x:v>
      </x:c>
      <x:c r="F23" s="19" t="str">
        <x:v>heat</x:v>
      </x:c>
      <x:c r="G23" s="31" t="str">
        <x:v>NO_STANDALONE_HEADWORD</x:v>
      </x:c>
      <x:c r="H23" s="19" t="str">
        <x:v>NO</x:v>
      </x:c>
      <x:c r="I23" s="19" t="str">
        <x:v>Component lexical analysis plus anchor-source contextual meaning</x:v>
      </x:c>
      <x:c r="J23" s="19" t="str">
        <x:v>Component headword checked: heat.</x:v>
      </x:c>
      <x:c r="K23" s="19" t="str">
        <x:v>Anchor-period research source/context; Webster 1913 stable component URL recorded but automated page retrieval was unavailable</x:v>
      </x:c>
      <x:c r="L23" s="31" t="str">
        <x:v>Extreme heat framed as a hazard with health or social consequences; the candidate is interpreted in its documented anchor and voice context.</x:v>
      </x:c>
      <x:c r="M23" s="31" t="str">
        <x:v>Physical or embodied heat in a local meteorological, material, or bodily-exposure sense.</x:v>
      </x:c>
      <x:c r="N23" s="31" t="str">
        <x:v>Extreme heat framed as a hazard with health or social consequences; the candidate is interpreted in its documented anchor and voice context.</x:v>
      </x:c>
      <x:c r="O23" s="31" t="str">
        <x:v>STRONG</x:v>
      </x:c>
      <x:c r="P23" s="19" t="str">
        <x:v>NOT_LOCATED</x:v>
      </x:c>
      <x:c r="Q23" s="31" t="str">
        <x:v>Heat may refer to cooking, machinery, emotion, contest, or political metaphor; those senses are not automatically relevant.</x:v>
      </x:c>
      <x:c r="R23" s="31" t="str">
        <x:v>Fear of Temperature_ Stratified Lexical Expansion, Voice Mapping, and Semantic-Relational Pre-Valida.pdf#page=7; https://api.dictionaryapi.dev/api/v2/entries/en/excessive%20heat; https://websters1913.timcieplowski.com/word/heat/</x:v>
      </x:c>
      <x:c r="S23" s="43" t="str">
        <x:v>2026-08-26</x:v>
      </x:c>
      <x:c r="T23" s="46" t="str">
        <x:v>RECONSTRUCTED_FROM_REPORT; Fear of Temperature_ Stratified Lexical Expansion, Voice Mapping, and Semantic-Relational Pre-Valida.pdf; p.7; project candidate FT-SEED-R1B-P-1842-19; original visible ID not available</x:v>
      </x:c>
    </x:row>
    <x:row r="24" ht="38" customHeight="1">
      <x:c r="A24" s="25" t="str">
        <x:v>FT-SEED-R1B-P-1842-20</x:v>
      </x:c>
      <x:c r="B24" s="19" t="str">
        <x:v>1842</x:v>
      </x:c>
      <x:c r="C24" s="28" t="n">
        <x:v>20</x:v>
      </x:c>
      <x:c r="D24" s="31" t="str">
        <x:v>heat of the men</x:v>
      </x:c>
      <x:c r="E24" s="31" t="str">
        <x:v>embodied heat exposure</x:v>
      </x:c>
      <x:c r="F24" s="19" t="str">
        <x:v>heat</x:v>
      </x:c>
      <x:c r="G24" s="31" t="str">
        <x:v>NO_STANDALONE_HEADWORD</x:v>
      </x:c>
      <x:c r="H24" s="19" t="str">
        <x:v>NO</x:v>
      </x:c>
      <x:c r="I24" s="19" t="str">
        <x:v>Component lexical analysis plus anchor-source contextual meaning</x:v>
      </x:c>
      <x:c r="J24" s="19" t="str">
        <x:v>Component headword checked: men.</x:v>
      </x:c>
      <x:c r="K24" s="19" t="str">
        <x:v>Anchor-period research source/context; Webster 1913 stable component URL recorded but automated page retrieval was unavailable</x:v>
      </x:c>
      <x:c r="L24" s="31" t="str">
        <x:v>Heat experienced by bodies in occupational, domestic, or environmental settings; the candidate is interpreted in its documented anchor and voice context.</x:v>
      </x:c>
      <x:c r="M24" s="31" t="str">
        <x:v>Physical or embodied heat in a local meteorological, material, or bodily-exposure sense.</x:v>
      </x:c>
      <x:c r="N24" s="31" t="str">
        <x:v>Heat experienced by bodies in occupational, domestic, or environmental settings; the candidate is interpreted in its documented anchor and voice context.</x:v>
      </x:c>
      <x:c r="O24" s="31" t="str">
        <x:v>STRONG</x:v>
      </x:c>
      <x:c r="P24" s="19" t="str">
        <x:v>NOT_LOCATED</x:v>
      </x:c>
      <x:c r="Q24" s="31" t="str">
        <x:v>Heat may refer to cooking, machinery, emotion, contest, or political metaphor; those senses are not automatically relevant.</x:v>
      </x:c>
      <x:c r="R24" s="31" t="str">
        <x:v>Fear of Temperature_ Stratified Lexical Expansion, Voice Mapping, and Semantic-Relational Pre-Valida.pdf#page=7; https://api.dictionaryapi.dev/api/v2/entries/en/heat%20of%20the%20men; https://websters1913.timcieplowski.com/word/men/</x:v>
      </x:c>
      <x:c r="S24" s="43" t="str">
        <x:v>2026-08-26</x:v>
      </x:c>
      <x:c r="T24" s="46" t="str">
        <x:v>RECONSTRUCTED_FROM_REPORT; Fear of Temperature_ Stratified Lexical Expansion, Voice Mapping, and Semantic-Relational Pre-Valida.pdf; p.7; project candidate FT-SEED-R1B-P-1842-20; original visible ID not available</x:v>
      </x:c>
    </x:row>
    <x:row r="25" ht="38" customHeight="1">
      <x:c r="A25" s="25" t="str">
        <x:v>FT-SEED-R1B-P-1842-21</x:v>
      </x:c>
      <x:c r="B25" s="19" t="str">
        <x:v>1842</x:v>
      </x:c>
      <x:c r="C25" s="28" t="n">
        <x:v>21</x:v>
      </x:c>
      <x:c r="D25" s="31" t="str">
        <x:v>heat of the irons</x:v>
      </x:c>
      <x:c r="E25" s="31" t="str">
        <x:v>physical heat source / state</x:v>
      </x:c>
      <x:c r="F25" s="19" t="str">
        <x:v>heat</x:v>
      </x:c>
      <x:c r="G25" s="31" t="str">
        <x:v>NO_STANDALONE_HEADWORD</x:v>
      </x:c>
      <x:c r="H25" s="19" t="str">
        <x:v>NO</x:v>
      </x:c>
      <x:c r="I25" s="19" t="str">
        <x:v>Component lexical analysis plus anchor-source contextual meaning</x:v>
      </x:c>
      <x:c r="J25" s="19" t="str">
        <x:v>Component headword checked: irons.</x:v>
      </x:c>
      <x:c r="K25" s="19" t="str">
        <x:v>Anchor-period research source/context; Webster 1913 stable component URL recorded but automated page retrieval was unavailable</x:v>
      </x:c>
      <x:c r="L25" s="31" t="str">
        <x:v>Heat as a physical source, state, or thermal condition; the candidate is interpreted in its documented anchor and voice context.</x:v>
      </x:c>
      <x:c r="M25" s="31" t="str">
        <x:v>Physical or embodied heat in a local meteorological, material, or bodily-exposure sense.</x:v>
      </x:c>
      <x:c r="N25" s="31" t="str">
        <x:v>Heat as a physical source, state, or thermal condition; the candidate is interpreted in its documented anchor and voice context.</x:v>
      </x:c>
      <x:c r="O25" s="31" t="str">
        <x:v>STRONG</x:v>
      </x:c>
      <x:c r="P25" s="19" t="str">
        <x:v>NOT_LOCATED</x:v>
      </x:c>
      <x:c r="Q25" s="31" t="str">
        <x:v>Heat may refer to cooking, machinery, emotion, contest, or political metaphor; those senses are not automatically relevant.</x:v>
      </x:c>
      <x:c r="R25" s="31" t="str">
        <x:v>Fear of Temperature_ Stratified Lexical Expansion, Voice Mapping, and Semantic-Relational Pre-Valida.pdf#page=6; https://api.dictionaryapi.dev/api/v2/entries/en/heat%20of%20the%20irons; https://websters1913.timcieplowski.com/word/irons/</x:v>
      </x:c>
      <x:c r="S25" s="43" t="str">
        <x:v>2026-08-26</x:v>
      </x:c>
      <x:c r="T25" s="46" t="str">
        <x:v>RECONSTRUCTED_FROM_REPORT; Fear of Temperature_ Stratified Lexical Expansion, Voice Mapping, and Semantic-Relational Pre-Valida.pdf; p.6; project candidate FT-SEED-R1B-P-1842-21; original visible ID not available</x:v>
      </x:c>
    </x:row>
    <x:row r="26" ht="38" customHeight="1">
      <x:c r="A26" s="25" t="str">
        <x:v>FT-SEED-R1B-P-1842-22</x:v>
      </x:c>
      <x:c r="B26" s="19" t="str">
        <x:v>1842</x:v>
      </x:c>
      <x:c r="C26" s="28" t="n">
        <x:v>22</x:v>
      </x:c>
      <x:c r="D26" s="31" t="str">
        <x:v>most suffocating</x:v>
      </x:c>
      <x:c r="E26" s="31" t="str">
        <x:v>generic damage</x:v>
      </x:c>
      <x:c r="F26" s="19" t="str">
        <x:v>harm_loss_consequences</x:v>
      </x:c>
      <x:c r="G26" s="31" t="str">
        <x:v>NO_STANDALONE_HEADWORD</x:v>
      </x:c>
      <x:c r="H26" s="19" t="str">
        <x:v>NO</x:v>
      </x:c>
      <x:c r="I26" s="19" t="str">
        <x:v>Component lexical analysis plus anchor-source contextual meaning</x:v>
      </x:c>
      <x:c r="J26" s="19" t="str">
        <x:v>Component headword checked: suffocating.</x:v>
      </x:c>
      <x:c r="K26" s="19" t="str">
        <x:v>Anchor-period research source/context; Webster 1913 stable component URL recorded but automated page retrieval was unavailable</x:v>
      </x:c>
      <x:c r="L26" s="31" t="str">
        <x:v>Generic material, ecological, or social damage; the candidate is interpreted in its documented anchor and voice context.</x:v>
      </x:c>
      <x:c r="M26" s="31" t="str">
        <x:v>A threat, risk, harm, severity, or consequence sense in the documented source; it is not automatically an emotion.</x:v>
      </x:c>
      <x:c r="N26" s="31" t="str">
        <x:v>Generic material, ecological, or social damage; the candidate is interpreted in its documented anchor and voice context.</x:v>
      </x:c>
      <x:c r="O26" s="31" t="str">
        <x:v>STRONG</x:v>
      </x:c>
      <x:c r="P26" s="19" t="str">
        <x:v>NOT_LOCATED</x:v>
      </x:c>
      <x:c r="Q26" s="31" t="str">
        <x:v>The surface form may realize multiple senses; candidate meaning remains anchored to the report-visible source context.</x:v>
      </x:c>
      <x:c r="R26" s="31" t="str">
        <x:v>Fear of Temperature_ Stratified Lexical Expansion, Voice Mapping, and Semantic-Relational Pre-Valida.pdf#page=6; https://api.dictionaryapi.dev/api/v2/entries/en/most%20suffocating; https://websters1913.timcieplowski.com/word/suffocating/</x:v>
      </x:c>
      <x:c r="S26" s="43" t="str">
        <x:v>2026-08-26</x:v>
      </x:c>
      <x:c r="T26" s="46" t="str">
        <x:v>RECONSTRUCTED_FROM_REPORT; Fear of Temperature_ Stratified Lexical Expansion, Voice Mapping, and Semantic-Relational Pre-Valida.pdf; p.6; project candidate FT-SEED-R1B-P-1842-22; original visible ID not available</x:v>
      </x:c>
    </x:row>
    <x:row r="27" ht="38" customHeight="1">
      <x:c r="A27" s="25" t="str">
        <x:v>FT-SEED-R1B-P-1842-23</x:v>
      </x:c>
      <x:c r="B27" s="19" t="str">
        <x:v>1842</x:v>
      </x:c>
      <x:c r="C27" s="28" t="n">
        <x:v>23</x:v>
      </x:c>
      <x:c r="D27" s="31" t="str">
        <x:v>faint away</x:v>
      </x:c>
      <x:c r="E27" s="31" t="str">
        <x:v>generic damage</x:v>
      </x:c>
      <x:c r="F27" s="19" t="str">
        <x:v>harm_loss_consequences</x:v>
      </x:c>
      <x:c r="G27" s="31" t="str">
        <x:v>NO_STANDALONE_HEADWORD</x:v>
      </x:c>
      <x:c r="H27" s="19" t="str">
        <x:v>NO</x:v>
      </x:c>
      <x:c r="I27" s="19" t="str">
        <x:v>Component lexical analysis plus anchor-source contextual meaning</x:v>
      </x:c>
      <x:c r="J27" s="19" t="str">
        <x:v>Component headword checked: away.</x:v>
      </x:c>
      <x:c r="K27" s="19" t="str">
        <x:v>Anchor-period research source/context; Webster 1913 stable component URL recorded but automated page retrieval was unavailable</x:v>
      </x:c>
      <x:c r="L27" s="31" t="str">
        <x:v>Generic material, ecological, or social damage; the candidate is interpreted in its documented anchor and voice context.</x:v>
      </x:c>
      <x:c r="M27" s="31" t="str">
        <x:v>A threat, risk, harm, severity, or consequence sense in the documented source; it is not automatically an emotion.</x:v>
      </x:c>
      <x:c r="N27" s="31" t="str">
        <x:v>Generic material, ecological, or social damage; the candidate is interpreted in its documented anchor and voice context.</x:v>
      </x:c>
      <x:c r="O27" s="31" t="str">
        <x:v>STRONG</x:v>
      </x:c>
      <x:c r="P27" s="19" t="str">
        <x:v>NOT_LOCATED</x:v>
      </x:c>
      <x:c r="Q27" s="31" t="str">
        <x:v>The surface form may realize multiple senses; candidate meaning remains anchored to the report-visible source context.</x:v>
      </x:c>
      <x:c r="R27" s="31" t="str">
        <x:v>Fear of Temperature_ Stratified Lexical Expansion, Voice Mapping, and Semantic-Relational Pre-Valida.pdf#page=6; https://api.dictionaryapi.dev/api/v2/entries/en/faint%20away; https://websters1913.timcieplowski.com/word/away/</x:v>
      </x:c>
      <x:c r="S27" s="43" t="str">
        <x:v>2026-08-26</x:v>
      </x:c>
      <x:c r="T27" s="46" t="str">
        <x:v>RECONSTRUCTED_FROM_REPORT; Fear of Temperature_ Stratified Lexical Expansion, Voice Mapping, and Semantic-Relational Pre-Valida.pdf; p.6; project candidate FT-SEED-R1B-P-1842-23; original visible ID not available</x:v>
      </x:c>
    </x:row>
    <x:row r="28" ht="38" customHeight="1">
      <x:c r="A28" s="25" t="str">
        <x:v>FT-SEED-R1B-P-1842-24</x:v>
      </x:c>
      <x:c r="B28" s="19" t="str">
        <x:v>1842</x:v>
      </x:c>
      <x:c r="C28" s="28" t="n">
        <x:v>24</x:v>
      </x:c>
      <x:c r="D28" s="31" t="str">
        <x:v>perspiration</x:v>
      </x:c>
      <x:c r="E28" s="31" t="str">
        <x:v>generic damage</x:v>
      </x:c>
      <x:c r="F28" s="19" t="str">
        <x:v>harm_loss_consequences</x:v>
      </x:c>
      <x:c r="G28" s="31" t="str">
        <x:v>DIRECT_HEADWORD</x:v>
      </x:c>
      <x:c r="H28" s="19" t="str">
        <x:v>YES</x:v>
      </x:c>
      <x:c r="I28" s="19" t="str">
        <x:v>Webster's Revised Unabridged Dictionary (1913 public-domain headword index)</x:v>
      </x:c>
      <x:c r="J28" s="19" t="str">
        <x:v>Component headword checked: perspiration.</x:v>
      </x:c>
      <x:c r="K28" s="19" t="str">
        <x:v>Anchor-period research source/context; Webster 1913 stable component URL recorded but automated page retrieval was unavailable</x:v>
      </x:c>
      <x:c r="L28" s="31" t="str">
        <x:v>Generic material, ecological, or social damage; the candidate is interpreted in its documented anchor and voice context.</x:v>
      </x:c>
      <x:c r="M28" s="31" t="str">
        <x:v>A threat, risk, harm, severity, or consequence sense in the documented source; it is not automatically an emotion.</x:v>
      </x:c>
      <x:c r="N28" s="31" t="str">
        <x:v>Generic material, ecological, or social damage; the candidate is interpreted in its documented anchor and voice context.</x:v>
      </x:c>
      <x:c r="O28" s="31" t="str">
        <x:v>STRONG</x:v>
      </x:c>
      <x:c r="P28" s="19" t="str">
        <x:v>NOT_LOCATED</x:v>
      </x:c>
      <x:c r="Q28" s="31" t="str">
        <x:v>The surface form may realize multiple senses; candidate meaning remains anchored to the report-visible source context.</x:v>
      </x:c>
      <x:c r="R28" s="31" t="str">
        <x:v>https://websters1913.timcieplowski.com/word/perspiration/; https://api.dictionaryapi.dev/api/v2/entries/en/perspiration</x:v>
      </x:c>
      <x:c r="S28" s="43" t="str">
        <x:v>2026-08-26</x:v>
      </x:c>
      <x:c r="T28" s="46" t="str">
        <x:v>RECONSTRUCTED_FROM_REPORT; Fear of Temperature_ Stratified Lexical Expansion, Voice Mapping, and Semantic-Relational Pre-Valida.pdf; p.6; project candidate FT-SEED-R1B-P-1842-24; original visible ID not available</x:v>
      </x:c>
    </x:row>
    <x:row r="29" ht="38" customHeight="1">
      <x:c r="A29" s="25" t="str">
        <x:v>FT-SEED-R1B-P-1842-25</x:v>
      </x:c>
      <x:c r="B29" s="19" t="str">
        <x:v>1842</x:v>
      </x:c>
      <x:c r="C29" s="28" t="n">
        <x:v>25</x:v>
      </x:c>
      <x:c r="D29" s="31" t="str">
        <x:v>depressing effect</x:v>
      </x:c>
      <x:c r="E29" s="31" t="str">
        <x:v>historical depressing effect</x:v>
      </x:c>
      <x:c r="F29" s="19" t="str">
        <x:v>distress_depression</x:v>
      </x:c>
      <x:c r="G29" s="31" t="str">
        <x:v>NO_STANDALONE_HEADWORD</x:v>
      </x:c>
      <x:c r="H29" s="19" t="str">
        <x:v>NO</x:v>
      </x:c>
      <x:c r="I29" s="19" t="str">
        <x:v>Component lexical analysis plus anchor-source contextual meaning</x:v>
      </x:c>
      <x:c r="J29" s="19" t="str">
        <x:v>Component headword checked: effect.</x:v>
      </x:c>
      <x:c r="K29" s="19" t="str">
        <x:v>Anchor-period research source/context; Webster 1913 stable component URL recorded but automated page retrieval was unavailable</x:v>
      </x:c>
      <x:c r="L29" s="31" t="str">
        <x:v>Historical bodily or energetic depressing effect; false friend with modern clinical depression; the candidate is interpreted in its documented anchor and voice context.</x:v>
      </x:c>
      <x:c r="M29" s="31" t="str">
        <x:v>A bodily or energetic lowering effect associated with oppressive heat; affect-adjacent but not a modern clinical-depression diagnosis.</x:v>
      </x:c>
      <x:c r="N29" s="31" t="str">
        <x:v>Contemporary readers may hear a mood-lowering or clinical-psychology association; that reading must not be projected onto the 1842 bodily/energetic use.</x:v>
      </x:c>
      <x:c r="O29" s="31" t="str">
        <x:v>DIFFERENT</x:v>
      </x:c>
      <x:c r="P29" s="19" t="str">
        <x:v>NOT_LOCATED</x:v>
      </x:c>
      <x:c r="Q29" s="31" t="str">
        <x:v>'Depressing' historically permits lowering or weakening senses that differ from modern clinical depression.</x:v>
      </x:c>
      <x:c r="R29" s="31" t="str">
        <x:v>Fear of Temperature_ Stratified Lexical Expansion, Voice Mapping, and Semantic-Relational Pre-Valida.pdf#page=6; https://api.dictionaryapi.dev/api/v2/entries/en/depressing%20effect; https://websters1913.timcieplowski.com/word/effect/</x:v>
      </x:c>
      <x:c r="S29" s="43" t="str">
        <x:v>2026-08-26</x:v>
      </x:c>
      <x:c r="T29" s="46" t="str">
        <x:v>RECONSTRUCTED_FROM_REPORT; Fear of Temperature_ Stratified Lexical Expansion, Voice Mapping, and Semantic-Relational Pre-Valida.pdf; p.6; project candidate FT-SEED-R1B-P-1842-25; original visible ID not available</x:v>
      </x:c>
    </x:row>
    <x:row r="30" ht="38" customHeight="1">
      <x:c r="A30" s="25" t="str">
        <x:v>FT-SEED-R1B-P-1842-26</x:v>
      </x:c>
      <x:c r="B30" s="19" t="str">
        <x:v>1842</x:v>
      </x:c>
      <x:c r="C30" s="28" t="n">
        <x:v>26</x:v>
      </x:c>
      <x:c r="D30" s="31" t="str">
        <x:v>complain of the heat</x:v>
      </x:c>
      <x:c r="E30" s="31" t="str">
        <x:v>embodied heat exposure</x:v>
      </x:c>
      <x:c r="F30" s="19" t="str">
        <x:v>heat</x:v>
      </x:c>
      <x:c r="G30" s="31" t="str">
        <x:v>NO_STANDALONE_HEADWORD</x:v>
      </x:c>
      <x:c r="H30" s="19" t="str">
        <x:v>NO</x:v>
      </x:c>
      <x:c r="I30" s="19" t="str">
        <x:v>Component lexical analysis plus anchor-source contextual meaning</x:v>
      </x:c>
      <x:c r="J30" s="19" t="str">
        <x:v>Component headword checked: heat.</x:v>
      </x:c>
      <x:c r="K30" s="19" t="str">
        <x:v>Anchor-period research source/context; Webster 1913 stable component URL recorded but automated page retrieval was unavailable</x:v>
      </x:c>
      <x:c r="L30" s="31" t="str">
        <x:v>Heat experienced by bodies in occupational, domestic, or environmental settings; the candidate is interpreted in its documented anchor and voice context.</x:v>
      </x:c>
      <x:c r="M30" s="31" t="str">
        <x:v>The candidate's affective or evaluative sense as used by the documented speaker/instrument/research voice at the anchor.</x:v>
      </x:c>
      <x:c r="N30" s="31" t="str">
        <x:v>Heat experienced by bodies in occupational, domestic, or environmental settings; the candidate is interpreted in its documented anchor and voice context.</x:v>
      </x:c>
      <x:c r="O30" s="31" t="str">
        <x:v>STRONG</x:v>
      </x:c>
      <x:c r="P30" s="19" t="str">
        <x:v>NOT_LOCATED</x:v>
      </x:c>
      <x:c r="Q30" s="31" t="str">
        <x:v>The surface form may realize multiple senses; candidate meaning remains anchored to the report-visible source context.</x:v>
      </x:c>
      <x:c r="R30" s="31" t="str">
        <x:v>Fear of Temperature_ Stratified Lexical Expansion, Voice Mapping, and Semantic-Relational Pre-Valida.pdf#page=6; https://api.dictionaryapi.dev/api/v2/entries/en/complain%20of%20the%20heat; https://websters1913.timcieplowski.com/word/heat/</x:v>
      </x:c>
      <x:c r="S30" s="43" t="str">
        <x:v>2026-08-26</x:v>
      </x:c>
      <x:c r="T30" s="46" t="str">
        <x:v>RECONSTRUCTED_FROM_REPORT; Fear of Temperature_ Stratified Lexical Expansion, Voice Mapping, and Semantic-Relational Pre-Valida.pdf; p.6; project candidate FT-SEED-R1B-P-1842-26; original visible ID not available</x:v>
      </x:c>
    </x:row>
    <x:row r="31" ht="38" customHeight="1">
      <x:c r="A31" s="25" t="str">
        <x:v>FT-SEED-R1B-P-1842-27</x:v>
      </x:c>
      <x:c r="B31" s="19" t="str">
        <x:v>1842</x:v>
      </x:c>
      <x:c r="C31" s="28" t="n">
        <x:v>27</x:v>
      </x:c>
      <x:c r="D31" s="31" t="str">
        <x:v>premature heat of the weather</x:v>
      </x:c>
      <x:c r="E31" s="31" t="str">
        <x:v>physical heat source / state</x:v>
      </x:c>
      <x:c r="F31" s="19" t="str">
        <x:v>heat</x:v>
      </x:c>
      <x:c r="G31" s="31" t="str">
        <x:v>NO_STANDALONE_HEADWORD</x:v>
      </x:c>
      <x:c r="H31" s="19" t="str">
        <x:v>NO</x:v>
      </x:c>
      <x:c r="I31" s="19" t="str">
        <x:v>Component lexical analysis plus anchor-source contextual meaning</x:v>
      </x:c>
      <x:c r="J31" s="19" t="str">
        <x:v>Component headword checked: weather.</x:v>
      </x:c>
      <x:c r="K31" s="19" t="str">
        <x:v>Anchor-period research source/context; Webster 1913 stable component URL recorded but automated page retrieval was unavailable</x:v>
      </x:c>
      <x:c r="L31" s="31" t="str">
        <x:v>Heat as a physical source, state, or thermal condition; the candidate is interpreted in its documented anchor and voice context.</x:v>
      </x:c>
      <x:c r="M31" s="31" t="str">
        <x:v>Physical or embodied heat in a local meteorological, material, or bodily-exposure sense.</x:v>
      </x:c>
      <x:c r="N31" s="31" t="str">
        <x:v>Heat as a physical source, state, or thermal condition; the candidate is interpreted in its documented anchor and voice context.</x:v>
      </x:c>
      <x:c r="O31" s="31" t="str">
        <x:v>STRONG</x:v>
      </x:c>
      <x:c r="P31" s="19" t="str">
        <x:v>NOT_LOCATED</x:v>
      </x:c>
      <x:c r="Q31" s="31" t="str">
        <x:v>Heat may refer to cooking, machinery, emotion, contest, or political metaphor; those senses are not automatically relevant.</x:v>
      </x:c>
      <x:c r="R31" s="31" t="str">
        <x:v>Fear of Temperature_ Stratified Lexical Expansion, Voice Mapping, and Semantic-Relational Pre-Valida.pdf#page=6; https://api.dictionaryapi.dev/api/v2/entries/en/premature%20heat%20of%20the%20weather; https://websters1913.timcieplowski.com/word/weather/</x:v>
      </x:c>
      <x:c r="S31" s="43" t="str">
        <x:v>2026-08-26</x:v>
      </x:c>
      <x:c r="T31" s="46" t="str">
        <x:v>RECONSTRUCTED_FROM_REPORT; Fear of Temperature_ Stratified Lexical Expansion, Voice Mapping, and Semantic-Relational Pre-Valida.pdf; p.6; project candidate FT-SEED-R1B-P-1842-27; original visible ID not available</x:v>
      </x:c>
    </x:row>
    <x:row r="32" ht="38" customHeight="1">
      <x:c r="A32" s="25" t="str">
        <x:v>FT-SEED-R1B-P-1842-28</x:v>
      </x:c>
      <x:c r="B32" s="19" t="str">
        <x:v>1842</x:v>
      </x:c>
      <x:c r="C32" s="28" t="n">
        <x:v>28</x:v>
      </x:c>
      <x:c r="D32" s="31" t="str">
        <x:v>suffered more from cold than from heat</x:v>
      </x:c>
      <x:c r="E32" s="31" t="str">
        <x:v>physical heat source / state</x:v>
      </x:c>
      <x:c r="F32" s="19" t="str">
        <x:v>heat</x:v>
      </x:c>
      <x:c r="G32" s="31" t="str">
        <x:v>NO_STANDALONE_HEADWORD</x:v>
      </x:c>
      <x:c r="H32" s="19" t="str">
        <x:v>NO</x:v>
      </x:c>
      <x:c r="I32" s="19" t="str">
        <x:v>Component lexical analysis plus anchor-source contextual meaning</x:v>
      </x:c>
      <x:c r="J32" s="19" t="str">
        <x:v>Component headword checked: heat.</x:v>
      </x:c>
      <x:c r="K32" s="19" t="str">
        <x:v>Anchor-period research source/context; Webster 1913 stable component URL recorded but automated page retrieval was unavailable</x:v>
      </x:c>
      <x:c r="L32" s="31" t="str">
        <x:v>Heat as a physical source, state, or thermal condition; the candidate is interpreted in its documented anchor and voice context.</x:v>
      </x:c>
      <x:c r="M32" s="31" t="str">
        <x:v>A threat, risk, harm, severity, or consequence sense in the documented source; it is not automatically an emotion.</x:v>
      </x:c>
      <x:c r="N32" s="31" t="str">
        <x:v>Heat as a physical source, state, or thermal condition; the candidate is interpreted in its documented anchor and voice context.</x:v>
      </x:c>
      <x:c r="O32" s="31" t="str">
        <x:v>STRONG</x:v>
      </x:c>
      <x:c r="P32" s="19" t="str">
        <x:v>NOT_LOCATED</x:v>
      </x:c>
      <x:c r="Q32" s="31" t="str">
        <x:v>The surface form may realize multiple senses; candidate meaning remains anchored to the report-visible source context.</x:v>
      </x:c>
      <x:c r="R32" s="31" t="str">
        <x:v>Fear of Temperature_ Stratified Lexical Expansion, Voice Mapping, and Semantic-Relational Pre-Valida.pdf#page=7; https://api.dictionaryapi.dev/api/v2/entries/en/suffered%20more%20from%20cold%20than%20from%20heat; https://websters1913.timcieplowski.com/word/heat/</x:v>
      </x:c>
      <x:c r="S32" s="43" t="str">
        <x:v>2026-08-26</x:v>
      </x:c>
      <x:c r="T32" s="46" t="str">
        <x:v>RECONSTRUCTED_FROM_REPORT; Fear of Temperature_ Stratified Lexical Expansion, Voice Mapping, and Semantic-Relational Pre-Valida.pdf; p.7; project candidate FT-SEED-R1B-P-1842-28; original visible ID not available</x:v>
      </x:c>
    </x:row>
    <x:row r="33" ht="38" customHeight="1">
      <x:c r="A33" s="25" t="str">
        <x:v>FT-SEED-R1B-P-1842-29</x:v>
      </x:c>
      <x:c r="B33" s="19" t="str">
        <x:v>1842</x:v>
      </x:c>
      <x:c r="C33" s="28" t="n">
        <x:v>29</x:v>
      </x:c>
      <x:c r="D33" s="31" t="str">
        <x:v>sickness and mortality</x:v>
      </x:c>
      <x:c r="E33" s="31" t="str">
        <x:v>mortality</x:v>
      </x:c>
      <x:c r="F33" s="19" t="str">
        <x:v>harm_loss_consequences</x:v>
      </x:c>
      <x:c r="G33" s="31" t="str">
        <x:v>NO_STANDALONE_HEADWORD</x:v>
      </x:c>
      <x:c r="H33" s="19" t="str">
        <x:v>NO</x:v>
      </x:c>
      <x:c r="I33" s="19" t="str">
        <x:v>Component lexical analysis plus anchor-source contextual meaning</x:v>
      </x:c>
      <x:c r="J33" s="19" t="str">
        <x:v>Component headword checked: mortality.</x:v>
      </x:c>
      <x:c r="K33" s="19" t="str">
        <x:v>Anchor-period research source/context; Webster 1913 stable component URL recorded but automated page retrieval was unavailable</x:v>
      </x:c>
      <x:c r="L33" s="31" t="str">
        <x:v>Death or mortality attributed to heat or climate consequences; the candidate is interpreted in its documented anchor and voice context.</x:v>
      </x:c>
      <x:c r="M33" s="31" t="str">
        <x:v>A threat, risk, harm, severity, or consequence sense in the documented source; it is not automatically an emotion.</x:v>
      </x:c>
      <x:c r="N33" s="31" t="str">
        <x:v>Death or mortality attributed to heat or climate consequences; the candidate is interpreted in its documented anchor and voice context.</x:v>
      </x:c>
      <x:c r="O33" s="31" t="str">
        <x:v>STRONG</x:v>
      </x:c>
      <x:c r="P33" s="19" t="str">
        <x:v>NOT_LOCATED</x:v>
      </x:c>
      <x:c r="Q33" s="31" t="str">
        <x:v>The surface form may realize multiple senses; candidate meaning remains anchored to the report-visible source context.</x:v>
      </x:c>
      <x:c r="R33" s="31" t="str">
        <x:v>Fear of Temperature_ Stratified Lexical Expansion, Voice Mapping, and Semantic-Relational Pre-Valida.pdf#page=7; https://api.dictionaryapi.dev/api/v2/entries/en/sickness%20and%20mortality; https://websters1913.timcieplowski.com/word/mortality/</x:v>
      </x:c>
      <x:c r="S33" s="43" t="str">
        <x:v>2026-08-26</x:v>
      </x:c>
      <x:c r="T33" s="46" t="str">
        <x:v>RECONSTRUCTED_FROM_REPORT; Fear of Temperature_ Stratified Lexical Expansion, Voice Mapping, and Semantic-Relational Pre-Valida.pdf; p.7; project candidate FT-SEED-R1B-P-1842-29; original visible ID not available</x:v>
      </x:c>
    </x:row>
    <x:row r="34" ht="38" customHeight="1">
      <x:c r="A34" s="25" t="str">
        <x:v>FT-SEED-R1B-P-1842-30</x:v>
      </x:c>
      <x:c r="B34" s="19" t="str">
        <x:v>1842</x:v>
      </x:c>
      <x:c r="C34" s="28" t="n">
        <x:v>30</x:v>
      </x:c>
      <x:c r="D34" s="31" t="str">
        <x:v>alarm to the public</x:v>
      </x:c>
      <x:c r="E34" s="31" t="str">
        <x:v>public alarm</x:v>
      </x:c>
      <x:c r="F34" s="19" t="str">
        <x:v>concern_alarm</x:v>
      </x:c>
      <x:c r="G34" s="31" t="str">
        <x:v>NO_STANDALONE_HEADWORD</x:v>
      </x:c>
      <x:c r="H34" s="19" t="str">
        <x:v>NO</x:v>
      </x:c>
      <x:c r="I34" s="19" t="str">
        <x:v>Component lexical analysis plus anchor-source contextual meaning</x:v>
      </x:c>
      <x:c r="J34" s="19" t="str">
        <x:v>Component headword checked: public.</x:v>
      </x:c>
      <x:c r="K34" s="19" t="str">
        <x:v>Anchor-period research source/context; Webster 1913 stable component URL recorded but automated page retrieval was unavailable</x:v>
      </x:c>
      <x:c r="L34" s="31" t="str">
        <x:v>Alarm attributed to or anticipated for a public, requiring direct evidence and sense review; the candidate is interpreted in its documented anchor and voice context.</x:v>
      </x:c>
      <x:c r="M34" s="31" t="str">
        <x:v>The candidate's affective or evaluative sense as used by the documented speaker/instrument/research voice at the anchor.</x:v>
      </x:c>
      <x:c r="N34" s="31" t="str">
        <x:v>Alarm attributed to or anticipated for a public, requiring direct evidence and sense review; the candidate is interpreted in its documented anchor and voice context.</x:v>
      </x:c>
      <x:c r="O34" s="31" t="str">
        <x:v>STRONG</x:v>
      </x:c>
      <x:c r="P34" s="19" t="str">
        <x:v>NOT_LOCATED</x:v>
      </x:c>
      <x:c r="Q34" s="31" t="str">
        <x:v>The surface form may realize multiple senses; candidate meaning remains anchored to the report-visible source context.</x:v>
      </x:c>
      <x:c r="R34" s="31" t="str">
        <x:v>Fear of Temperature_ Stratified Lexical Expansion, Voice Mapping, and Semantic-Relational Pre-Valida.pdf#page=7; https://api.dictionaryapi.dev/api/v2/entries/en/alarm%20to%20the%20public; https://websters1913.timcieplowski.com/word/public/</x:v>
      </x:c>
      <x:c r="S34" s="43" t="str">
        <x:v>2026-08-26</x:v>
      </x:c>
      <x:c r="T34" s="46" t="str">
        <x:v>RECONSTRUCTED_FROM_REPORT; Fear of Temperature_ Stratified Lexical Expansion, Voice Mapping, and Semantic-Relational Pre-Valida.pdf; p.7; project candidate FT-SEED-R1B-P-1842-30; original visible ID not available</x:v>
      </x:c>
    </x:row>
    <x:row r="35" ht="38" customHeight="1">
      <x:c r="A35" s="25" t="str">
        <x:v>FT-SEED-R1B-P-1938-01</x:v>
      </x:c>
      <x:c r="B35" s="19" t="str">
        <x:v>1938</x:v>
      </x:c>
      <x:c r="C35" s="28" t="n">
        <x:v>1</x:v>
      </x:c>
      <x:c r="D35" s="31" t="str">
        <x:v>artificial production of carbon dioxide</x:v>
      </x:c>
      <x:c r="E35" s="31" t="str">
        <x:v>anthropogenic carbon-dioxide production</x:v>
      </x:c>
      <x:c r="F35" s="19" t="str">
        <x:v>carbon_greenhouse</x:v>
      </x:c>
      <x:c r="G35" s="31" t="str">
        <x:v>TECHNICAL_GLOSSARY</x:v>
      </x:c>
      <x:c r="H35" s="19" t="str">
        <x:v>NO</x:v>
      </x:c>
      <x:c r="I35" s="19" t="str">
        <x:v>IPCC climate-science glossary / assessment terminology</x:v>
      </x:c>
      <x:c r="J35" s="19" t="str">
        <x:v>Component headword checked: dioxide.</x:v>
      </x:c>
      <x:c r="K35" s="19" t="str">
        <x:v>Anchor-period research source/context; Webster 1913 stable component URL recorded but automated page retrieval was unavailable</x:v>
      </x:c>
      <x:c r="L35" s="31" t="str">
        <x:v>Human production of carbon dioxide as a climatic cause; the candidate is interpreted in its documented anchor and voice context.</x:v>
      </x:c>
      <x:c r="M35" s="31" t="str">
        <x:v>A climatic, atmospheric, meteorological, or causal-science sense in the documented anchor context.</x:v>
      </x:c>
      <x:c r="N35" s="31" t="str">
        <x:v>Human production of carbon dioxide as a climatic cause; the candidate is interpreted in its documented anchor and voice context.</x:v>
      </x:c>
      <x:c r="O35" s="31" t="str">
        <x:v>STRONG</x:v>
      </x:c>
      <x:c r="P35" s="19" t="str">
        <x:v>NOT_LOCATED</x:v>
      </x:c>
      <x:c r="Q35" s="31" t="str">
        <x:v>The surface form may realize multiple senses; candidate meaning remains anchored to the report-visible source context.</x:v>
      </x:c>
      <x:c r="R35" s="31" t="str">
        <x:v>https://www.ipcc.ch/site/assets/uploads/2018/02/WGIIAR5-AnnexII_FINAL.pdf; https://api.dictionaryapi.dev/api/v2/entries/en/artificial%20production%20of%20carbon%20dioxide; https://websters1913.timcieplowski.com/word/dioxide/</x:v>
      </x:c>
      <x:c r="S35" s="43" t="str">
        <x:v>2026-08-26</x:v>
      </x:c>
      <x:c r="T35" s="46" t="str">
        <x:v>RECONSTRUCTED_FROM_REPORT; Fear of Temperature_ Stratified Lexical Expansion, Voice Mapping, and Semantic-Relational Pre-Valida.pdf; p.7; project candidate FT-SEED-R1B-P-1938-01; original visible ID not available</x:v>
      </x:c>
    </x:row>
    <x:row r="36" ht="38" customHeight="1">
      <x:c r="A36" s="25" t="str">
        <x:v>FT-SEED-R1B-P-1938-02</x:v>
      </x:c>
      <x:c r="B36" s="19" t="str">
        <x:v>1938</x:v>
      </x:c>
      <x:c r="C36" s="28" t="n">
        <x:v>2</x:v>
      </x:c>
      <x:c r="D36" s="31" t="str">
        <x:v>carbon dioxide</x:v>
      </x:c>
      <x:c r="E36" s="31" t="str">
        <x:v>atmospheric carbon dioxide</x:v>
      </x:c>
      <x:c r="F36" s="19" t="str">
        <x:v>carbon_greenhouse</x:v>
      </x:c>
      <x:c r="G36" s="31" t="str">
        <x:v>TECHNICAL_GLOSSARY</x:v>
      </x:c>
      <x:c r="H36" s="19" t="str">
        <x:v>NO</x:v>
      </x:c>
      <x:c r="I36" s="19" t="str">
        <x:v>IPCC climate-science glossary / assessment terminology</x:v>
      </x:c>
      <x:c r="J36" s="19" t="str">
        <x:v>Component headword checked: dioxide.</x:v>
      </x:c>
      <x:c r="K36" s="19" t="str">
        <x:v>Anchor-period research source/context; Webster 1913 stable component URL recorded but automated page retrieval was unavailable</x:v>
      </x:c>
      <x:c r="L36" s="31" t="str">
        <x:v>Carbon dioxide as an atmospheric constituent; the candidate is interpreted in its documented anchor and voice context.</x:v>
      </x:c>
      <x:c r="M36" s="31" t="str">
        <x:v>A climatic, atmospheric, meteorological, or causal-science sense in the documented anchor context.</x:v>
      </x:c>
      <x:c r="N36" s="31" t="str">
        <x:v>Carbon dioxide as an atmospheric constituent; the candidate is interpreted in its documented anchor and voice context.</x:v>
      </x:c>
      <x:c r="O36" s="31" t="str">
        <x:v>STRONG</x:v>
      </x:c>
      <x:c r="P36" s="19" t="str">
        <x:v>NOT_LOCATED</x:v>
      </x:c>
      <x:c r="Q36" s="31" t="str">
        <x:v>The surface form may realize multiple senses; candidate meaning remains anchored to the report-visible source context.</x:v>
      </x:c>
      <x:c r="R36" s="31" t="str">
        <x:v>https://www.ipcc.ch/site/assets/uploads/2018/02/WGIIAR5-AnnexII_FINAL.pdf; https://api.dictionaryapi.dev/api/v2/entries/en/carbon%20dioxide; https://websters1913.timcieplowski.com/word/dioxide/</x:v>
      </x:c>
      <x:c r="S36" s="43" t="str">
        <x:v>2026-08-26</x:v>
      </x:c>
      <x:c r="T36" s="46" t="str">
        <x:v>RECONSTRUCTED_FROM_REPORT; Fear of Temperature_ Stratified Lexical Expansion, Voice Mapping, and Semantic-Relational Pre-Valida.pdf; p.7; project candidate FT-SEED-R1B-P-1938-02; original visible ID not available</x:v>
      </x:c>
    </x:row>
    <x:row r="37" ht="38" customHeight="1">
      <x:c r="A37" s="25" t="str">
        <x:v>FT-SEED-R1B-P-1938-03</x:v>
      </x:c>
      <x:c r="B37" s="19" t="str">
        <x:v>1938</x:v>
      </x:c>
      <x:c r="C37" s="28" t="n">
        <x:v>3</x:v>
      </x:c>
      <x:c r="D37" s="31" t="str">
        <x:v>fuel combustion</x:v>
      </x:c>
      <x:c r="E37" s="31" t="str">
        <x:v>anthropogenic carbon-dioxide production</x:v>
      </x:c>
      <x:c r="F37" s="19" t="str">
        <x:v>carbon_greenhouse</x:v>
      </x:c>
      <x:c r="G37" s="31" t="str">
        <x:v>TECHNICAL_GLOSSARY</x:v>
      </x:c>
      <x:c r="H37" s="19" t="str">
        <x:v>NO</x:v>
      </x:c>
      <x:c r="I37" s="19" t="str">
        <x:v>IPCC climate-science glossary / assessment terminology</x:v>
      </x:c>
      <x:c r="J37" s="19" t="str">
        <x:v>Component headword checked: combustion.</x:v>
      </x:c>
      <x:c r="K37" s="19" t="str">
        <x:v>Anchor-period research source/context; Webster 1913 stable component URL recorded but automated page retrieval was unavailable</x:v>
      </x:c>
      <x:c r="L37" s="31" t="str">
        <x:v>Human production of carbon dioxide as a climatic cause; the candidate is interpreted in its documented anchor and voice context.</x:v>
      </x:c>
      <x:c r="M37" s="31" t="str">
        <x:v>A climatic, atmospheric, meteorological, or causal-science sense in the documented anchor context.</x:v>
      </x:c>
      <x:c r="N37" s="31" t="str">
        <x:v>Human production of carbon dioxide as a climatic cause; the candidate is interpreted in its documented anchor and voice context.</x:v>
      </x:c>
      <x:c r="O37" s="31" t="str">
        <x:v>STRONG</x:v>
      </x:c>
      <x:c r="P37" s="19" t="str">
        <x:v>NOT_LOCATED</x:v>
      </x:c>
      <x:c r="Q37" s="31" t="str">
        <x:v>The surface form may realize multiple senses; candidate meaning remains anchored to the report-visible source context.</x:v>
      </x:c>
      <x:c r="R37" s="31" t="str">
        <x:v>https://www.ipcc.ch/site/assets/uploads/2018/02/WGIIAR5-AnnexII_FINAL.pdf; https://api.dictionaryapi.dev/api/v2/entries/en/fuel%20combustion; https://websters1913.timcieplowski.com/word/combustion/</x:v>
      </x:c>
      <x:c r="S37" s="43" t="str">
        <x:v>2026-08-26</x:v>
      </x:c>
      <x:c r="T37" s="46" t="str">
        <x:v>RECONSTRUCTED_FROM_REPORT; Fear of Temperature_ Stratified Lexical Expansion, Voice Mapping, and Semantic-Relational Pre-Valida.pdf; p.8; project candidate FT-SEED-R1B-P-1938-03; original visible ID not available</x:v>
      </x:c>
    </x:row>
    <x:row r="38" ht="38" customHeight="1">
      <x:c r="A38" s="25" t="str">
        <x:v>FT-SEED-R1B-P-1938-04</x:v>
      </x:c>
      <x:c r="B38" s="19" t="str">
        <x:v>1938</x:v>
      </x:c>
      <x:c r="C38" s="28" t="n">
        <x:v>4</x:v>
      </x:c>
      <x:c r="D38" s="31" t="str">
        <x:v>air</x:v>
      </x:c>
      <x:c r="E38" s="31" t="str">
        <x:v>historical climate / climatological condition</x:v>
      </x:c>
      <x:c r="F38" s="19" t="str">
        <x:v>climate</x:v>
      </x:c>
      <x:c r="G38" s="31" t="str">
        <x:v>DIRECT_HEADWORD</x:v>
      </x:c>
      <x:c r="H38" s="19" t="str">
        <x:v>YES</x:v>
      </x:c>
      <x:c r="I38" s="19" t="str">
        <x:v>Webster's Revised Unabridged Dictionary (1913 public-domain headword index)</x:v>
      </x:c>
      <x:c r="J38" s="19" t="str">
        <x:v>Component headword checked: air.</x:v>
      </x:c>
      <x:c r="K38" s="19" t="str">
        <x:v>Webster's Revised Unabridged Dictionary (1913 public-domain edition)</x:v>
      </x:c>
      <x:c r="L38" s="31" t="str">
        <x:v>Climate as a historical, geographical, seasonal, or climatological condition; the candidate is interpreted in its documented anchor and voice context.</x:v>
      </x:c>
      <x:c r="M38" s="31" t="str">
        <x:v>A climatic, atmospheric, meteorological, or causal-science sense in the documented anchor context.</x:v>
      </x:c>
      <x:c r="N38" s="31" t="str">
        <x:v>Climate as a historical, geographical, seasonal, or climatological condition; the candidate is interpreted in its documented anchor and voice context.</x:v>
      </x:c>
      <x:c r="O38" s="31" t="str">
        <x:v>STRONG</x:v>
      </x:c>
      <x:c r="P38" s="19" t="str">
        <x:v>NOT_LOCATED</x:v>
      </x:c>
      <x:c r="Q38" s="31" t="str">
        <x:v>The surface form may realize multiple senses; candidate meaning remains anchored to the report-visible source context.</x:v>
      </x:c>
      <x:c r="R38" s="31" t="str">
        <x:v>https://websters1913.timcieplowski.com/word/air/; https://api.dictionaryapi.dev/api/v2/entries/en/air</x:v>
      </x:c>
      <x:c r="S38" s="43" t="str">
        <x:v>2026-08-26</x:v>
      </x:c>
      <x:c r="T38" s="46" t="str">
        <x:v>RECONSTRUCTED_FROM_REPORT; Fear of Temperature_ Stratified Lexical Expansion, Voice Mapping, and Semantic-Relational Pre-Valida.pdf; p.8; project candidate FT-SEED-R1B-P-1938-04; original visible ID not available</x:v>
      </x:c>
    </x:row>
    <x:row r="39" ht="38" customHeight="1">
      <x:c r="A39" s="25" t="str">
        <x:v>FT-SEED-R1B-P-1938-05</x:v>
      </x:c>
      <x:c r="B39" s="19" t="str">
        <x:v>1938</x:v>
      </x:c>
      <x:c r="C39" s="28" t="n">
        <x:v>5</x:v>
      </x:c>
      <x:c r="D39" s="31" t="str">
        <x:v>atmosphere</x:v>
      </x:c>
      <x:c r="E39" s="31" t="str">
        <x:v>historical climate / climatological condition</x:v>
      </x:c>
      <x:c r="F39" s="19" t="str">
        <x:v>climate</x:v>
      </x:c>
      <x:c r="G39" s="31" t="str">
        <x:v>TECHNICAL_GLOSSARY</x:v>
      </x:c>
      <x:c r="H39" s="19" t="str">
        <x:v>NO</x:v>
      </x:c>
      <x:c r="I39" s="19" t="str">
        <x:v>IPCC climate-science glossary / assessment terminology</x:v>
      </x:c>
      <x:c r="J39" s="19" t="str">
        <x:v>Component headword checked: atmosphere.</x:v>
      </x:c>
      <x:c r="K39" s="19" t="str">
        <x:v>Anchor-period research source/context; Webster 1913 stable component URL recorded but automated page retrieval was unavailable</x:v>
      </x:c>
      <x:c r="L39" s="31" t="str">
        <x:v>Climate as a historical, geographical, seasonal, or climatological condition; the candidate is interpreted in its documented anchor and voice context.</x:v>
      </x:c>
      <x:c r="M39" s="31" t="str">
        <x:v>A climatic, atmospheric, meteorological, or causal-science sense in the documented anchor context.</x:v>
      </x:c>
      <x:c r="N39" s="31" t="str">
        <x:v>Climate as a historical, geographical, seasonal, or climatological condition; the candidate is interpreted in its documented anchor and voice context.</x:v>
      </x:c>
      <x:c r="O39" s="31" t="str">
        <x:v>STRONG</x:v>
      </x:c>
      <x:c r="P39" s="19" t="str">
        <x:v>NOT_LOCATED</x:v>
      </x:c>
      <x:c r="Q39" s="31" t="str">
        <x:v>The surface form may realize multiple senses; candidate meaning remains anchored to the report-visible source context.</x:v>
      </x:c>
      <x:c r="R39" s="31" t="str">
        <x:v>https://www.ipcc.ch/site/assets/uploads/2018/02/WGIIAR5-AnnexII_FINAL.pdf; https://api.dictionaryapi.dev/api/v2/entries/en/atmosphere; https://websters1913.timcieplowski.com/word/atmosphere/</x:v>
      </x:c>
      <x:c r="S39" s="43" t="str">
        <x:v>2026-08-26</x:v>
      </x:c>
      <x:c r="T39" s="46" t="str">
        <x:v>RECONSTRUCTED_FROM_REPORT; Fear of Temperature_ Stratified Lexical Expansion, Voice Mapping, and Semantic-Relational Pre-Valida.pdf; p.8; project candidate FT-SEED-R1B-P-1938-05; original visible ID not available</x:v>
      </x:c>
    </x:row>
    <x:row r="40" ht="38" customHeight="1">
      <x:c r="A40" s="25" t="str">
        <x:v>FT-SEED-R1B-P-1938-06</x:v>
      </x:c>
      <x:c r="B40" s="19" t="str">
        <x:v>1938</x:v>
      </x:c>
      <x:c r="C40" s="28" t="n">
        <x:v>6</x:v>
      </x:c>
      <x:c r="D40" s="31" t="str">
        <x:v>radiation absorption coefficients</x:v>
      </x:c>
      <x:c r="E40" s="31" t="str">
        <x:v>historical climate / climatological condition</x:v>
      </x:c>
      <x:c r="F40" s="19" t="str">
        <x:v>climate</x:v>
      </x:c>
      <x:c r="G40" s="31" t="str">
        <x:v>TECHNICAL_GLOSSARY</x:v>
      </x:c>
      <x:c r="H40" s="19" t="str">
        <x:v>NO</x:v>
      </x:c>
      <x:c r="I40" s="19" t="str">
        <x:v>IPCC climate-science glossary / assessment terminology</x:v>
      </x:c>
      <x:c r="J40" s="19" t="str">
        <x:v>Component headword checked: coefficients.</x:v>
      </x:c>
      <x:c r="K40" s="19" t="str">
        <x:v>Anchor-period research source/context; Webster 1913 stable component URL recorded but automated page retrieval was unavailable</x:v>
      </x:c>
      <x:c r="L40" s="31" t="str">
        <x:v>Climate as a historical, geographical, seasonal, or climatological condition; the candidate is interpreted in its documented anchor and voice context.</x:v>
      </x:c>
      <x:c r="M40" s="31" t="str">
        <x:v>A climatic, atmospheric, meteorological, or causal-science sense in the documented anchor context.</x:v>
      </x:c>
      <x:c r="N40" s="31" t="str">
        <x:v>Climate as a historical, geographical, seasonal, or climatological condition; the candidate is interpreted in its documented anchor and voice context.</x:v>
      </x:c>
      <x:c r="O40" s="31" t="str">
        <x:v>STRONG</x:v>
      </x:c>
      <x:c r="P40" s="19" t="str">
        <x:v>NOT_LOCATED</x:v>
      </x:c>
      <x:c r="Q40" s="31" t="str">
        <x:v>The surface form may realize multiple senses; candidate meaning remains anchored to the report-visible source context.</x:v>
      </x:c>
      <x:c r="R40" s="31" t="str">
        <x:v>https://www.ipcc.ch/site/assets/uploads/2018/02/WGIIAR5-AnnexII_FINAL.pdf; https://api.dictionaryapi.dev/api/v2/entries/en/radiation%20absorption%20coefficients; https://websters1913.timcieplowski.com/word/coefficients/</x:v>
      </x:c>
      <x:c r="S40" s="43" t="str">
        <x:v>2026-08-26</x:v>
      </x:c>
      <x:c r="T40" s="46" t="str">
        <x:v>RECONSTRUCTED_FROM_REPORT; Fear of Temperature_ Stratified Lexical Expansion, Voice Mapping, and Semantic-Relational Pre-Valida.pdf; p.8; project candidate FT-SEED-R1B-P-1938-06; original visible ID not available</x:v>
      </x:c>
    </x:row>
    <x:row r="41" ht="38" customHeight="1">
      <x:c r="A41" s="25" t="str">
        <x:v>FT-SEED-R1B-P-1938-07</x:v>
      </x:c>
      <x:c r="B41" s="19" t="str">
        <x:v>1938</x:v>
      </x:c>
      <x:c r="C41" s="28" t="n">
        <x:v>7</x:v>
      </x:c>
      <x:c r="D41" s="31" t="str">
        <x:v>water vapour</x:v>
      </x:c>
      <x:c r="E41" s="31" t="str">
        <x:v>historical climate / climatological condition</x:v>
      </x:c>
      <x:c r="F41" s="19" t="str">
        <x:v>climate</x:v>
      </x:c>
      <x:c r="G41" s="31" t="str">
        <x:v>TECHNICAL_GLOSSARY</x:v>
      </x:c>
      <x:c r="H41" s="19" t="str">
        <x:v>NO</x:v>
      </x:c>
      <x:c r="I41" s="19" t="str">
        <x:v>IPCC climate-science glossary / assessment terminology</x:v>
      </x:c>
      <x:c r="J41" s="19" t="str">
        <x:v>Component headword checked: vapour.</x:v>
      </x:c>
      <x:c r="K41" s="19" t="str">
        <x:v>Anchor-period research source/context; Webster 1913 stable component URL recorded but automated page retrieval was unavailable</x:v>
      </x:c>
      <x:c r="L41" s="31" t="str">
        <x:v>Climate as a historical, geographical, seasonal, or climatological condition; the candidate is interpreted in its documented anchor and voice context.</x:v>
      </x:c>
      <x:c r="M41" s="31" t="str">
        <x:v>A climatic, atmospheric, meteorological, or causal-science sense in the documented anchor context.</x:v>
      </x:c>
      <x:c r="N41" s="31" t="str">
        <x:v>Climate as a historical, geographical, seasonal, or climatological condition; the candidate is interpreted in its documented anchor and voice context.</x:v>
      </x:c>
      <x:c r="O41" s="31" t="str">
        <x:v>STRONG</x:v>
      </x:c>
      <x:c r="P41" s="19" t="str">
        <x:v>NOT_LOCATED</x:v>
      </x:c>
      <x:c r="Q41" s="31" t="str">
        <x:v>The surface form may realize multiple senses; candidate meaning remains anchored to the report-visible source context.</x:v>
      </x:c>
      <x:c r="R41" s="31" t="str">
        <x:v>https://www.ipcc.ch/site/assets/uploads/2018/02/WGIIAR5-AnnexII_FINAL.pdf; https://api.dictionaryapi.dev/api/v2/entries/en/water%20vapour; https://websters1913.timcieplowski.com/word/vapour/</x:v>
      </x:c>
      <x:c r="S41" s="43" t="str">
        <x:v>2026-08-26</x:v>
      </x:c>
      <x:c r="T41" s="46" t="str">
        <x:v>RECONSTRUCTED_FROM_REPORT; Fear of Temperature_ Stratified Lexical Expansion, Voice Mapping, and Semantic-Relational Pre-Valida.pdf; p.8; project candidate FT-SEED-R1B-P-1938-07; original visible ID not available</x:v>
      </x:c>
    </x:row>
    <x:row r="42" ht="38" customHeight="1">
      <x:c r="A42" s="25" t="str">
        <x:v>FT-SEED-R1B-P-1938-08</x:v>
      </x:c>
      <x:c r="B42" s="19" t="str">
        <x:v>1938</x:v>
      </x:c>
      <x:c r="C42" s="28" t="n">
        <x:v>8</x:v>
      </x:c>
      <x:c r="D42" s="31" t="str">
        <x:v>sky radiation</x:v>
      </x:c>
      <x:c r="E42" s="31" t="str">
        <x:v>historical climate / climatological condition</x:v>
      </x:c>
      <x:c r="F42" s="19" t="str">
        <x:v>climate</x:v>
      </x:c>
      <x:c r="G42" s="31" t="str">
        <x:v>NO_STANDALONE_HEADWORD</x:v>
      </x:c>
      <x:c r="H42" s="19" t="str">
        <x:v>NO</x:v>
      </x:c>
      <x:c r="I42" s="19" t="str">
        <x:v>Component lexical analysis plus anchor-source contextual meaning</x:v>
      </x:c>
      <x:c r="J42" s="19" t="str">
        <x:v>Component headword checked: radiation.</x:v>
      </x:c>
      <x:c r="K42" s="19" t="str">
        <x:v>Anchor-period research source/context; Webster 1913 stable component URL recorded but automated page retrieval was unavailable</x:v>
      </x:c>
      <x:c r="L42" s="31" t="str">
        <x:v>Climate as a historical, geographical, seasonal, or climatological condition; the candidate is interpreted in its documented anchor and voice context.</x:v>
      </x:c>
      <x:c r="M42" s="31" t="str">
        <x:v>A climatic, atmospheric, meteorological, or causal-science sense in the documented anchor context.</x:v>
      </x:c>
      <x:c r="N42" s="31" t="str">
        <x:v>Climate as a historical, geographical, seasonal, or climatological condition; the candidate is interpreted in its documented anchor and voice context.</x:v>
      </x:c>
      <x:c r="O42" s="31" t="str">
        <x:v>STRONG</x:v>
      </x:c>
      <x:c r="P42" s="19" t="str">
        <x:v>NOT_LOCATED</x:v>
      </x:c>
      <x:c r="Q42" s="31" t="str">
        <x:v>The surface form may realize multiple senses; candidate meaning remains anchored to the report-visible source context.</x:v>
      </x:c>
      <x:c r="R42" s="31" t="str">
        <x:v>Fear of Temperature_ Stratified Lexical Expansion, Voice Mapping, and Semantic-Relational Pre-Valida.pdf#page=8; https://api.dictionaryapi.dev/api/v2/entries/en/sky%20radiation; https://websters1913.timcieplowski.com/word/radiation/</x:v>
      </x:c>
      <x:c r="S42" s="43" t="str">
        <x:v>2026-08-26</x:v>
      </x:c>
      <x:c r="T42" s="46" t="str">
        <x:v>RECONSTRUCTED_FROM_REPORT; Fear of Temperature_ Stratified Lexical Expansion, Voice Mapping, and Semantic-Relational Pre-Valida.pdf; p.8; project candidate FT-SEED-R1B-P-1938-08; original visible ID not available</x:v>
      </x:c>
    </x:row>
    <x:row r="43" ht="38" customHeight="1">
      <x:c r="A43" s="25" t="str">
        <x:v>FT-SEED-R1B-P-1938-09</x:v>
      </x:c>
      <x:c r="B43" s="19" t="str">
        <x:v>1938</x:v>
      </x:c>
      <x:c r="C43" s="28" t="n">
        <x:v>9</x:v>
      </x:c>
      <x:c r="D43" s="31" t="str">
        <x:v>increase in mean temperature</x:v>
      </x:c>
      <x:c r="E43" s="31" t="str">
        <x:v>mean temperature</x:v>
      </x:c>
      <x:c r="F43" s="19" t="str">
        <x:v>temperature_threshold</x:v>
      </x:c>
      <x:c r="G43" s="31" t="str">
        <x:v>NO_STANDALONE_HEADWORD</x:v>
      </x:c>
      <x:c r="H43" s="19" t="str">
        <x:v>NO</x:v>
      </x:c>
      <x:c r="I43" s="19" t="str">
        <x:v>Component lexical analysis plus anchor-source contextual meaning</x:v>
      </x:c>
      <x:c r="J43" s="19" t="str">
        <x:v>Component headword checked: temperature.</x:v>
      </x:c>
      <x:c r="K43" s="19" t="str">
        <x:v>Anchor-period research source/context; Webster 1913 stable component URL recorded but automated page retrieval was unavailable</x:v>
      </x:c>
      <x:c r="L43" s="31" t="str">
        <x:v>A temporally or spatially averaged temperature value; the candidate is interpreted in its documented anchor and voice context.</x:v>
      </x:c>
      <x:c r="M43" s="31" t="str">
        <x:v>A physical temperature, warming, heat, or measurement sense in the documented anchor context.</x:v>
      </x:c>
      <x:c r="N43" s="31" t="str">
        <x:v>A temporally or spatially averaged temperature value; the candidate is interpreted in its documented anchor and voice context.</x:v>
      </x:c>
      <x:c r="O43" s="31" t="str">
        <x:v>STRONG</x:v>
      </x:c>
      <x:c r="P43" s="19" t="str">
        <x:v>NOT_LOCATED</x:v>
      </x:c>
      <x:c r="Q43" s="31" t="str">
        <x:v>The surface form may realize multiple senses; candidate meaning remains anchored to the report-visible source context.</x:v>
      </x:c>
      <x:c r="R43" s="31" t="str">
        <x:v>Fear of Temperature_ Stratified Lexical Expansion, Voice Mapping, and Semantic-Relational Pre-Valida.pdf#page=8; https://api.dictionaryapi.dev/api/v2/entries/en/increase%20in%20mean%20temperature; https://websters1913.timcieplowski.com/word/temperature/</x:v>
      </x:c>
      <x:c r="S43" s="43" t="str">
        <x:v>2026-08-26</x:v>
      </x:c>
      <x:c r="T43" s="46" t="str">
        <x:v>RECONSTRUCTED_FROM_REPORT; Fear of Temperature_ Stratified Lexical Expansion, Voice Mapping, and Semantic-Relational Pre-Valida.pdf; p.8; project candidate FT-SEED-R1B-P-1938-09; original visible ID not available</x:v>
      </x:c>
    </x:row>
    <x:row r="44" ht="38" customHeight="1">
      <x:c r="A44" s="25" t="str">
        <x:v>FT-SEED-R1B-P-1938-10</x:v>
      </x:c>
      <x:c r="B44" s="19" t="str">
        <x:v>1938</x:v>
      </x:c>
      <x:c r="C44" s="28" t="n">
        <x:v>10</x:v>
      </x:c>
      <x:c r="D44" s="31" t="str">
        <x:v>mean temperature</x:v>
      </x:c>
      <x:c r="E44" s="31" t="str">
        <x:v>mean temperature</x:v>
      </x:c>
      <x:c r="F44" s="19" t="str">
        <x:v>temperature_threshold</x:v>
      </x:c>
      <x:c r="G44" s="31" t="str">
        <x:v>NO_STANDALONE_HEADWORD</x:v>
      </x:c>
      <x:c r="H44" s="19" t="str">
        <x:v>NO</x:v>
      </x:c>
      <x:c r="I44" s="19" t="str">
        <x:v>Component lexical analysis plus anchor-source contextual meaning</x:v>
      </x:c>
      <x:c r="J44" s="19" t="str">
        <x:v>Component headword checked: temperature.</x:v>
      </x:c>
      <x:c r="K44" s="19" t="str">
        <x:v>Anchor-period research source/context; Webster 1913 stable component URL recorded but automated page retrieval was unavailable</x:v>
      </x:c>
      <x:c r="L44" s="31" t="str">
        <x:v>A temporally or spatially averaged temperature value; the candidate is interpreted in its documented anchor and voice context.</x:v>
      </x:c>
      <x:c r="M44" s="31" t="str">
        <x:v>A physical temperature, warming, heat, or measurement sense in the documented anchor context.</x:v>
      </x:c>
      <x:c r="N44" s="31" t="str">
        <x:v>A temporally or spatially averaged temperature value; the candidate is interpreted in its documented anchor and voice context.</x:v>
      </x:c>
      <x:c r="O44" s="31" t="str">
        <x:v>STRONG</x:v>
      </x:c>
      <x:c r="P44" s="19" t="str">
        <x:v>NOT_LOCATED</x:v>
      </x:c>
      <x:c r="Q44" s="31" t="str">
        <x:v>The surface form may realize multiple senses; candidate meaning remains anchored to the report-visible source context.</x:v>
      </x:c>
      <x:c r="R44" s="31" t="str">
        <x:v>Fear of Temperature_ Stratified Lexical Expansion, Voice Mapping, and Semantic-Relational Pre-Valida.pdf#page=8; https://api.dictionaryapi.dev/api/v2/entries/en/mean%20temperature; https://websters1913.timcieplowski.com/word/temperature/</x:v>
      </x:c>
      <x:c r="S44" s="43" t="str">
        <x:v>2026-08-26</x:v>
      </x:c>
      <x:c r="T44" s="46" t="str">
        <x:v>RECONSTRUCTED_FROM_REPORT; Fear of Temperature_ Stratified Lexical Expansion, Voice Mapping, and Semantic-Relational Pre-Valida.pdf; p.8; project candidate FT-SEED-R1B-P-1938-10; original visible ID not available</x:v>
      </x:c>
    </x:row>
    <x:row r="45" ht="38" customHeight="1">
      <x:c r="A45" s="25" t="str">
        <x:v>FT-SEED-R1B-P-1938-11</x:v>
      </x:c>
      <x:c r="B45" s="19" t="str">
        <x:v>1938</x:v>
      </x:c>
      <x:c r="C45" s="28" t="n">
        <x:v>11</x:v>
      </x:c>
      <x:c r="D45" s="31" t="str">
        <x:v>temperature observations</x:v>
      </x:c>
      <x:c r="E45" s="31" t="str">
        <x:v>local / instrumental temperature</x:v>
      </x:c>
      <x:c r="F45" s="19" t="str">
        <x:v>temperature_threshold</x:v>
      </x:c>
      <x:c r="G45" s="31" t="str">
        <x:v>NO_STANDALONE_HEADWORD</x:v>
      </x:c>
      <x:c r="H45" s="19" t="str">
        <x:v>NO</x:v>
      </x:c>
      <x:c r="I45" s="19" t="str">
        <x:v>Component lexical analysis plus anchor-source contextual meaning</x:v>
      </x:c>
      <x:c r="J45" s="19" t="str">
        <x:v>Component headword checked: observations.</x:v>
      </x:c>
      <x:c r="K45" s="19" t="str">
        <x:v>Anchor-period research source/context; Webster 1913 stable component URL recorded but automated page retrieval was unavailable</x:v>
      </x:c>
      <x:c r="L45" s="31" t="str">
        <x:v>A local or instrument-specific temperature reading; the candidate is interpreted in its documented anchor and voice context.</x:v>
      </x:c>
      <x:c r="M45" s="31" t="str">
        <x:v>A physical temperature, warming, heat, or measurement sense in the documented anchor context.</x:v>
      </x:c>
      <x:c r="N45" s="31" t="str">
        <x:v>A local or instrument-specific temperature reading; the candidate is interpreted in its documented anchor and voice context.</x:v>
      </x:c>
      <x:c r="O45" s="31" t="str">
        <x:v>STRONG</x:v>
      </x:c>
      <x:c r="P45" s="19" t="str">
        <x:v>NOT_LOCATED</x:v>
      </x:c>
      <x:c r="Q45" s="31" t="str">
        <x:v>The surface form may realize multiple senses; candidate meaning remains anchored to the report-visible source context.</x:v>
      </x:c>
      <x:c r="R45" s="31" t="str">
        <x:v>Fear of Temperature_ Stratified Lexical Expansion, Voice Mapping, and Semantic-Relational Pre-Valida.pdf#page=7; https://api.dictionaryapi.dev/api/v2/entries/en/temperature%20observations; https://websters1913.timcieplowski.com/word/observations/</x:v>
      </x:c>
      <x:c r="S45" s="43" t="str">
        <x:v>2026-08-26</x:v>
      </x:c>
      <x:c r="T45" s="46" t="str">
        <x:v>RECONSTRUCTED_FROM_REPORT; Fear of Temperature_ Stratified Lexical Expansion, Voice Mapping, and Semantic-Relational Pre-Valida.pdf; p.7; project candidate FT-SEED-R1B-P-1938-11; original visible ID not available</x:v>
      </x:c>
    </x:row>
    <x:row r="46" ht="38" customHeight="1">
      <x:c r="A46" s="25" t="str">
        <x:v>FT-SEED-R1B-P-1938-12</x:v>
      </x:c>
      <x:c r="B46" s="19" t="str">
        <x:v>1938</x:v>
      </x:c>
      <x:c r="C46" s="28" t="n">
        <x:v>12</x:v>
      </x:c>
      <x:c r="D46" s="31" t="str">
        <x:v>meteorological stations</x:v>
      </x:c>
      <x:c r="E46" s="31" t="str">
        <x:v>historical climate / climatological condition</x:v>
      </x:c>
      <x:c r="F46" s="19" t="str">
        <x:v>climate</x:v>
      </x:c>
      <x:c r="G46" s="31" t="str">
        <x:v>NO_STANDALONE_HEADWORD</x:v>
      </x:c>
      <x:c r="H46" s="19" t="str">
        <x:v>NO</x:v>
      </x:c>
      <x:c r="I46" s="19" t="str">
        <x:v>Component lexical analysis plus anchor-source contextual meaning</x:v>
      </x:c>
      <x:c r="J46" s="19" t="str">
        <x:v>Component headword checked: stations.</x:v>
      </x:c>
      <x:c r="K46" s="19" t="str">
        <x:v>Anchor-period research source/context; Webster 1913 stable component URL recorded but automated page retrieval was unavailable</x:v>
      </x:c>
      <x:c r="L46" s="31" t="str">
        <x:v>Climate as a historical, geographical, seasonal, or climatological condition; the candidate is interpreted in its documented anchor and voice context.</x:v>
      </x:c>
      <x:c r="M46" s="31" t="str">
        <x:v>A climatic, atmospheric, meteorological, or causal-science sense in the documented anchor context.</x:v>
      </x:c>
      <x:c r="N46" s="31" t="str">
        <x:v>Climate as a historical, geographical, seasonal, or climatological condition; the candidate is interpreted in its documented anchor and voice context.</x:v>
      </x:c>
      <x:c r="O46" s="31" t="str">
        <x:v>STRONG</x:v>
      </x:c>
      <x:c r="P46" s="19" t="str">
        <x:v>NOT_LOCATED</x:v>
      </x:c>
      <x:c r="Q46" s="31" t="str">
        <x:v>The surface form may realize multiple senses; candidate meaning remains anchored to the report-visible source context.</x:v>
      </x:c>
      <x:c r="R46" s="31" t="str">
        <x:v>Fear of Temperature_ Stratified Lexical Expansion, Voice Mapping, and Semantic-Relational Pre-Valida.pdf#page=7; https://api.dictionaryapi.dev/api/v2/entries/en/meteorological%20stations; https://websters1913.timcieplowski.com/word/stations/</x:v>
      </x:c>
      <x:c r="S46" s="43" t="str">
        <x:v>2026-08-26</x:v>
      </x:c>
      <x:c r="T46" s="46" t="str">
        <x:v>RECONSTRUCTED_FROM_REPORT; Fear of Temperature_ Stratified Lexical Expansion, Voice Mapping, and Semantic-Relational Pre-Valida.pdf; p.7; project candidate FT-SEED-R1B-P-1938-12; original visible ID not available</x:v>
      </x:c>
    </x:row>
    <x:row r="47" ht="38" customHeight="1">
      <x:c r="A47" s="25" t="str">
        <x:v>FT-SEED-R1B-P-1938-13</x:v>
      </x:c>
      <x:c r="B47" s="19" t="str">
        <x:v>1938</x:v>
      </x:c>
      <x:c r="C47" s="28" t="n">
        <x:v>13</x:v>
      </x:c>
      <x:c r="D47" s="31" t="str">
        <x:v>world temperatures</x:v>
      </x:c>
      <x:c r="E47" s="31" t="str">
        <x:v>global aggregate temperature</x:v>
      </x:c>
      <x:c r="F47" s="19" t="str">
        <x:v>temperature_threshold</x:v>
      </x:c>
      <x:c r="G47" s="31" t="str">
        <x:v>NO_STANDALONE_HEADWORD</x:v>
      </x:c>
      <x:c r="H47" s="19" t="str">
        <x:v>NO</x:v>
      </x:c>
      <x:c r="I47" s="19" t="str">
        <x:v>Component lexical analysis plus anchor-source contextual meaning</x:v>
      </x:c>
      <x:c r="J47" s="19" t="str">
        <x:v>Component headword checked: temperatures.</x:v>
      </x:c>
      <x:c r="K47" s="19" t="str">
        <x:v>Anchor-period research source/context; Webster 1913 stable component URL recorded but automated page retrieval was unavailable</x:v>
      </x:c>
      <x:c r="L47" s="31" t="str">
        <x:v>A global-scale aggregate temperature metric; the candidate is interpreted in its documented anchor and voice context.</x:v>
      </x:c>
      <x:c r="M47" s="31" t="str">
        <x:v>A physical temperature, warming, heat, or measurement sense in the documented anchor context.</x:v>
      </x:c>
      <x:c r="N47" s="31" t="str">
        <x:v>A global-scale aggregate temperature metric; the candidate is interpreted in its documented anchor and voice context.</x:v>
      </x:c>
      <x:c r="O47" s="31" t="str">
        <x:v>STRONG</x:v>
      </x:c>
      <x:c r="P47" s="19" t="str">
        <x:v>NOT_LOCATED</x:v>
      </x:c>
      <x:c r="Q47" s="31" t="str">
        <x:v>The surface form may realize multiple senses; candidate meaning remains anchored to the report-visible source context.</x:v>
      </x:c>
      <x:c r="R47" s="31" t="str">
        <x:v>Fear of Temperature_ Stratified Lexical Expansion, Voice Mapping, and Semantic-Relational Pre-Valida.pdf#page=8; https://api.dictionaryapi.dev/api/v2/entries/en/world%20temperatures; https://websters1913.timcieplowski.com/word/temperatures/</x:v>
      </x:c>
      <x:c r="S47" s="43" t="str">
        <x:v>2026-08-26</x:v>
      </x:c>
      <x:c r="T47" s="46" t="str">
        <x:v>RECONSTRUCTED_FROM_REPORT; Fear of Temperature_ Stratified Lexical Expansion, Voice Mapping, and Semantic-Relational Pre-Valida.pdf; p.8; project candidate FT-SEED-R1B-P-1938-13; original visible ID not available</x:v>
      </x:c>
    </x:row>
    <x:row r="48" ht="38" customHeight="1">
      <x:c r="A48" s="25" t="str">
        <x:v>FT-SEED-R1B-P-1938-14</x:v>
      </x:c>
      <x:c r="B48" s="19" t="str">
        <x:v>1938</x:v>
      </x:c>
      <x:c r="C48" s="28" t="n">
        <x:v>14</x:v>
      </x:c>
      <x:c r="D48" s="31" t="str">
        <x:v>actually increased</x:v>
      </x:c>
      <x:c r="E48" s="31" t="str">
        <x:v>temperature increase</x:v>
      </x:c>
      <x:c r="F48" s="19" t="str">
        <x:v>warming</x:v>
      </x:c>
      <x:c r="G48" s="31" t="str">
        <x:v>NO_STANDALONE_HEADWORD</x:v>
      </x:c>
      <x:c r="H48" s="19" t="str">
        <x:v>NO</x:v>
      </x:c>
      <x:c r="I48" s="19" t="str">
        <x:v>Component lexical analysis plus anchor-source contextual meaning</x:v>
      </x:c>
      <x:c r="J48" s="19" t="str">
        <x:v>Component headword checked: increased.</x:v>
      </x:c>
      <x:c r="K48" s="19" t="str">
        <x:v>Anchor-period research source/context; Webster 1913 stable component URL recorded but automated page retrieval was unavailable</x:v>
      </x:c>
      <x:c r="L48" s="31" t="str">
        <x:v>An observed, estimated, or projected increase in temperature; the candidate is interpreted in its documented anchor and voice context.</x:v>
      </x:c>
      <x:c r="M48" s="31" t="str">
        <x:v>A physical temperature, warming, heat, or measurement sense in the documented anchor context.</x:v>
      </x:c>
      <x:c r="N48" s="31" t="str">
        <x:v>An observed, estimated, or projected increase in temperature; the candidate is interpreted in its documented anchor and voice context.</x:v>
      </x:c>
      <x:c r="O48" s="31" t="str">
        <x:v>STRONG</x:v>
      </x:c>
      <x:c r="P48" s="19" t="str">
        <x:v>NOT_LOCATED</x:v>
      </x:c>
      <x:c r="Q48" s="31" t="str">
        <x:v>The surface form may realize multiple senses; candidate meaning remains anchored to the report-visible source context.</x:v>
      </x:c>
      <x:c r="R48" s="31" t="str">
        <x:v>Fear of Temperature_ Stratified Lexical Expansion, Voice Mapping, and Semantic-Relational Pre-Valida.pdf#page=8; https://api.dictionaryapi.dev/api/v2/entries/en/actually%20increased; https://websters1913.timcieplowski.com/word/increased/</x:v>
      </x:c>
      <x:c r="S48" s="43" t="str">
        <x:v>2026-08-26</x:v>
      </x:c>
      <x:c r="T48" s="46" t="str">
        <x:v>RECONSTRUCTED_FROM_REPORT; Fear of Temperature_ Stratified Lexical Expansion, Voice Mapping, and Semantic-Relational Pre-Valida.pdf; p.8; project candidate FT-SEED-R1B-P-1938-14; original visible ID not available</x:v>
      </x:c>
    </x:row>
    <x:row r="49" ht="38" customHeight="1">
      <x:c r="A49" s="25" t="str">
        <x:v>FT-SEED-R1B-P-1938-15</x:v>
      </x:c>
      <x:c r="B49" s="19" t="str">
        <x:v>1938</x:v>
      </x:c>
      <x:c r="C49" s="28" t="n">
        <x:v>15</x:v>
      </x:c>
      <x:c r="D49" s="31" t="str">
        <x:v>average rate</x:v>
      </x:c>
      <x:c r="E49" s="31" t="str">
        <x:v>local / instrumental temperature</x:v>
      </x:c>
      <x:c r="F49" s="19" t="str">
        <x:v>temperature_threshold</x:v>
      </x:c>
      <x:c r="G49" s="31" t="str">
        <x:v>NO_STANDALONE_HEADWORD</x:v>
      </x:c>
      <x:c r="H49" s="19" t="str">
        <x:v>NO</x:v>
      </x:c>
      <x:c r="I49" s="19" t="str">
        <x:v>Component lexical analysis plus anchor-source contextual meaning</x:v>
      </x:c>
      <x:c r="J49" s="19" t="str">
        <x:v>Component headword checked: rate.</x:v>
      </x:c>
      <x:c r="K49" s="19" t="str">
        <x:v>Anchor-period research source/context; Webster 1913 stable component URL recorded but automated page retrieval was unavailable</x:v>
      </x:c>
      <x:c r="L49" s="31" t="str">
        <x:v>A local or instrument-specific temperature reading; the candidate is interpreted in its documented anchor and voice context.</x:v>
      </x:c>
      <x:c r="M49" s="31" t="str">
        <x:v>A physical temperature, warming, heat, or measurement sense in the documented anchor context.</x:v>
      </x:c>
      <x:c r="N49" s="31" t="str">
        <x:v>A local or instrument-specific temperature reading; the candidate is interpreted in its documented anchor and voice context.</x:v>
      </x:c>
      <x:c r="O49" s="31" t="str">
        <x:v>STRONG</x:v>
      </x:c>
      <x:c r="P49" s="19" t="str">
        <x:v>NOT_LOCATED</x:v>
      </x:c>
      <x:c r="Q49" s="31" t="str">
        <x:v>The surface form may realize multiple senses; candidate meaning remains anchored to the report-visible source context.</x:v>
      </x:c>
      <x:c r="R49" s="31" t="str">
        <x:v>Fear of Temperature_ Stratified Lexical Expansion, Voice Mapping, and Semantic-Relational Pre-Valida.pdf#page=8; https://api.dictionaryapi.dev/api/v2/entries/en/average%20rate; https://websters1913.timcieplowski.com/word/rate/</x:v>
      </x:c>
      <x:c r="S49" s="43" t="str">
        <x:v>2026-08-26</x:v>
      </x:c>
      <x:c r="T49" s="46" t="str">
        <x:v>RECONSTRUCTED_FROM_REPORT; Fear of Temperature_ Stratified Lexical Expansion, Voice Mapping, and Semantic-Relational Pre-Valida.pdf; p.8; project candidate FT-SEED-R1B-P-1938-15; original visible ID not available</x:v>
      </x:c>
    </x:row>
    <x:row r="50" ht="38" customHeight="1">
      <x:c r="A50" s="25" t="str">
        <x:v>FT-SEED-R1B-P-1938-16</x:v>
      </x:c>
      <x:c r="B50" s="19" t="str">
        <x:v>1938</x:v>
      </x:c>
      <x:c r="C50" s="28" t="n">
        <x:v>16</x:v>
      </x:c>
      <x:c r="D50" s="31" t="str">
        <x:v>small increases in mean temperature</x:v>
      </x:c>
      <x:c r="E50" s="31" t="str">
        <x:v>mean temperature</x:v>
      </x:c>
      <x:c r="F50" s="19" t="str">
        <x:v>temperature_threshold</x:v>
      </x:c>
      <x:c r="G50" s="31" t="str">
        <x:v>NO_STANDALONE_HEADWORD</x:v>
      </x:c>
      <x:c r="H50" s="19" t="str">
        <x:v>NO</x:v>
      </x:c>
      <x:c r="I50" s="19" t="str">
        <x:v>Component lexical analysis plus anchor-source contextual meaning</x:v>
      </x:c>
      <x:c r="J50" s="19" t="str">
        <x:v>Component headword checked: temperature.</x:v>
      </x:c>
      <x:c r="K50" s="19" t="str">
        <x:v>Anchor-period research source/context; Webster 1913 stable component URL recorded but automated page retrieval was unavailable</x:v>
      </x:c>
      <x:c r="L50" s="31" t="str">
        <x:v>A temporally or spatially averaged temperature value; the candidate is interpreted in its documented anchor and voice context.</x:v>
      </x:c>
      <x:c r="M50" s="31" t="str">
        <x:v>A physical temperature, warming, heat, or measurement sense in the documented anchor context.</x:v>
      </x:c>
      <x:c r="N50" s="31" t="str">
        <x:v>A temporally or spatially averaged temperature value; the candidate is interpreted in its documented anchor and voice context.</x:v>
      </x:c>
      <x:c r="O50" s="31" t="str">
        <x:v>STRONG</x:v>
      </x:c>
      <x:c r="P50" s="19" t="str">
        <x:v>NOT_LOCATED</x:v>
      </x:c>
      <x:c r="Q50" s="31" t="str">
        <x:v>The surface form may realize multiple senses; candidate meaning remains anchored to the report-visible source context.</x:v>
      </x:c>
      <x:c r="R50" s="31" t="str">
        <x:v>Fear of Temperature_ Stratified Lexical Expansion, Voice Mapping, and Semantic-Relational Pre-Valida.pdf#page=8; https://api.dictionaryapi.dev/api/v2/entries/en/small%20increases%20in%20mean%20temperature; https://websters1913.timcieplowski.com/word/temperature/</x:v>
      </x:c>
      <x:c r="S50" s="43" t="str">
        <x:v>2026-08-26</x:v>
      </x:c>
      <x:c r="T50" s="46" t="str">
        <x:v>RECONSTRUCTED_FROM_REPORT; Fear of Temperature_ Stratified Lexical Expansion, Voice Mapping, and Semantic-Relational Pre-Valida.pdf; p.8; project candidate FT-SEED-R1B-P-1938-16; original visible ID not available</x:v>
      </x:c>
    </x:row>
    <x:row r="51" ht="38" customHeight="1">
      <x:c r="A51" s="25" t="str">
        <x:v>FT-SEED-R1B-P-1938-17</x:v>
      </x:c>
      <x:c r="B51" s="19" t="str">
        <x:v>1938</x:v>
      </x:c>
      <x:c r="C51" s="28" t="n">
        <x:v>17</x:v>
      </x:c>
      <x:c r="D51" s="31" t="str">
        <x:v>deadly glaciers</x:v>
      </x:c>
      <x:c r="E51" s="31" t="str">
        <x:v>institutional climate threat</x:v>
      </x:c>
      <x:c r="F51" s="19" t="str">
        <x:v>danger_threat</x:v>
      </x:c>
      <x:c r="G51" s="31" t="str">
        <x:v>NO_STANDALONE_HEADWORD</x:v>
      </x:c>
      <x:c r="H51" s="19" t="str">
        <x:v>NO</x:v>
      </x:c>
      <x:c r="I51" s="19" t="str">
        <x:v>Component lexical analysis plus anchor-source contextual meaning</x:v>
      </x:c>
      <x:c r="J51" s="19" t="str">
        <x:v>Component headword checked: glaciers.</x:v>
      </x:c>
      <x:c r="K51" s="19" t="str">
        <x:v>Anchor-period research source/context; Webster 1913 stable component URL recorded but automated page retrieval was unavailable</x:v>
      </x:c>
      <x:c r="L51" s="31" t="str">
        <x:v>Climate change framed as an institutional threat; the candidate is interpreted in its documented anchor and voice context.</x:v>
      </x:c>
      <x:c r="M51" s="31" t="str">
        <x:v>A threat, risk, harm, severity, or consequence sense in the documented source; it is not automatically an emotion.</x:v>
      </x:c>
      <x:c r="N51" s="31" t="str">
        <x:v>Climate change framed as an institutional threat; the candidate is interpreted in its documented anchor and voice context.</x:v>
      </x:c>
      <x:c r="O51" s="31" t="str">
        <x:v>STRONG</x:v>
      </x:c>
      <x:c r="P51" s="19" t="str">
        <x:v>NOT_LOCATED</x:v>
      </x:c>
      <x:c r="Q51" s="31" t="str">
        <x:v>The surface form may realize multiple senses; candidate meaning remains anchored to the report-visible source context.</x:v>
      </x:c>
      <x:c r="R51" s="31" t="str">
        <x:v>Fear of Temperature_ Stratified Lexical Expansion, Voice Mapping, and Semantic-Relational Pre-Valida.pdf#page=8; https://api.dictionaryapi.dev/api/v2/entries/en/deadly%20glaciers; https://websters1913.timcieplowski.com/word/glaciers/</x:v>
      </x:c>
      <x:c r="S51" s="43" t="str">
        <x:v>2026-08-26</x:v>
      </x:c>
      <x:c r="T51" s="46" t="str">
        <x:v>RECONSTRUCTED_FROM_REPORT; Fear of Temperature_ Stratified Lexical Expansion, Voice Mapping, and Semantic-Relational Pre-Valida.pdf; p.8; project candidate FT-SEED-R1B-P-1938-17; original visible ID not available</x:v>
      </x:c>
    </x:row>
    <x:row r="52" ht="38" customHeight="1">
      <x:c r="A52" s="25" t="str">
        <x:v>FT-SEED-R1B-P-1938-18</x:v>
      </x:c>
      <x:c r="B52" s="19" t="str">
        <x:v>1938</x:v>
      </x:c>
      <x:c r="C52" s="28" t="n">
        <x:v>18</x:v>
      </x:c>
      <x:c r="D52" s="31" t="str">
        <x:v>rather a coincidence</x:v>
      </x:c>
      <x:c r="E52" s="31" t="str">
        <x:v>personal concern</x:v>
      </x:c>
      <x:c r="F52" s="19" t="str">
        <x:v>concern_alarm</x:v>
      </x:c>
      <x:c r="G52" s="31" t="str">
        <x:v>NO_STANDALONE_HEADWORD</x:v>
      </x:c>
      <x:c r="H52" s="19" t="str">
        <x:v>NO</x:v>
      </x:c>
      <x:c r="I52" s="19" t="str">
        <x:v>Component lexical analysis plus anchor-source contextual meaning</x:v>
      </x:c>
      <x:c r="J52" s="19" t="str">
        <x:v>Component headword checked: coincidence.</x:v>
      </x:c>
      <x:c r="K52" s="19" t="str">
        <x:v>Anchor-period research source/context; Webster 1913 stable component URL recorded but automated page retrieval was unavailable</x:v>
      </x:c>
      <x:c r="L52" s="31" t="str">
        <x:v>Concern expressed or endorsed by an identifiable person about a climate or heat object; the candidate is interpreted in its documented anchor and voice context.</x:v>
      </x:c>
      <x:c r="M52" s="31" t="str">
        <x:v>An epistemic evaluation that two observations may coincide rather than stand in a causal relation; normally no affect.</x:v>
      </x:c>
      <x:c r="N52" s="31" t="str">
        <x:v>Concern expressed or endorsed by an identifiable person about a climate or heat object; the candidate is interpreted in its documented anchor and voice context.</x:v>
      </x:c>
      <x:c r="O52" s="31" t="str">
        <x:v>STRONG</x:v>
      </x:c>
      <x:c r="P52" s="19" t="str">
        <x:v>NOT_LOCATED</x:v>
      </x:c>
      <x:c r="Q52" s="31" t="str">
        <x:v>Coincidence has epistemic and event-overlap senses; neither should be recoded as emotion here.</x:v>
      </x:c>
      <x:c r="R52" s="31" t="str">
        <x:v>Fear of Temperature_ Stratified Lexical Expansion, Voice Mapping, and Semantic-Relational Pre-Valida.pdf#page=8; https://api.dictionaryapi.dev/api/v2/entries/en/rather%20a%20coincidence; https://websters1913.timcieplowski.com/word/coincidence/</x:v>
      </x:c>
      <x:c r="S52" s="43" t="str">
        <x:v>2026-08-26</x:v>
      </x:c>
      <x:c r="T52" s="46" t="str">
        <x:v>RECONSTRUCTED_FROM_REPORT; Fear of Temperature_ Stratified Lexical Expansion, Voice Mapping, and Semantic-Relational Pre-Valida.pdf; p.8; project candidate FT-SEED-R1B-P-1938-18; original visible ID not available</x:v>
      </x:c>
    </x:row>
    <x:row r="53" ht="38" customHeight="1">
      <x:c r="A53" s="25" t="str">
        <x:v>FT-SEED-R1B-P-1938-19</x:v>
      </x:c>
      <x:c r="B53" s="19" t="str">
        <x:v>1938</x:v>
      </x:c>
      <x:c r="C53" s="28" t="n">
        <x:v>19</x:v>
      </x:c>
      <x:c r="D53" s="31" t="str">
        <x:v>Hottest Day for Ten Years</x:v>
      </x:c>
      <x:c r="E53" s="31" t="str">
        <x:v>heatwave / weather event</x:v>
      </x:c>
      <x:c r="F53" s="19" t="str">
        <x:v>heat</x:v>
      </x:c>
      <x:c r="G53" s="31" t="str">
        <x:v>NO_STANDALONE_HEADWORD</x:v>
      </x:c>
      <x:c r="H53" s="19" t="str">
        <x:v>NO</x:v>
      </x:c>
      <x:c r="I53" s="19" t="str">
        <x:v>Component lexical analysis plus anchor-source contextual meaning</x:v>
      </x:c>
      <x:c r="J53" s="19" t="str">
        <x:v>Component headword checked: years.</x:v>
      </x:c>
      <x:c r="K53" s="19" t="str">
        <x:v>Anchor-period research source/context; Webster 1913 stable component URL recorded but automated page retrieval was unavailable</x:v>
      </x:c>
      <x:c r="L53" s="31" t="str">
        <x:v>A bounded hot-weather or heatwave event; the candidate is interpreted in its documented anchor and voice context.</x:v>
      </x:c>
      <x:c r="M53" s="31" t="str">
        <x:v>A physical temperature, warming, heat, or measurement sense in the documented anchor context.</x:v>
      </x:c>
      <x:c r="N53" s="31" t="str">
        <x:v>A bounded hot-weather or heatwave event; the candidate is interpreted in its documented anchor and voice context.</x:v>
      </x:c>
      <x:c r="O53" s="31" t="str">
        <x:v>STRONG</x:v>
      </x:c>
      <x:c r="P53" s="19" t="str">
        <x:v>NOT_LOCATED</x:v>
      </x:c>
      <x:c r="Q53" s="31" t="str">
        <x:v>The surface form may realize multiple senses; candidate meaning remains anchored to the report-visible source context.</x:v>
      </x:c>
      <x:c r="R53" s="31" t="str">
        <x:v>Fear of Temperature_ Stratified Lexical Expansion, Voice Mapping, and Semantic-Relational Pre-Valida.pdf#page=8; https://api.dictionaryapi.dev/api/v2/entries/en/Hottest%20Day%20for%20Ten%20Years; https://websters1913.timcieplowski.com/word/years/</x:v>
      </x:c>
      <x:c r="S53" s="43" t="str">
        <x:v>2026-08-26</x:v>
      </x:c>
      <x:c r="T53" s="46" t="str">
        <x:v>RECONSTRUCTED_FROM_REPORT; Fear of Temperature_ Stratified Lexical Expansion, Voice Mapping, and Semantic-Relational Pre-Valida.pdf; p.8; project candidate FT-SEED-R1B-P-1938-19; original visible ID not available</x:v>
      </x:c>
    </x:row>
    <x:row r="54" ht="38" customHeight="1">
      <x:c r="A54" s="25" t="str">
        <x:v>FT-SEED-R1B-P-1938-20</x:v>
      </x:c>
      <x:c r="B54" s="19" t="str">
        <x:v>1938</x:v>
      </x:c>
      <x:c r="C54" s="28" t="n">
        <x:v>20</x:v>
      </x:c>
      <x:c r="D54" s="31" t="str">
        <x:v>Heat Wave Over Queensland</x:v>
      </x:c>
      <x:c r="E54" s="31" t="str">
        <x:v>heatwave / weather event</x:v>
      </x:c>
      <x:c r="F54" s="19" t="str">
        <x:v>heat</x:v>
      </x:c>
      <x:c r="G54" s="31" t="str">
        <x:v>NO_STANDALONE_HEADWORD</x:v>
      </x:c>
      <x:c r="H54" s="19" t="str">
        <x:v>NO</x:v>
      </x:c>
      <x:c r="I54" s="19" t="str">
        <x:v>Component lexical analysis plus anchor-source contextual meaning</x:v>
      </x:c>
      <x:c r="J54" s="19" t="str">
        <x:v>Component headword checked: queensland.</x:v>
      </x:c>
      <x:c r="K54" s="19" t="str">
        <x:v>Anchor-period research source/context; Webster 1913 stable component URL recorded but automated page retrieval was unavailable</x:v>
      </x:c>
      <x:c r="L54" s="31" t="str">
        <x:v>A bounded hot-weather or heatwave event; the candidate is interpreted in its documented anchor and voice context.</x:v>
      </x:c>
      <x:c r="M54" s="31" t="str">
        <x:v>A physical temperature, warming, heat, or measurement sense in the documented anchor context.</x:v>
      </x:c>
      <x:c r="N54" s="31" t="str">
        <x:v>A bounded hot-weather or heatwave event; the candidate is interpreted in its documented anchor and voice context.</x:v>
      </x:c>
      <x:c r="O54" s="31" t="str">
        <x:v>STRONG</x:v>
      </x:c>
      <x:c r="P54" s="19" t="str">
        <x:v>NOT_LOCATED</x:v>
      </x:c>
      <x:c r="Q54" s="31" t="str">
        <x:v>The surface form may realize multiple senses; candidate meaning remains anchored to the report-visible source context.</x:v>
      </x:c>
      <x:c r="R54" s="31" t="str">
        <x:v>Fear of Temperature_ Stratified Lexical Expansion, Voice Mapping, and Semantic-Relational Pre-Valida.pdf#page=8; https://api.dictionaryapi.dev/api/v2/entries/en/Heat%20Wave%20Over%20Queensland; https://websters1913.timcieplowski.com/word/queensland/</x:v>
      </x:c>
      <x:c r="S54" s="43" t="str">
        <x:v>2026-08-26</x:v>
      </x:c>
      <x:c r="T54" s="46" t="str">
        <x:v>RECONSTRUCTED_FROM_REPORT; Fear of Temperature_ Stratified Lexical Expansion, Voice Mapping, and Semantic-Relational Pre-Valida.pdf; p.8; project candidate FT-SEED-R1B-P-1938-20; original visible ID not available</x:v>
      </x:c>
    </x:row>
    <x:row r="55" ht="38" customHeight="1">
      <x:c r="A55" s="25" t="str">
        <x:v>FT-SEED-R1B-P-1938-21</x:v>
      </x:c>
      <x:c r="B55" s="19" t="str">
        <x:v>1938</x:v>
      </x:c>
      <x:c r="C55" s="28" t="n">
        <x:v>21</x:v>
      </x:c>
      <x:c r="D55" s="31" t="str">
        <x:v>heat wave</x:v>
      </x:c>
      <x:c r="E55" s="31" t="str">
        <x:v>heatwave / weather event</x:v>
      </x:c>
      <x:c r="F55" s="19" t="str">
        <x:v>heat</x:v>
      </x:c>
      <x:c r="G55" s="31" t="str">
        <x:v>NO_STANDALONE_HEADWORD</x:v>
      </x:c>
      <x:c r="H55" s="19" t="str">
        <x:v>NO</x:v>
      </x:c>
      <x:c r="I55" s="19" t="str">
        <x:v>Component lexical analysis plus anchor-source contextual meaning</x:v>
      </x:c>
      <x:c r="J55" s="19" t="str">
        <x:v>Component headword checked: wave.</x:v>
      </x:c>
      <x:c r="K55" s="19" t="str">
        <x:v>Anchor-period research source/context; Webster 1913 stable component URL recorded but automated page retrieval was unavailable</x:v>
      </x:c>
      <x:c r="L55" s="31" t="str">
        <x:v>A bounded hot-weather or heatwave event; the candidate is interpreted in its documented anchor and voice context.</x:v>
      </x:c>
      <x:c r="M55" s="31" t="str">
        <x:v>A physical temperature, warming, heat, or measurement sense in the documented anchor context.</x:v>
      </x:c>
      <x:c r="N55" s="31" t="str">
        <x:v>A bounded hot-weather or heatwave event; the candidate is interpreted in its documented anchor and voice context.</x:v>
      </x:c>
      <x:c r="O55" s="31" t="str">
        <x:v>STRONG</x:v>
      </x:c>
      <x:c r="P55" s="19" t="str">
        <x:v>NOT_LOCATED</x:v>
      </x:c>
      <x:c r="Q55" s="31" t="str">
        <x:v>The surface form may realize multiple senses; candidate meaning remains anchored to the report-visible source context.</x:v>
      </x:c>
      <x:c r="R55" s="31" t="str">
        <x:v>Fear of Temperature_ Stratified Lexical Expansion, Voice Mapping, and Semantic-Relational Pre-Valida.pdf#page=9; https://api.dictionaryapi.dev/api/v2/entries/en/heat%20wave; https://websters1913.timcieplowski.com/word/wave/</x:v>
      </x:c>
      <x:c r="S55" s="43" t="str">
        <x:v>2026-08-26</x:v>
      </x:c>
      <x:c r="T55" s="46" t="str">
        <x:v>RECONSTRUCTED_FROM_REPORT; Fear of Temperature_ Stratified Lexical Expansion, Voice Mapping, and Semantic-Relational Pre-Valida.pdf; p.7; project candidate FT-SEED-R1B-P-1938-21; original visible ID not available</x:v>
      </x:c>
    </x:row>
    <x:row r="56" ht="38" customHeight="1">
      <x:c r="A56" s="25" t="str">
        <x:v>FT-SEED-R1B-P-1938-22</x:v>
      </x:c>
      <x:c r="B56" s="19" t="str">
        <x:v>1938</x:v>
      </x:c>
      <x:c r="C56" s="28" t="n">
        <x:v>22</x:v>
      </x:c>
      <x:c r="D56" s="31" t="str">
        <x:v>40-degree temperatures</x:v>
      </x:c>
      <x:c r="E56" s="31" t="str">
        <x:v>local / instrumental temperature</x:v>
      </x:c>
      <x:c r="F56" s="19" t="str">
        <x:v>temperature_threshold</x:v>
      </x:c>
      <x:c r="G56" s="31" t="str">
        <x:v>NO_STANDALONE_HEADWORD</x:v>
      </x:c>
      <x:c r="H56" s="19" t="str">
        <x:v>NO</x:v>
      </x:c>
      <x:c r="I56" s="19" t="str">
        <x:v>Component lexical analysis plus anchor-source contextual meaning</x:v>
      </x:c>
      <x:c r="J56" s="19" t="str">
        <x:v>Component headword checked: temperatures.</x:v>
      </x:c>
      <x:c r="K56" s="19" t="str">
        <x:v>Anchor-period research source/context; Webster 1913 stable component URL recorded but automated page retrieval was unavailable</x:v>
      </x:c>
      <x:c r="L56" s="31" t="str">
        <x:v>A local or instrument-specific temperature reading; the candidate is interpreted in its documented anchor and voice context.</x:v>
      </x:c>
      <x:c r="M56" s="31" t="str">
        <x:v>A physical temperature, warming, heat, or measurement sense in the documented anchor context.</x:v>
      </x:c>
      <x:c r="N56" s="31" t="str">
        <x:v>A local or instrument-specific temperature reading; the candidate is interpreted in its documented anchor and voice context.</x:v>
      </x:c>
      <x:c r="O56" s="31" t="str">
        <x:v>STRONG</x:v>
      </x:c>
      <x:c r="P56" s="19" t="str">
        <x:v>NOT_LOCATED</x:v>
      </x:c>
      <x:c r="Q56" s="31" t="str">
        <x:v>The surface form may realize multiple senses; candidate meaning remains anchored to the report-visible source context.</x:v>
      </x:c>
      <x:c r="R56" s="31" t="str">
        <x:v>Fear of Temperature_ Stratified Lexical Expansion, Voice Mapping, and Semantic-Relational Pre-Valida.pdf#page=7; https://api.dictionaryapi.dev/api/v2/entries/en/40-degree%20temperatures; https://websters1913.timcieplowski.com/word/temperatures/</x:v>
      </x:c>
      <x:c r="S56" s="43" t="str">
        <x:v>2026-08-26</x:v>
      </x:c>
      <x:c r="T56" s="46" t="str">
        <x:v>RECONSTRUCTED_FROM_REPORT; Fear of Temperature_ Stratified Lexical Expansion, Voice Mapping, and Semantic-Relational Pre-Valida.pdf; p.7; project candidate FT-SEED-R1B-P-1938-22; original visible ID not available</x:v>
      </x:c>
    </x:row>
    <x:row r="57" ht="38" customHeight="1">
      <x:c r="A57" s="25" t="str">
        <x:v>FT-SEED-R1B-P-1938-23</x:v>
      </x:c>
      <x:c r="B57" s="19" t="str">
        <x:v>1938</x:v>
      </x:c>
      <x:c r="C57" s="28" t="n">
        <x:v>23</x:v>
      </x:c>
      <x:c r="D57" s="31" t="str">
        <x:v>scorching westerly wind</x:v>
      </x:c>
      <x:c r="E57" s="31" t="str">
        <x:v>heatwave / weather event</x:v>
      </x:c>
      <x:c r="F57" s="19" t="str">
        <x:v>heat</x:v>
      </x:c>
      <x:c r="G57" s="31" t="str">
        <x:v>NO_STANDALONE_HEADWORD</x:v>
      </x:c>
      <x:c r="H57" s="19" t="str">
        <x:v>NO</x:v>
      </x:c>
      <x:c r="I57" s="19" t="str">
        <x:v>Component lexical analysis plus anchor-source contextual meaning</x:v>
      </x:c>
      <x:c r="J57" s="19" t="str">
        <x:v>Component headword checked: wind.</x:v>
      </x:c>
      <x:c r="K57" s="19" t="str">
        <x:v>Anchor-period research source/context; Webster 1913 stable component URL recorded but automated page retrieval was unavailable</x:v>
      </x:c>
      <x:c r="L57" s="31" t="str">
        <x:v>A bounded hot-weather or heatwave event; the candidate is interpreted in its documented anchor and voice context.</x:v>
      </x:c>
      <x:c r="M57" s="31" t="str">
        <x:v>A threat, risk, harm, severity, or consequence sense in the documented source; it is not automatically an emotion.</x:v>
      </x:c>
      <x:c r="N57" s="31" t="str">
        <x:v>A bounded hot-weather or heatwave event; the candidate is interpreted in its documented anchor and voice context.</x:v>
      </x:c>
      <x:c r="O57" s="31" t="str">
        <x:v>STRONG</x:v>
      </x:c>
      <x:c r="P57" s="19" t="str">
        <x:v>NOT_LOCATED</x:v>
      </x:c>
      <x:c r="Q57" s="31" t="str">
        <x:v>The surface form may realize multiple senses; candidate meaning remains anchored to the report-visible source context.</x:v>
      </x:c>
      <x:c r="R57" s="31" t="str">
        <x:v>Fear of Temperature_ Stratified Lexical Expansion, Voice Mapping, and Semantic-Relational Pre-Valida.pdf#page=8; https://api.dictionaryapi.dev/api/v2/entries/en/scorching%20westerly%20wind; https://websters1913.timcieplowski.com/word/wind/</x:v>
      </x:c>
      <x:c r="S57" s="43" t="str">
        <x:v>2026-08-26</x:v>
      </x:c>
      <x:c r="T57" s="46" t="str">
        <x:v>RECONSTRUCTED_FROM_REPORT; Fear of Temperature_ Stratified Lexical Expansion, Voice Mapping, and Semantic-Relational Pre-Valida.pdf; p.8; project candidate FT-SEED-R1B-P-1938-23; original visible ID not available</x:v>
      </x:c>
    </x:row>
    <x:row r="58" ht="38" customHeight="1">
      <x:c r="A58" s="25" t="str">
        <x:v>FT-SEED-R1B-P-1938-24</x:v>
      </x:c>
      <x:c r="B58" s="19" t="str">
        <x:v>1938</x:v>
      </x:c>
      <x:c r="C58" s="28" t="n">
        <x:v>24</x:v>
      </x:c>
      <x:c r="D58" s="31" t="str">
        <x:v>pitiless sun</x:v>
      </x:c>
      <x:c r="E58" s="31" t="str">
        <x:v>physical heat source / state</x:v>
      </x:c>
      <x:c r="F58" s="19" t="str">
        <x:v>heat</x:v>
      </x:c>
      <x:c r="G58" s="31" t="str">
        <x:v>NO_STANDALONE_HEADWORD</x:v>
      </x:c>
      <x:c r="H58" s="19" t="str">
        <x:v>NO</x:v>
      </x:c>
      <x:c r="I58" s="19" t="str">
        <x:v>Component lexical analysis plus anchor-source contextual meaning</x:v>
      </x:c>
      <x:c r="J58" s="19" t="str">
        <x:v>Component headword checked: sun.</x:v>
      </x:c>
      <x:c r="K58" s="19" t="str">
        <x:v>Anchor-period research source/context; Webster 1913 stable component URL recorded but automated page retrieval was unavailable</x:v>
      </x:c>
      <x:c r="L58" s="31" t="str">
        <x:v>Heat as a physical source, state, or thermal condition; the candidate is interpreted in its documented anchor and voice context.</x:v>
      </x:c>
      <x:c r="M58" s="31" t="str">
        <x:v>A threat, risk, harm, severity, or consequence sense in the documented source; it is not automatically an emotion.</x:v>
      </x:c>
      <x:c r="N58" s="31" t="str">
        <x:v>Heat as a physical source, state, or thermal condition; the candidate is interpreted in its documented anchor and voice context.</x:v>
      </x:c>
      <x:c r="O58" s="31" t="str">
        <x:v>STRONG</x:v>
      </x:c>
      <x:c r="P58" s="19" t="str">
        <x:v>NOT_LOCATED</x:v>
      </x:c>
      <x:c r="Q58" s="31" t="str">
        <x:v>The surface form may realize multiple senses; candidate meaning remains anchored to the report-visible source context.</x:v>
      </x:c>
      <x:c r="R58" s="31" t="str">
        <x:v>Fear of Temperature_ Stratified Lexical Expansion, Voice Mapping, and Semantic-Relational Pre-Valida.pdf#page=8; https://api.dictionaryapi.dev/api/v2/entries/en/pitiless%20sun; https://websters1913.timcieplowski.com/word/sun/</x:v>
      </x:c>
      <x:c r="S58" s="43" t="str">
        <x:v>2026-08-26</x:v>
      </x:c>
      <x:c r="T58" s="46" t="str">
        <x:v>RECONSTRUCTED_FROM_REPORT; Fear of Temperature_ Stratified Lexical Expansion, Voice Mapping, and Semantic-Relational Pre-Valida.pdf; p.8; project candidate FT-SEED-R1B-P-1938-24; original visible ID not available</x:v>
      </x:c>
    </x:row>
    <x:row r="59" ht="38" customHeight="1">
      <x:c r="A59" s="25" t="str">
        <x:v>FT-SEED-R1B-P-1938-25</x:v>
      </x:c>
      <x:c r="B59" s="19" t="str">
        <x:v>1938</x:v>
      </x:c>
      <x:c r="C59" s="28" t="n">
        <x:v>25</x:v>
      </x:c>
      <x:c r="D59" s="31" t="str">
        <x:v>hottest spell for years</x:v>
      </x:c>
      <x:c r="E59" s="31" t="str">
        <x:v>heatwave / weather event</x:v>
      </x:c>
      <x:c r="F59" s="19" t="str">
        <x:v>heat</x:v>
      </x:c>
      <x:c r="G59" s="31" t="str">
        <x:v>NO_STANDALONE_HEADWORD</x:v>
      </x:c>
      <x:c r="H59" s="19" t="str">
        <x:v>NO</x:v>
      </x:c>
      <x:c r="I59" s="19" t="str">
        <x:v>Component lexical analysis plus anchor-source contextual meaning</x:v>
      </x:c>
      <x:c r="J59" s="19" t="str">
        <x:v>Component headword checked: years.</x:v>
      </x:c>
      <x:c r="K59" s="19" t="str">
        <x:v>Anchor-period research source/context; Webster 1913 stable component URL recorded but automated page retrieval was unavailable</x:v>
      </x:c>
      <x:c r="L59" s="31" t="str">
        <x:v>A bounded hot-weather or heatwave event; the candidate is interpreted in its documented anchor and voice context.</x:v>
      </x:c>
      <x:c r="M59" s="31" t="str">
        <x:v>A physical temperature, warming, heat, or measurement sense in the documented anchor context.</x:v>
      </x:c>
      <x:c r="N59" s="31" t="str">
        <x:v>A bounded hot-weather or heatwave event; the candidate is interpreted in its documented anchor and voice context.</x:v>
      </x:c>
      <x:c r="O59" s="31" t="str">
        <x:v>STRONG</x:v>
      </x:c>
      <x:c r="P59" s="19" t="str">
        <x:v>NOT_LOCATED</x:v>
      </x:c>
      <x:c r="Q59" s="31" t="str">
        <x:v>The surface form may realize multiple senses; candidate meaning remains anchored to the report-visible source context.</x:v>
      </x:c>
      <x:c r="R59" s="31" t="str">
        <x:v>Fear of Temperature_ Stratified Lexical Expansion, Voice Mapping, and Semantic-Relational Pre-Valida.pdf#page=8; https://api.dictionaryapi.dev/api/v2/entries/en/hottest%20spell%20for%20years; https://websters1913.timcieplowski.com/word/years/</x:v>
      </x:c>
      <x:c r="S59" s="43" t="str">
        <x:v>2026-08-26</x:v>
      </x:c>
      <x:c r="T59" s="46" t="str">
        <x:v>RECONSTRUCTED_FROM_REPORT; Fear of Temperature_ Stratified Lexical Expansion, Voice Mapping, and Semantic-Relational Pre-Valida.pdf; p.8; project candidate FT-SEED-R1B-P-1938-25; original visible ID not available</x:v>
      </x:c>
    </x:row>
    <x:row r="60" ht="38" customHeight="1">
      <x:c r="A60" s="25" t="str">
        <x:v>FT-SEED-R1B-P-1938-26</x:v>
      </x:c>
      <x:c r="B60" s="19" t="str">
        <x:v>1938</x:v>
      </x:c>
      <x:c r="C60" s="28" t="n">
        <x:v>26</x:v>
      </x:c>
      <x:c r="D60" s="31" t="str">
        <x:v>weather is just bearable</x:v>
      </x:c>
      <x:c r="E60" s="31" t="str">
        <x:v>personal concern</x:v>
      </x:c>
      <x:c r="F60" s="19" t="str">
        <x:v>concern_alarm</x:v>
      </x:c>
      <x:c r="G60" s="31" t="str">
        <x:v>NO_STANDALONE_HEADWORD</x:v>
      </x:c>
      <x:c r="H60" s="19" t="str">
        <x:v>NO</x:v>
      </x:c>
      <x:c r="I60" s="19" t="str">
        <x:v>Component lexical analysis plus anchor-source contextual meaning</x:v>
      </x:c>
      <x:c r="J60" s="19" t="str">
        <x:v>Component headword checked: bearable.</x:v>
      </x:c>
      <x:c r="K60" s="19" t="str">
        <x:v>Anchor-period research source/context; Webster 1913 stable component URL recorded but automated page retrieval was unavailable</x:v>
      </x:c>
      <x:c r="L60" s="31" t="str">
        <x:v>Concern expressed or endorsed by an identifiable person about a climate or heat object; the candidate is interpreted in its documented anchor and voice context.</x:v>
      </x:c>
      <x:c r="M60" s="31" t="str">
        <x:v>The candidate's affective or evaluative sense as used by the documented speaker/instrument/research voice at the anchor.</x:v>
      </x:c>
      <x:c r="N60" s="31" t="str">
        <x:v>Concern expressed or endorsed by an identifiable person about a climate or heat object; the candidate is interpreted in its documented anchor and voice context.</x:v>
      </x:c>
      <x:c r="O60" s="31" t="str">
        <x:v>STRONG</x:v>
      </x:c>
      <x:c r="P60" s="19" t="str">
        <x:v>NOT_LOCATED</x:v>
      </x:c>
      <x:c r="Q60" s="31" t="str">
        <x:v>The surface form may realize multiple senses; candidate meaning remains anchored to the report-visible source context.</x:v>
      </x:c>
      <x:c r="R60" s="31" t="str">
        <x:v>Fear of Temperature_ Stratified Lexical Expansion, Voice Mapping, and Semantic-Relational Pre-Valida.pdf#page=8; https://api.dictionaryapi.dev/api/v2/entries/en/weather%20is%20just%20bearable; https://websters1913.timcieplowski.com/word/bearable/</x:v>
      </x:c>
      <x:c r="S60" s="43" t="str">
        <x:v>2026-08-26</x:v>
      </x:c>
      <x:c r="T60" s="46" t="str">
        <x:v>RECONSTRUCTED_FROM_REPORT; Fear of Temperature_ Stratified Lexical Expansion, Voice Mapping, and Semantic-Relational Pre-Valida.pdf; p.8; project candidate FT-SEED-R1B-P-1938-26; original visible ID not available</x:v>
      </x:c>
    </x:row>
    <x:row r="61" ht="38" customHeight="1">
      <x:c r="A61" s="25" t="str">
        <x:v>FT-SEED-R1B-P-1938-27</x:v>
      </x:c>
      <x:c r="B61" s="19" t="str">
        <x:v>1938</x:v>
      </x:c>
      <x:c r="C61" s="28" t="n">
        <x:v>27</x:v>
      </x:c>
      <x:c r="D61" s="31" t="str">
        <x:v>heat records</x:v>
      </x:c>
      <x:c r="E61" s="31" t="str">
        <x:v>physical heat source / state</x:v>
      </x:c>
      <x:c r="F61" s="19" t="str">
        <x:v>heat</x:v>
      </x:c>
      <x:c r="G61" s="31" t="str">
        <x:v>NO_STANDALONE_HEADWORD</x:v>
      </x:c>
      <x:c r="H61" s="19" t="str">
        <x:v>NO</x:v>
      </x:c>
      <x:c r="I61" s="19" t="str">
        <x:v>Component lexical analysis plus anchor-source contextual meaning</x:v>
      </x:c>
      <x:c r="J61" s="19" t="str">
        <x:v>Component headword checked: records.</x:v>
      </x:c>
      <x:c r="K61" s="19" t="str">
        <x:v>Anchor-period research source/context; Webster 1913 stable component URL recorded but automated page retrieval was unavailable</x:v>
      </x:c>
      <x:c r="L61" s="31" t="str">
        <x:v>Heat as a physical source, state, or thermal condition; the candidate is interpreted in its documented anchor and voice context.</x:v>
      </x:c>
      <x:c r="M61" s="31" t="str">
        <x:v>A physical temperature, warming, heat, or measurement sense in the documented anchor context.</x:v>
      </x:c>
      <x:c r="N61" s="31" t="str">
        <x:v>Heat as a physical source, state, or thermal condition; the candidate is interpreted in its documented anchor and voice context.</x:v>
      </x:c>
      <x:c r="O61" s="31" t="str">
        <x:v>STRONG</x:v>
      </x:c>
      <x:c r="P61" s="19" t="str">
        <x:v>NOT_LOCATED</x:v>
      </x:c>
      <x:c r="Q61" s="31" t="str">
        <x:v>The surface form may realize multiple senses; candidate meaning remains anchored to the report-visible source context.</x:v>
      </x:c>
      <x:c r="R61" s="31" t="str">
        <x:v>Fear of Temperature_ Stratified Lexical Expansion, Voice Mapping, and Semantic-Relational Pre-Valida.pdf#page=8; https://api.dictionaryapi.dev/api/v2/entries/en/heat%20records; https://websters1913.timcieplowski.com/word/records/</x:v>
      </x:c>
      <x:c r="S61" s="43" t="str">
        <x:v>2026-08-26</x:v>
      </x:c>
      <x:c r="T61" s="46" t="str">
        <x:v>RECONSTRUCTED_FROM_REPORT; Fear of Temperature_ Stratified Lexical Expansion, Voice Mapping, and Semantic-Relational Pre-Valida.pdf; p.8; project candidate FT-SEED-R1B-P-1938-27; original visible ID not available</x:v>
      </x:c>
    </x:row>
    <x:row r="62" ht="38" customHeight="1">
      <x:c r="A62" s="25" t="str">
        <x:v>FT-SEED-R1B-P-1938-28</x:v>
      </x:c>
      <x:c r="B62" s="19" t="str">
        <x:v>1938</x:v>
      </x:c>
      <x:c r="C62" s="28" t="n">
        <x:v>28</x:v>
      </x:c>
      <x:c r="D62" s="31" t="str">
        <x:v>drought</x:v>
      </x:c>
      <x:c r="E62" s="31" t="str">
        <x:v>generic damage</x:v>
      </x:c>
      <x:c r="F62" s="19" t="str">
        <x:v>harm_loss_consequences</x:v>
      </x:c>
      <x:c r="G62" s="31" t="str">
        <x:v>DIRECT_HEADWORD</x:v>
      </x:c>
      <x:c r="H62" s="19" t="str">
        <x:v>YES</x:v>
      </x:c>
      <x:c r="I62" s="19" t="str">
        <x:v>Webster's Revised Unabridged Dictionary (1913 public-domain headword index)</x:v>
      </x:c>
      <x:c r="J62" s="19" t="str">
        <x:v>Component headword checked: drought.</x:v>
      </x:c>
      <x:c r="K62" s="19" t="str">
        <x:v>Anchor-period research source/context; Webster 1913 stable component URL recorded but automated page retrieval was unavailable</x:v>
      </x:c>
      <x:c r="L62" s="31" t="str">
        <x:v>Generic material, ecological, or social damage; the candidate is interpreted in its documented anchor and voice context.</x:v>
      </x:c>
      <x:c r="M62" s="31" t="str">
        <x:v>A threat, risk, harm, severity, or consequence sense in the documented source; it is not automatically an emotion.</x:v>
      </x:c>
      <x:c r="N62" s="31" t="str">
        <x:v>Generic material, ecological, or social damage; the candidate is interpreted in its documented anchor and voice context.</x:v>
      </x:c>
      <x:c r="O62" s="31" t="str">
        <x:v>STRONG</x:v>
      </x:c>
      <x:c r="P62" s="19" t="str">
        <x:v>NOT_LOCATED</x:v>
      </x:c>
      <x:c r="Q62" s="31" t="str">
        <x:v>The surface form may realize multiple senses; candidate meaning remains anchored to the report-visible source context.</x:v>
      </x:c>
      <x:c r="R62" s="31" t="str">
        <x:v>https://websters1913.timcieplowski.com/word/drought/; https://api.dictionaryapi.dev/api/v2/entries/en/drought</x:v>
      </x:c>
      <x:c r="S62" s="43" t="str">
        <x:v>2026-08-26</x:v>
      </x:c>
      <x:c r="T62" s="46" t="str">
        <x:v>RECONSTRUCTED_FROM_REPORT; Fear of Temperature_ Stratified Lexical Expansion, Voice Mapping, and Semantic-Relational Pre-Valida.pdf; p.8; project candidate FT-SEED-R1B-P-1938-28; original visible ID not available</x:v>
      </x:c>
    </x:row>
    <x:row r="63" ht="38" customHeight="1">
      <x:c r="A63" s="25" t="str">
        <x:v>FT-SEED-R1B-P-1938-29</x:v>
      </x:c>
      <x:c r="B63" s="19" t="str">
        <x:v>1938</x:v>
      </x:c>
      <x:c r="C63" s="28" t="n">
        <x:v>29</x:v>
      </x:c>
      <x:c r="D63" s="31" t="str">
        <x:v>grass fires</x:v>
      </x:c>
      <x:c r="E63" s="31" t="str">
        <x:v>generic damage</x:v>
      </x:c>
      <x:c r="F63" s="19" t="str">
        <x:v>harm_loss_consequences</x:v>
      </x:c>
      <x:c r="G63" s="31" t="str">
        <x:v>NO_STANDALONE_HEADWORD</x:v>
      </x:c>
      <x:c r="H63" s="19" t="str">
        <x:v>NO</x:v>
      </x:c>
      <x:c r="I63" s="19" t="str">
        <x:v>Component lexical analysis plus anchor-source contextual meaning</x:v>
      </x:c>
      <x:c r="J63" s="19" t="str">
        <x:v>Component headword checked: fires.</x:v>
      </x:c>
      <x:c r="K63" s="19" t="str">
        <x:v>Anchor-period research source/context; Webster 1913 stable component URL recorded but automated page retrieval was unavailable</x:v>
      </x:c>
      <x:c r="L63" s="31" t="str">
        <x:v>Generic material, ecological, or social damage; the candidate is interpreted in its documented anchor and voice context.</x:v>
      </x:c>
      <x:c r="M63" s="31" t="str">
        <x:v>A threat, risk, harm, severity, or consequence sense in the documented source; it is not automatically an emotion.</x:v>
      </x:c>
      <x:c r="N63" s="31" t="str">
        <x:v>Generic material, ecological, or social damage; the candidate is interpreted in its documented anchor and voice context.</x:v>
      </x:c>
      <x:c r="O63" s="31" t="str">
        <x:v>STRONG</x:v>
      </x:c>
      <x:c r="P63" s="19" t="str">
        <x:v>NOT_LOCATED</x:v>
      </x:c>
      <x:c r="Q63" s="31" t="str">
        <x:v>The surface form may realize multiple senses; candidate meaning remains anchored to the report-visible source context.</x:v>
      </x:c>
      <x:c r="R63" s="31" t="str">
        <x:v>Fear of Temperature_ Stratified Lexical Expansion, Voice Mapping, and Semantic-Relational Pre-Valida.pdf#page=8; https://api.dictionaryapi.dev/api/v2/entries/en/grass%20fires; https://websters1913.timcieplowski.com/word/fires/</x:v>
      </x:c>
      <x:c r="S63" s="43" t="str">
        <x:v>2026-08-26</x:v>
      </x:c>
      <x:c r="T63" s="46" t="str">
        <x:v>RECONSTRUCTED_FROM_REPORT; Fear of Temperature_ Stratified Lexical Expansion, Voice Mapping, and Semantic-Relational Pre-Valida.pdf; p.8; project candidate FT-SEED-R1B-P-1938-29; original visible ID not available</x:v>
      </x:c>
    </x:row>
    <x:row r="64" ht="38" customHeight="1">
      <x:c r="A64" s="25" t="str">
        <x:v>FT-SEED-R1B-P-1938-30</x:v>
      </x:c>
      <x:c r="B64" s="19" t="str">
        <x:v>1938</x:v>
      </x:c>
      <x:c r="C64" s="28" t="n">
        <x:v>30</x:v>
      </x:c>
      <x:c r="D64" s="31" t="str">
        <x:v>unbearable heat</x:v>
      </x:c>
      <x:c r="E64" s="31" t="str">
        <x:v>extreme-heat hazard</x:v>
      </x:c>
      <x:c r="F64" s="19" t="str">
        <x:v>heat</x:v>
      </x:c>
      <x:c r="G64" s="31" t="str">
        <x:v>NO_STANDALONE_HEADWORD</x:v>
      </x:c>
      <x:c r="H64" s="19" t="str">
        <x:v>NO</x:v>
      </x:c>
      <x:c r="I64" s="19" t="str">
        <x:v>Component lexical analysis plus anchor-source contextual meaning</x:v>
      </x:c>
      <x:c r="J64" s="19" t="str">
        <x:v>Component headword checked: heat.</x:v>
      </x:c>
      <x:c r="K64" s="19" t="str">
        <x:v>Anchor-period research source/context; Webster 1913 stable component URL recorded but automated page retrieval was unavailable</x:v>
      </x:c>
      <x:c r="L64" s="31" t="str">
        <x:v>Extreme heat framed as a hazard with health or social consequences; the candidate is interpreted in its documented anchor and voice context.</x:v>
      </x:c>
      <x:c r="M64" s="31" t="str">
        <x:v>A threat, risk, harm, severity, or consequence sense in the documented source; it is not automatically an emotion.</x:v>
      </x:c>
      <x:c r="N64" s="31" t="str">
        <x:v>Extreme heat framed as a hazard with health or social consequences; the candidate is interpreted in its documented anchor and voice context.</x:v>
      </x:c>
      <x:c r="O64" s="31" t="str">
        <x:v>STRONG</x:v>
      </x:c>
      <x:c r="P64" s="19" t="str">
        <x:v>NOT_LOCATED</x:v>
      </x:c>
      <x:c r="Q64" s="31" t="str">
        <x:v>The surface form may realize multiple senses; candidate meaning remains anchored to the report-visible source context.</x:v>
      </x:c>
      <x:c r="R64" s="31" t="str">
        <x:v>Fear of Temperature_ Stratified Lexical Expansion, Voice Mapping, and Semantic-Relational Pre-Valida.pdf#page=8; https://api.dictionaryapi.dev/api/v2/entries/en/unbearable%20heat; https://websters1913.timcieplowski.com/word/heat/</x:v>
      </x:c>
      <x:c r="S64" s="43" t="str">
        <x:v>2026-08-26</x:v>
      </x:c>
      <x:c r="T64" s="46" t="str">
        <x:v>RECONSTRUCTED_FROM_REPORT; Fear of Temperature_ Stratified Lexical Expansion, Voice Mapping, and Semantic-Relational Pre-Valida.pdf; p.8; project candidate FT-SEED-R1B-P-1938-30; original visible ID not available</x:v>
      </x:c>
    </x:row>
    <x:row r="65" ht="38" customHeight="1">
      <x:c r="A65" s="25" t="str">
        <x:v>FT-SEED-R1B-P-1988-01</x:v>
      </x:c>
      <x:c r="B65" s="19" t="str">
        <x:v>1988</x:v>
      </x:c>
      <x:c r="C65" s="28" t="n">
        <x:v>1</x:v>
      </x:c>
      <x:c r="D65" s="31" t="str">
        <x:v>greenhouse effect</x:v>
      </x:c>
      <x:c r="E65" s="31" t="str">
        <x:v>greenhouse mechanism</x:v>
      </x:c>
      <x:c r="F65" s="19" t="str">
        <x:v>carbon_greenhouse</x:v>
      </x:c>
      <x:c r="G65" s="31" t="str">
        <x:v>TECHNICAL_GLOSSARY</x:v>
      </x:c>
      <x:c r="H65" s="19" t="str">
        <x:v>NO</x:v>
      </x:c>
      <x:c r="I65" s="19" t="str">
        <x:v>IPCC climate-science glossary / assessment terminology</x:v>
      </x:c>
      <x:c r="J65" s="19" t="str">
        <x:v>Component headword checked: effect.</x:v>
      </x:c>
      <x:c r="K65" s="19" t="str">
        <x:v>Anchor-period research source/context; Webster 1913 stable component URL recorded but automated page retrieval was unavailable</x:v>
      </x:c>
      <x:c r="L65" s="31" t="str">
        <x:v>The atmospheric warming influence produced when greenhouse gases absorb and re-emit outgoing infrared radiation.</x:v>
      </x:c>
      <x:c r="M65" s="31" t="str">
        <x:v>A climatic, atmospheric, meteorological, or causal-science sense in the documented anchor context.</x:v>
      </x:c>
      <x:c r="N65" s="31" t="str">
        <x:v>The atmospheric warming influence produced when greenhouse gases absorb and re-emit outgoing infrared radiation.</x:v>
      </x:c>
      <x:c r="O65" s="31" t="str">
        <x:v>STRONG</x:v>
      </x:c>
      <x:c r="P65" s="19" t="str">
        <x:v>NOT_LOCATED</x:v>
      </x:c>
      <x:c r="Q65" s="31" t="str">
        <x:v>The surface form may realize multiple senses; candidate meaning remains anchored to the report-visible source context.</x:v>
      </x:c>
      <x:c r="R65" s="31" t="str">
        <x:v>https://www.ipcc.ch/site/assets/uploads/2018/02/WGIIAR5-AnnexII_FINAL.pdf; https://api.dictionaryapi.dev/api/v2/entries/en/greenhouse%20effect; https://websters1913.timcieplowski.com/word/effect/</x:v>
      </x:c>
      <x:c r="S65" s="43" t="str">
        <x:v>2026-08-26</x:v>
      </x:c>
      <x:c r="T65" s="46" t="str">
        <x:v>RECONSTRUCTED_FROM_REPORT; Fear of Temperature_ Stratified Lexical Expansion, Voice Mapping, and Semantic-Relational Pre-Valida.pdf; p.9; project candidate FT-SEED-R1B-P-1988-01; original visible ID not available</x:v>
      </x:c>
    </x:row>
    <x:row r="66" ht="38" customHeight="1">
      <x:c r="A66" s="25" t="str">
        <x:v>FT-SEED-R1B-P-1988-02</x:v>
      </x:c>
      <x:c r="B66" s="19" t="str">
        <x:v>1988</x:v>
      </x:c>
      <x:c r="C66" s="28" t="n">
        <x:v>2</x:v>
      </x:c>
      <x:c r="D66" s="31" t="str">
        <x:v>global warming</x:v>
      </x:c>
      <x:c r="E66" s="31" t="str">
        <x:v>global warming as issue label</x:v>
      </x:c>
      <x:c r="F66" s="19" t="str">
        <x:v>warming</x:v>
      </x:c>
      <x:c r="G66" s="31" t="str">
        <x:v>TECHNICAL_GLOSSARY</x:v>
      </x:c>
      <x:c r="H66" s="19" t="str">
        <x:v>NO</x:v>
      </x:c>
      <x:c r="I66" s="19" t="str">
        <x:v>IPCC climate-science glossary / assessment terminology</x:v>
      </x:c>
      <x:c r="J66" s="19" t="str">
        <x:v>Component headword checked: warming.</x:v>
      </x:c>
      <x:c r="K66" s="19" t="str">
        <x:v>Anchor-period research source/context; Webster 1913 stable component URL recorded but automated page retrieval was unavailable</x:v>
      </x:c>
      <x:c r="L66" s="31" t="str">
        <x:v>The long-term rise in global mean surface temperature, commonly used as an established issue label in modern climate discourse.</x:v>
      </x:c>
      <x:c r="M66" s="31" t="str">
        <x:v>A physical temperature, warming, heat, or measurement sense in the documented anchor context.</x:v>
      </x:c>
      <x:c r="N66" s="31" t="str">
        <x:v>The long-term rise in global mean surface temperature, commonly used as an established issue label in modern climate discourse.</x:v>
      </x:c>
      <x:c r="O66" s="31" t="str">
        <x:v>STRONG</x:v>
      </x:c>
      <x:c r="P66" s="19" t="str">
        <x:v>NOT_LOCATED</x:v>
      </x:c>
      <x:c r="Q66" s="31" t="str">
        <x:v>The surface form may realize multiple senses; candidate meaning remains anchored to the report-visible source context.</x:v>
      </x:c>
      <x:c r="R66" s="31" t="str">
        <x:v>https://www.ipcc.ch/site/assets/uploads/2018/02/WGIIAR5-AnnexII_FINAL.pdf; https://api.dictionaryapi.dev/api/v2/entries/en/global%20warming; https://websters1913.timcieplowski.com/word/warming/</x:v>
      </x:c>
      <x:c r="S66" s="43" t="str">
        <x:v>2026-08-26</x:v>
      </x:c>
      <x:c r="T66" s="46" t="str">
        <x:v>RECONSTRUCTED_FROM_REPORT; Fear of Temperature_ Stratified Lexical Expansion, Voice Mapping, and Semantic-Relational Pre-Valida.pdf; p.9; project candidate FT-SEED-R1B-P-1988-02; original visible ID not available</x:v>
      </x:c>
    </x:row>
    <x:row r="67" ht="38" customHeight="1">
      <x:c r="A67" s="25" t="str">
        <x:v>FT-SEED-R1B-P-1988-03</x:v>
      </x:c>
      <x:c r="B67" s="19" t="str">
        <x:v>1988</x:v>
      </x:c>
      <x:c r="C67" s="28" t="n">
        <x:v>3</x:v>
      </x:c>
      <x:c r="D67" s="31" t="str">
        <x:v>earth is warmer</x:v>
      </x:c>
      <x:c r="E67" s="31" t="str">
        <x:v>temperature increase</x:v>
      </x:c>
      <x:c r="F67" s="19" t="str">
        <x:v>warming</x:v>
      </x:c>
      <x:c r="G67" s="31" t="str">
        <x:v>NO_STANDALONE_HEADWORD</x:v>
      </x:c>
      <x:c r="H67" s="19" t="str">
        <x:v>NO</x:v>
      </x:c>
      <x:c r="I67" s="19" t="str">
        <x:v>Component lexical analysis plus anchor-source contextual meaning</x:v>
      </x:c>
      <x:c r="J67" s="19" t="str">
        <x:v>Component headword checked: warmer.</x:v>
      </x:c>
      <x:c r="K67" s="19" t="str">
        <x:v>Anchor-period research source/context; Webster 1913 stable component URL recorded but automated page retrieval was unavailable</x:v>
      </x:c>
      <x:c r="L67" s="31" t="str">
        <x:v>An observed, estimated, or projected increase in temperature; the candidate is interpreted in its documented anchor and voice context.</x:v>
      </x:c>
      <x:c r="M67" s="31" t="str">
        <x:v>A physical temperature, warming, heat, or measurement sense in the documented anchor context.</x:v>
      </x:c>
      <x:c r="N67" s="31" t="str">
        <x:v>An observed, estimated, or projected increase in temperature; the candidate is interpreted in its documented anchor and voice context.</x:v>
      </x:c>
      <x:c r="O67" s="31" t="str">
        <x:v>STRONG</x:v>
      </x:c>
      <x:c r="P67" s="19" t="str">
        <x:v>NOT_LOCATED</x:v>
      </x:c>
      <x:c r="Q67" s="31" t="str">
        <x:v>The surface form may realize multiple senses; candidate meaning remains anchored to the report-visible source context.</x:v>
      </x:c>
      <x:c r="R67" s="31" t="str">
        <x:v>Fear of Temperature_ Stratified Lexical Expansion, Voice Mapping, and Semantic-Relational Pre-Valida.pdf#page=9; https://api.dictionaryapi.dev/api/v2/entries/en/earth%20is%20warmer; https://websters1913.timcieplowski.com/word/warmer/</x:v>
      </x:c>
      <x:c r="S67" s="43" t="str">
        <x:v>2026-08-26</x:v>
      </x:c>
      <x:c r="T67" s="46" t="str">
        <x:v>RECONSTRUCTED_FROM_REPORT; Fear of Temperature_ Stratified Lexical Expansion, Voice Mapping, and Semantic-Relational Pre-Valida.pdf; p.9; project candidate FT-SEED-R1B-P-1988-03; original visible ID not available</x:v>
      </x:c>
    </x:row>
    <x:row r="68" ht="38" customHeight="1">
      <x:c r="A68" s="25" t="str">
        <x:v>FT-SEED-R1B-P-1988-04</x:v>
      </x:c>
      <x:c r="B68" s="19" t="str">
        <x:v>1988</x:v>
      </x:c>
      <x:c r="C68" s="28" t="n">
        <x:v>4</x:v>
      </x:c>
      <x:c r="D68" s="31" t="str">
        <x:v>instrumental measurements</x:v>
      </x:c>
      <x:c r="E68" s="31" t="str">
        <x:v>historical climate / climatological condition</x:v>
      </x:c>
      <x:c r="F68" s="19" t="str">
        <x:v>climate</x:v>
      </x:c>
      <x:c r="G68" s="31" t="str">
        <x:v>NO_STANDALONE_HEADWORD</x:v>
      </x:c>
      <x:c r="H68" s="19" t="str">
        <x:v>NO</x:v>
      </x:c>
      <x:c r="I68" s="19" t="str">
        <x:v>Component lexical analysis plus anchor-source contextual meaning</x:v>
      </x:c>
      <x:c r="J68" s="19" t="str">
        <x:v>Component headword checked: measurements.</x:v>
      </x:c>
      <x:c r="K68" s="19" t="str">
        <x:v>Anchor-period research source/context; Webster 1913 stable component URL recorded but automated page retrieval was unavailable</x:v>
      </x:c>
      <x:c r="L68" s="31" t="str">
        <x:v>Climate as a historical, geographical, seasonal, or climatological condition; the candidate is interpreted in its documented anchor and voice context.</x:v>
      </x:c>
      <x:c r="M68" s="31" t="str">
        <x:v>A climatic, atmospheric, meteorological, or causal-science sense in the documented anchor context.</x:v>
      </x:c>
      <x:c r="N68" s="31" t="str">
        <x:v>Climate as a historical, geographical, seasonal, or climatological condition; the candidate is interpreted in its documented anchor and voice context.</x:v>
      </x:c>
      <x:c r="O68" s="31" t="str">
        <x:v>STRONG</x:v>
      </x:c>
      <x:c r="P68" s="19" t="str">
        <x:v>NOT_LOCATED</x:v>
      </x:c>
      <x:c r="Q68" s="31" t="str">
        <x:v>The surface form may realize multiple senses; candidate meaning remains anchored to the report-visible source context.</x:v>
      </x:c>
      <x:c r="R68" s="31" t="str">
        <x:v>Fear of Temperature_ Stratified Lexical Expansion, Voice Mapping, and Semantic-Relational Pre-Valida.pdf#page=9; https://api.dictionaryapi.dev/api/v2/entries/en/instrumental%20measurements; https://websters1913.timcieplowski.com/word/measurements/</x:v>
      </x:c>
      <x:c r="S68" s="43" t="str">
        <x:v>2026-08-26</x:v>
      </x:c>
      <x:c r="T68" s="46" t="str">
        <x:v>RECONSTRUCTED_FROM_REPORT; Fear of Temperature_ Stratified Lexical Expansion, Voice Mapping, and Semantic-Relational Pre-Valida.pdf; p.9; project candidate FT-SEED-R1B-P-1988-04; original visible ID not available</x:v>
      </x:c>
    </x:row>
    <x:row r="69" ht="38" customHeight="1">
      <x:c r="A69" s="25" t="str">
        <x:v>FT-SEED-R1B-P-1988-05</x:v>
      </x:c>
      <x:c r="B69" s="19" t="str">
        <x:v>1988</x:v>
      </x:c>
      <x:c r="C69" s="28" t="n">
        <x:v>5</x:v>
      </x:c>
      <x:c r="D69" s="31" t="str">
        <x:v>cause-and-effect relationship</x:v>
      </x:c>
      <x:c r="E69" s="31" t="str">
        <x:v>generic damage</x:v>
      </x:c>
      <x:c r="F69" s="19" t="str">
        <x:v>harm_loss_consequences</x:v>
      </x:c>
      <x:c r="G69" s="31" t="str">
        <x:v>NO_STANDALONE_HEADWORD</x:v>
      </x:c>
      <x:c r="H69" s="19" t="str">
        <x:v>NO</x:v>
      </x:c>
      <x:c r="I69" s="19" t="str">
        <x:v>Component lexical analysis plus anchor-source contextual meaning</x:v>
      </x:c>
      <x:c r="J69" s="19" t="str">
        <x:v>Component headword checked: relationship.</x:v>
      </x:c>
      <x:c r="K69" s="19" t="str">
        <x:v>Anchor-period research source/context; Webster 1913 stable component URL recorded but automated page retrieval was unavailable</x:v>
      </x:c>
      <x:c r="L69" s="31" t="str">
        <x:v>Generic material, ecological, or social damage; the candidate is interpreted in its documented anchor and voice context.</x:v>
      </x:c>
      <x:c r="M69" s="31" t="str">
        <x:v>A climatic, atmospheric, meteorological, or causal-science sense in the documented anchor context.</x:v>
      </x:c>
      <x:c r="N69" s="31" t="str">
        <x:v>Generic material, ecological, or social damage; the candidate is interpreted in its documented anchor and voice context.</x:v>
      </x:c>
      <x:c r="O69" s="31" t="str">
        <x:v>STRONG</x:v>
      </x:c>
      <x:c r="P69" s="19" t="str">
        <x:v>NOT_LOCATED</x:v>
      </x:c>
      <x:c r="Q69" s="31" t="str">
        <x:v>The surface form may realize multiple senses; candidate meaning remains anchored to the report-visible source context.</x:v>
      </x:c>
      <x:c r="R69" s="31" t="str">
        <x:v>Fear of Temperature_ Stratified Lexical Expansion, Voice Mapping, and Semantic-Relational Pre-Valida.pdf#page=9; https://api.dictionaryapi.dev/api/v2/entries/en/cause-and-effect%20relationship; https://websters1913.timcieplowski.com/word/relationship/</x:v>
      </x:c>
      <x:c r="S69" s="43" t="str">
        <x:v>2026-08-26</x:v>
      </x:c>
      <x:c r="T69" s="46" t="str">
        <x:v>RECONSTRUCTED_FROM_REPORT; Fear of Temperature_ Stratified Lexical Expansion, Voice Mapping, and Semantic-Relational Pre-Valida.pdf; p.9; project candidate FT-SEED-R1B-P-1988-05; original visible ID not available</x:v>
      </x:c>
    </x:row>
    <x:row r="70" ht="38" customHeight="1">
      <x:c r="A70" s="25" t="str">
        <x:v>FT-SEED-R1B-P-1988-06</x:v>
      </x:c>
      <x:c r="B70" s="19" t="str">
        <x:v>1988</x:v>
      </x:c>
      <x:c r="C70" s="28" t="n">
        <x:v>6</x:v>
      </x:c>
      <x:c r="D70" s="31" t="str">
        <x:v>global temperature</x:v>
      </x:c>
      <x:c r="E70" s="31" t="str">
        <x:v>global aggregate temperature</x:v>
      </x:c>
      <x:c r="F70" s="19" t="str">
        <x:v>temperature_threshold</x:v>
      </x:c>
      <x:c r="G70" s="31" t="str">
        <x:v>TECHNICAL_GLOSSARY</x:v>
      </x:c>
      <x:c r="H70" s="19" t="str">
        <x:v>NO</x:v>
      </x:c>
      <x:c r="I70" s="19" t="str">
        <x:v>IPCC climate-science glossary / assessment terminology</x:v>
      </x:c>
      <x:c r="J70" s="19" t="str">
        <x:v>Component headword checked: temperature.</x:v>
      </x:c>
      <x:c r="K70" s="19" t="str">
        <x:v>Anchor-period research source/context; Webster 1913 stable component URL recorded but automated page retrieval was unavailable</x:v>
      </x:c>
      <x:c r="L70" s="31" t="str">
        <x:v>A global-scale aggregate temperature metric; the candidate is interpreted in its documented anchor and voice context.</x:v>
      </x:c>
      <x:c r="M70" s="31" t="str">
        <x:v>A physical temperature, warming, heat, or measurement sense in the documented anchor context.</x:v>
      </x:c>
      <x:c r="N70" s="31" t="str">
        <x:v>A global-scale aggregate temperature metric; the candidate is interpreted in its documented anchor and voice context.</x:v>
      </x:c>
      <x:c r="O70" s="31" t="str">
        <x:v>STRONG</x:v>
      </x:c>
      <x:c r="P70" s="19" t="str">
        <x:v>NOT_LOCATED</x:v>
      </x:c>
      <x:c r="Q70" s="31" t="str">
        <x:v>The surface form may realize multiple senses; candidate meaning remains anchored to the report-visible source context.</x:v>
      </x:c>
      <x:c r="R70" s="31" t="str">
        <x:v>https://www.ipcc.ch/site/assets/uploads/2018/02/WGIIAR5-AnnexII_FINAL.pdf; https://api.dictionaryapi.dev/api/v2/entries/en/global%20temperature; https://websters1913.timcieplowski.com/word/temperature/</x:v>
      </x:c>
      <x:c r="S70" s="43" t="str">
        <x:v>2026-08-26</x:v>
      </x:c>
      <x:c r="T70" s="46" t="str">
        <x:v>RECONSTRUCTED_FROM_REPORT; Fear of Temperature_ Stratified Lexical Expansion, Voice Mapping, and Semantic-Relational Pre-Valida.pdf; p.9; project candidate FT-SEED-R1B-P-1988-06; original visible ID not available</x:v>
      </x:c>
    </x:row>
    <x:row r="71" ht="38" customHeight="1">
      <x:c r="A71" s="25" t="str">
        <x:v>FT-SEED-R1B-P-1988-07</x:v>
      </x:c>
      <x:c r="B71" s="19" t="str">
        <x:v>1988</x:v>
      </x:c>
      <x:c r="C71" s="28" t="n">
        <x:v>7</x:v>
      </x:c>
      <x:c r="D71" s="31" t="str">
        <x:v>regional heat waves</x:v>
      </x:c>
      <x:c r="E71" s="31" t="str">
        <x:v>heatwave / weather event</x:v>
      </x:c>
      <x:c r="F71" s="19" t="str">
        <x:v>heat</x:v>
      </x:c>
      <x:c r="G71" s="31" t="str">
        <x:v>TECHNICAL_GLOSSARY</x:v>
      </x:c>
      <x:c r="H71" s="19" t="str">
        <x:v>NO</x:v>
      </x:c>
      <x:c r="I71" s="19" t="str">
        <x:v>IPCC climate-science glossary / assessment terminology</x:v>
      </x:c>
      <x:c r="J71" s="19" t="str">
        <x:v>Component headword checked: waves.</x:v>
      </x:c>
      <x:c r="K71" s="19" t="str">
        <x:v>Anchor-period research source/context; Webster 1913 stable component URL recorded but automated page retrieval was unavailable</x:v>
      </x:c>
      <x:c r="L71" s="31" t="str">
        <x:v>A bounded hot-weather or heatwave event; the candidate is interpreted in its documented anchor and voice context.</x:v>
      </x:c>
      <x:c r="M71" s="31" t="str">
        <x:v>A physical temperature, warming, heat, or measurement sense in the documented anchor context.</x:v>
      </x:c>
      <x:c r="N71" s="31" t="str">
        <x:v>A bounded hot-weather or heatwave event; the candidate is interpreted in its documented anchor and voice context.</x:v>
      </x:c>
      <x:c r="O71" s="31" t="str">
        <x:v>STRONG</x:v>
      </x:c>
      <x:c r="P71" s="19" t="str">
        <x:v>NOT_LOCATED</x:v>
      </x:c>
      <x:c r="Q71" s="31" t="str">
        <x:v>The surface form may realize multiple senses; candidate meaning remains anchored to the report-visible source context.</x:v>
      </x:c>
      <x:c r="R71" s="31" t="str">
        <x:v>https://www.ipcc.ch/site/assets/uploads/2018/02/WGIIAR5-AnnexII_FINAL.pdf; https://api.dictionaryapi.dev/api/v2/entries/en/regional%20heat%20waves; https://websters1913.timcieplowski.com/word/waves/</x:v>
      </x:c>
      <x:c r="S71" s="43" t="str">
        <x:v>2026-08-26</x:v>
      </x:c>
      <x:c r="T71" s="46" t="str">
        <x:v>RECONSTRUCTED_FROM_REPORT; Fear of Temperature_ Stratified Lexical Expansion, Voice Mapping, and Semantic-Relational Pre-Valida.pdf; p.9; project candidate FT-SEED-R1B-P-1988-07; original visible ID not available</x:v>
      </x:c>
    </x:row>
    <x:row r="72" ht="38" customHeight="1">
      <x:c r="A72" s="25" t="str">
        <x:v>FT-SEED-R1B-P-1988-08</x:v>
      </x:c>
      <x:c r="B72" s="19" t="str">
        <x:v>1988</x:v>
      </x:c>
      <x:c r="C72" s="28" t="n">
        <x:v>8</x:v>
      </x:c>
      <x:c r="D72" s="31" t="str">
        <x:v>heat wave</x:v>
      </x:c>
      <x:c r="E72" s="31" t="str">
        <x:v>heatwave / weather event</x:v>
      </x:c>
      <x:c r="F72" s="19" t="str">
        <x:v>heat</x:v>
      </x:c>
      <x:c r="G72" s="31" t="str">
        <x:v>NO_STANDALONE_HEADWORD</x:v>
      </x:c>
      <x:c r="H72" s="19" t="str">
        <x:v>NO</x:v>
      </x:c>
      <x:c r="I72" s="19" t="str">
        <x:v>Component lexical analysis plus anchor-source contextual meaning</x:v>
      </x:c>
      <x:c r="J72" s="19" t="str">
        <x:v>Component headword checked: wave.</x:v>
      </x:c>
      <x:c r="K72" s="19" t="str">
        <x:v>Anchor-period research source/context; Webster 1913 stable component URL recorded but automated page retrieval was unavailable</x:v>
      </x:c>
      <x:c r="L72" s="31" t="str">
        <x:v>A bounded hot-weather or heatwave event; the candidate is interpreted in its documented anchor and voice context.</x:v>
      </x:c>
      <x:c r="M72" s="31" t="str">
        <x:v>A physical temperature, warming, heat, or measurement sense in the documented anchor context.</x:v>
      </x:c>
      <x:c r="N72" s="31" t="str">
        <x:v>A bounded hot-weather or heatwave event; the candidate is interpreted in its documented anchor and voice context.</x:v>
      </x:c>
      <x:c r="O72" s="31" t="str">
        <x:v>STRONG</x:v>
      </x:c>
      <x:c r="P72" s="19" t="str">
        <x:v>NOT_LOCATED</x:v>
      </x:c>
      <x:c r="Q72" s="31" t="str">
        <x:v>The surface form may realize multiple senses; candidate meaning remains anchored to the report-visible source context.</x:v>
      </x:c>
      <x:c r="R72" s="31" t="str">
        <x:v>Fear of Temperature_ Stratified Lexical Expansion, Voice Mapping, and Semantic-Relational Pre-Valida.pdf#page=9; https://api.dictionaryapi.dev/api/v2/entries/en/heat%20wave; https://websters1913.timcieplowski.com/word/wave/</x:v>
      </x:c>
      <x:c r="S72" s="43" t="str">
        <x:v>2026-08-26</x:v>
      </x:c>
      <x:c r="T72" s="46" t="str">
        <x:v>RECONSTRUCTED_FROM_REPORT; Fear of Temperature_ Stratified Lexical Expansion, Voice Mapping, and Semantic-Relational Pre-Valida.pdf; p.9; project candidate FT-SEED-R1B-P-1988-08; original visible ID not available</x:v>
      </x:c>
    </x:row>
    <x:row r="73" ht="38" customHeight="1">
      <x:c r="A73" s="25" t="str">
        <x:v>FT-SEED-R1B-P-1988-09</x:v>
      </x:c>
      <x:c r="B73" s="19" t="str">
        <x:v>1988</x:v>
      </x:c>
      <x:c r="C73" s="28" t="n">
        <x:v>9</x:v>
      </x:c>
      <x:c r="D73" s="31" t="str">
        <x:v>drought</x:v>
      </x:c>
      <x:c r="E73" s="31" t="str">
        <x:v>generic damage</x:v>
      </x:c>
      <x:c r="F73" s="19" t="str">
        <x:v>harm_loss_consequences</x:v>
      </x:c>
      <x:c r="G73" s="31" t="str">
        <x:v>DIRECT_HEADWORD</x:v>
      </x:c>
      <x:c r="H73" s="19" t="str">
        <x:v>YES</x:v>
      </x:c>
      <x:c r="I73" s="19" t="str">
        <x:v>Webster's Revised Unabridged Dictionary (1913 public-domain headword index)</x:v>
      </x:c>
      <x:c r="J73" s="19" t="str">
        <x:v>Component headword checked: drought.</x:v>
      </x:c>
      <x:c r="K73" s="19" t="str">
        <x:v>Anchor-period research source/context; Webster 1913 stable component URL recorded but automated page retrieval was unavailable</x:v>
      </x:c>
      <x:c r="L73" s="31" t="str">
        <x:v>Generic material, ecological, or social damage; the candidate is interpreted in its documented anchor and voice context.</x:v>
      </x:c>
      <x:c r="M73" s="31" t="str">
        <x:v>A threat, risk, harm, severity, or consequence sense in the documented source; it is not automatically an emotion.</x:v>
      </x:c>
      <x:c r="N73" s="31" t="str">
        <x:v>Generic material, ecological, or social damage; the candidate is interpreted in its documented anchor and voice context.</x:v>
      </x:c>
      <x:c r="O73" s="31" t="str">
        <x:v>STRONG</x:v>
      </x:c>
      <x:c r="P73" s="19" t="str">
        <x:v>NOT_LOCATED</x:v>
      </x:c>
      <x:c r="Q73" s="31" t="str">
        <x:v>The surface form may realize multiple senses; candidate meaning remains anchored to the report-visible source context.</x:v>
      </x:c>
      <x:c r="R73" s="31" t="str">
        <x:v>https://websters1913.timcieplowski.com/word/drought/; https://api.dictionaryapi.dev/api/v2/entries/en/drought</x:v>
      </x:c>
      <x:c r="S73" s="43" t="str">
        <x:v>2026-08-26</x:v>
      </x:c>
      <x:c r="T73" s="46" t="str">
        <x:v>RECONSTRUCTED_FROM_REPORT; Fear of Temperature_ Stratified Lexical Expansion, Voice Mapping, and Semantic-Relational Pre-Valida.pdf; p.9; project candidate FT-SEED-R1B-P-1988-09; original visible ID not available</x:v>
      </x:c>
    </x:row>
    <x:row r="74" ht="38" customHeight="1">
      <x:c r="A74" s="25" t="str">
        <x:v>FT-SEED-R1B-P-1988-10</x:v>
      </x:c>
      <x:c r="B74" s="19" t="str">
        <x:v>1988</x:v>
      </x:c>
      <x:c r="C74" s="28" t="n">
        <x:v>10</x:v>
      </x:c>
      <x:c r="D74" s="31" t="str">
        <x:v>heat wave/drought occurrences</x:v>
      </x:c>
      <x:c r="E74" s="31" t="str">
        <x:v>heatwave / weather event</x:v>
      </x:c>
      <x:c r="F74" s="19" t="str">
        <x:v>heat</x:v>
      </x:c>
      <x:c r="G74" s="31" t="str">
        <x:v>NO_STANDALONE_HEADWORD</x:v>
      </x:c>
      <x:c r="H74" s="19" t="str">
        <x:v>NO</x:v>
      </x:c>
      <x:c r="I74" s="19" t="str">
        <x:v>Component lexical analysis plus anchor-source contextual meaning</x:v>
      </x:c>
      <x:c r="J74" s="19" t="str">
        <x:v>Component headword checked: occurrences.</x:v>
      </x:c>
      <x:c r="K74" s="19" t="str">
        <x:v>Anchor-period research source/context; Webster 1913 stable component URL recorded but automated page retrieval was unavailable</x:v>
      </x:c>
      <x:c r="L74" s="31" t="str">
        <x:v>A bounded hot-weather or heatwave event; the candidate is interpreted in its documented anchor and voice context.</x:v>
      </x:c>
      <x:c r="M74" s="31" t="str">
        <x:v>A threat, risk, harm, severity, or consequence sense in the documented source; it is not automatically an emotion.</x:v>
      </x:c>
      <x:c r="N74" s="31" t="str">
        <x:v>A bounded hot-weather or heatwave event; the candidate is interpreted in its documented anchor and voice context.</x:v>
      </x:c>
      <x:c r="O74" s="31" t="str">
        <x:v>STRONG</x:v>
      </x:c>
      <x:c r="P74" s="19" t="str">
        <x:v>NOT_LOCATED</x:v>
      </x:c>
      <x:c r="Q74" s="31" t="str">
        <x:v>The surface form may realize multiple senses; candidate meaning remains anchored to the report-visible source context.</x:v>
      </x:c>
      <x:c r="R74" s="31" t="str">
        <x:v>Fear of Temperature_ Stratified Lexical Expansion, Voice Mapping, and Semantic-Relational Pre-Valida.pdf#page=9; https://api.dictionaryapi.dev/api/v2/entries/en/heat%20wave%2Fdrought%20occurrences; https://websters1913.timcieplowski.com/word/occurrences/</x:v>
      </x:c>
      <x:c r="S74" s="43" t="str">
        <x:v>2026-08-26</x:v>
      </x:c>
      <x:c r="T74" s="46" t="str">
        <x:v>RECONSTRUCTED_FROM_REPORT; Fear of Temperature_ Stratified Lexical Expansion, Voice Mapping, and Semantic-Relational Pre-Valida.pdf; p.9; project candidate FT-SEED-R1B-P-1988-10; original visible ID not available</x:v>
      </x:c>
    </x:row>
    <x:row r="75" ht="38" customHeight="1">
      <x:c r="A75" s="25" t="str">
        <x:v>FT-SEED-R1B-P-1988-11</x:v>
      </x:c>
      <x:c r="B75" s="19" t="str">
        <x:v>1988</x:v>
      </x:c>
      <x:c r="C75" s="28" t="n">
        <x:v>11</x:v>
      </x:c>
      <x:c r="D75" s="31" t="str">
        <x:v>extreme events</x:v>
      </x:c>
      <x:c r="E75" s="31" t="str">
        <x:v>generic damage</x:v>
      </x:c>
      <x:c r="F75" s="19" t="str">
        <x:v>harm_loss_consequences</x:v>
      </x:c>
      <x:c r="G75" s="31" t="str">
        <x:v>NO_STANDALONE_HEADWORD</x:v>
      </x:c>
      <x:c r="H75" s="19" t="str">
        <x:v>NO</x:v>
      </x:c>
      <x:c r="I75" s="19" t="str">
        <x:v>Component lexical analysis plus anchor-source contextual meaning</x:v>
      </x:c>
      <x:c r="J75" s="19" t="str">
        <x:v>Component headword checked: events.</x:v>
      </x:c>
      <x:c r="K75" s="19" t="str">
        <x:v>Anchor-period research source/context; Webster 1913 stable component URL recorded but automated page retrieval was unavailable</x:v>
      </x:c>
      <x:c r="L75" s="31" t="str">
        <x:v>Generic material, ecological, or social damage; the candidate is interpreted in its documented anchor and voice context.</x:v>
      </x:c>
      <x:c r="M75" s="31" t="str">
        <x:v>A threat, risk, harm, severity, or consequence sense in the documented source; it is not automatically an emotion.</x:v>
      </x:c>
      <x:c r="N75" s="31" t="str">
        <x:v>Generic material, ecological, or social damage; the candidate is interpreted in its documented anchor and voice context.</x:v>
      </x:c>
      <x:c r="O75" s="31" t="str">
        <x:v>STRONG</x:v>
      </x:c>
      <x:c r="P75" s="19" t="str">
        <x:v>NOT_LOCATED</x:v>
      </x:c>
      <x:c r="Q75" s="31" t="str">
        <x:v>The surface form may realize multiple senses; candidate meaning remains anchored to the report-visible source context.</x:v>
      </x:c>
      <x:c r="R75" s="31" t="str">
        <x:v>Fear of Temperature_ Stratified Lexical Expansion, Voice Mapping, and Semantic-Relational Pre-Valida.pdf#page=9; https://api.dictionaryapi.dev/api/v2/entries/en/extreme%20events; https://websters1913.timcieplowski.com/word/events/</x:v>
      </x:c>
      <x:c r="S75" s="43" t="str">
        <x:v>2026-08-26</x:v>
      </x:c>
      <x:c r="T75" s="46" t="str">
        <x:v>RECONSTRUCTED_FROM_REPORT; Fear of Temperature_ Stratified Lexical Expansion, Voice Mapping, and Semantic-Relational Pre-Valida.pdf; p.9; project candidate FT-SEED-R1B-P-1988-11; original visible ID not available</x:v>
      </x:c>
    </x:row>
    <x:row r="76" ht="38" customHeight="1">
      <x:c r="A76" s="25" t="str">
        <x:v>FT-SEED-R1B-P-1988-12</x:v>
      </x:c>
      <x:c r="B76" s="19" t="str">
        <x:v>1988</x:v>
      </x:c>
      <x:c r="C76" s="28" t="n">
        <x:v>12</x:v>
      </x:c>
      <x:c r="D76" s="31" t="str">
        <x:v>global climate models</x:v>
      </x:c>
      <x:c r="E76" s="31" t="str">
        <x:v>climate system</x:v>
      </x:c>
      <x:c r="F76" s="19" t="str">
        <x:v>climate</x:v>
      </x:c>
      <x:c r="G76" s="31" t="str">
        <x:v>TECHNICAL_GLOSSARY</x:v>
      </x:c>
      <x:c r="H76" s="19" t="str">
        <x:v>NO</x:v>
      </x:c>
      <x:c r="I76" s="19" t="str">
        <x:v>IPCC climate-science glossary / assessment terminology</x:v>
      </x:c>
      <x:c r="J76" s="19" t="str">
        <x:v>Component headword checked: models.</x:v>
      </x:c>
      <x:c r="K76" s="19" t="str">
        <x:v>Anchor-period research source/context; Webster 1913 stable component URL recorded but automated page retrieval was unavailable</x:v>
      </x:c>
      <x:c r="L76" s="31" t="str">
        <x:v>The coupled physical climate system; the candidate is interpreted in its documented anchor and voice context.</x:v>
      </x:c>
      <x:c r="M76" s="31" t="str">
        <x:v>A climatic, atmospheric, meteorological, or causal-science sense in the documented anchor context.</x:v>
      </x:c>
      <x:c r="N76" s="31" t="str">
        <x:v>The coupled physical climate system; the candidate is interpreted in its documented anchor and voice context.</x:v>
      </x:c>
      <x:c r="O76" s="31" t="str">
        <x:v>STRONG</x:v>
      </x:c>
      <x:c r="P76" s="19" t="str">
        <x:v>NOT_LOCATED</x:v>
      </x:c>
      <x:c r="Q76" s="31" t="str">
        <x:v>The surface form may realize multiple senses; candidate meaning remains anchored to the report-visible source context.</x:v>
      </x:c>
      <x:c r="R76" s="31" t="str">
        <x:v>https://www.ipcc.ch/site/assets/uploads/2018/02/WGIIAR5-AnnexII_FINAL.pdf; https://api.dictionaryapi.dev/api/v2/entries/en/global%20climate%20models; https://websters1913.timcieplowski.com/word/models/</x:v>
      </x:c>
      <x:c r="S76" s="43" t="str">
        <x:v>2026-08-26</x:v>
      </x:c>
      <x:c r="T76" s="46" t="str">
        <x:v>RECONSTRUCTED_FROM_REPORT; Fear of Temperature_ Stratified Lexical Expansion, Voice Mapping, and Semantic-Relational Pre-Valida.pdf; p.9; project candidate FT-SEED-R1B-P-1988-12; original visible ID not available</x:v>
      </x:c>
    </x:row>
    <x:row r="77" ht="38" customHeight="1">
      <x:c r="A77" s="25" t="str">
        <x:v>FT-SEED-R1B-P-1988-13</x:v>
      </x:c>
      <x:c r="B77" s="19" t="str">
        <x:v>1988</x:v>
      </x:c>
      <x:c r="C77" s="28" t="n">
        <x:v>13</x:v>
      </x:c>
      <x:c r="D77" s="31" t="str">
        <x:v>global observations</x:v>
      </x:c>
      <x:c r="E77" s="31" t="str">
        <x:v>historical climate / climatological condition</x:v>
      </x:c>
      <x:c r="F77" s="19" t="str">
        <x:v>climate</x:v>
      </x:c>
      <x:c r="G77" s="31" t="str">
        <x:v>NO_STANDALONE_HEADWORD</x:v>
      </x:c>
      <x:c r="H77" s="19" t="str">
        <x:v>NO</x:v>
      </x:c>
      <x:c r="I77" s="19" t="str">
        <x:v>Component lexical analysis plus anchor-source contextual meaning</x:v>
      </x:c>
      <x:c r="J77" s="19" t="str">
        <x:v>Component headword checked: observations.</x:v>
      </x:c>
      <x:c r="K77" s="19" t="str">
        <x:v>Anchor-period research source/context; Webster 1913 stable component URL recorded but automated page retrieval was unavailable</x:v>
      </x:c>
      <x:c r="L77" s="31" t="str">
        <x:v>Climate as a historical, geographical, seasonal, or climatological condition; the candidate is interpreted in its documented anchor and voice context.</x:v>
      </x:c>
      <x:c r="M77" s="31" t="str">
        <x:v>A climatic, atmospheric, meteorological, or causal-science sense in the documented anchor context.</x:v>
      </x:c>
      <x:c r="N77" s="31" t="str">
        <x:v>Climate as a historical, geographical, seasonal, or climatological condition; the candidate is interpreted in its documented anchor and voice context.</x:v>
      </x:c>
      <x:c r="O77" s="31" t="str">
        <x:v>STRONG</x:v>
      </x:c>
      <x:c r="P77" s="19" t="str">
        <x:v>NOT_LOCATED</x:v>
      </x:c>
      <x:c r="Q77" s="31" t="str">
        <x:v>The surface form may realize multiple senses; candidate meaning remains anchored to the report-visible source context.</x:v>
      </x:c>
      <x:c r="R77" s="31" t="str">
        <x:v>Fear of Temperature_ Stratified Lexical Expansion, Voice Mapping, and Semantic-Relational Pre-Valida.pdf#page=9; https://api.dictionaryapi.dev/api/v2/entries/en/global%20observations; https://websters1913.timcieplowski.com/word/observations/</x:v>
      </x:c>
      <x:c r="S77" s="43" t="str">
        <x:v>2026-08-26</x:v>
      </x:c>
      <x:c r="T77" s="46" t="str">
        <x:v>RECONSTRUCTED_FROM_REPORT; Fear of Temperature_ Stratified Lexical Expansion, Voice Mapping, and Semantic-Relational Pre-Valida.pdf; p.9; project candidate FT-SEED-R1B-P-1988-13; original visible ID not available</x:v>
      </x:c>
    </x:row>
    <x:row r="78" ht="38" customHeight="1">
      <x:c r="A78" s="25" t="str">
        <x:v>FT-SEED-R1B-P-1988-14</x:v>
      </x:c>
      <x:c r="B78" s="19" t="str">
        <x:v>1988</x:v>
      </x:c>
      <x:c r="C78" s="28" t="n">
        <x:v>14</x:v>
      </x:c>
      <x:c r="D78" s="31" t="str">
        <x:v>warm air</x:v>
      </x:c>
      <x:c r="E78" s="31" t="str">
        <x:v>local / instrumental temperature</x:v>
      </x:c>
      <x:c r="F78" s="19" t="str">
        <x:v>temperature_threshold</x:v>
      </x:c>
      <x:c r="G78" s="31" t="str">
        <x:v>NO_STANDALONE_HEADWORD</x:v>
      </x:c>
      <x:c r="H78" s="19" t="str">
        <x:v>NO</x:v>
      </x:c>
      <x:c r="I78" s="19" t="str">
        <x:v>Component lexical analysis plus anchor-source contextual meaning</x:v>
      </x:c>
      <x:c r="J78" s="19" t="str">
        <x:v>Component headword checked: air.</x:v>
      </x:c>
      <x:c r="K78" s="19" t="str">
        <x:v>Webster's Revised Unabridged Dictionary (1913 public-domain edition)</x:v>
      </x:c>
      <x:c r="L78" s="31" t="str">
        <x:v>A local or instrument-specific temperature reading; the candidate is interpreted in its documented anchor and voice context.</x:v>
      </x:c>
      <x:c r="M78" s="31" t="str">
        <x:v>A physical temperature, warming, heat, or measurement sense in the documented anchor context.</x:v>
      </x:c>
      <x:c r="N78" s="31" t="str">
        <x:v>A local or instrument-specific temperature reading; the candidate is interpreted in its documented anchor and voice context.</x:v>
      </x:c>
      <x:c r="O78" s="31" t="str">
        <x:v>STRONG</x:v>
      </x:c>
      <x:c r="P78" s="19" t="str">
        <x:v>NOT_LOCATED</x:v>
      </x:c>
      <x:c r="Q78" s="31" t="str">
        <x:v>The surface form may realize multiple senses; candidate meaning remains anchored to the report-visible source context.</x:v>
      </x:c>
      <x:c r="R78" s="31" t="str">
        <x:v>https://websters1913.timcieplowski.com/word/air/; https://api.dictionaryapi.dev/api/v2/entries/en/warm%20air</x:v>
      </x:c>
      <x:c r="S78" s="43" t="str">
        <x:v>2026-08-26</x:v>
      </x:c>
      <x:c r="T78" s="46" t="str">
        <x:v>RECONSTRUCTED_FROM_REPORT; Fear of Temperature_ Stratified Lexical Expansion, Voice Mapping, and Semantic-Relational Pre-Valida.pdf; p.9; project candidate FT-SEED-R1B-P-1988-14; original visible ID not available</x:v>
      </x:c>
    </x:row>
    <x:row r="79" ht="38" customHeight="1">
      <x:c r="A79" s="25" t="str">
        <x:v>FT-SEED-R1B-P-1988-15</x:v>
      </x:c>
      <x:c r="B79" s="19" t="str">
        <x:v>1988</x:v>
      </x:c>
      <x:c r="C79" s="28" t="n">
        <x:v>15</x:v>
      </x:c>
      <x:c r="D79" s="31" t="str">
        <x:v>changing atmosphere</x:v>
      </x:c>
      <x:c r="E79" s="31" t="str">
        <x:v>changing atmosphere</x:v>
      </x:c>
      <x:c r="F79" s="19" t="str">
        <x:v>climate</x:v>
      </x:c>
      <x:c r="G79" s="31" t="str">
        <x:v>TECHNICAL_GLOSSARY</x:v>
      </x:c>
      <x:c r="H79" s="19" t="str">
        <x:v>NO</x:v>
      </x:c>
      <x:c r="I79" s="19" t="str">
        <x:v>IPCC climate-science glossary / assessment terminology</x:v>
      </x:c>
      <x:c r="J79" s="19" t="str">
        <x:v>Component headword checked: atmosphere.</x:v>
      </x:c>
      <x:c r="K79" s="19" t="str">
        <x:v>Anchor-period research source/context; Webster 1913 stable component URL recorded but automated page retrieval was unavailable</x:v>
      </x:c>
      <x:c r="L79" s="31" t="str">
        <x:v>Atmospheric change framed as a climatic or institutional problem; the candidate is interpreted in its documented anchor and voice context.</x:v>
      </x:c>
      <x:c r="M79" s="31" t="str">
        <x:v>A climatic, atmospheric, meteorological, or causal-science sense in the documented anchor context.</x:v>
      </x:c>
      <x:c r="N79" s="31" t="str">
        <x:v>Atmospheric change framed as a climatic or institutional problem; the candidate is interpreted in its documented anchor and voice context.</x:v>
      </x:c>
      <x:c r="O79" s="31" t="str">
        <x:v>STRONG</x:v>
      </x:c>
      <x:c r="P79" s="19" t="str">
        <x:v>NOT_LOCATED</x:v>
      </x:c>
      <x:c r="Q79" s="31" t="str">
        <x:v>The surface form may realize multiple senses; candidate meaning remains anchored to the report-visible source context.</x:v>
      </x:c>
      <x:c r="R79" s="31" t="str">
        <x:v>https://www.ipcc.ch/site/assets/uploads/2018/02/WGIIAR5-AnnexII_FINAL.pdf; https://api.dictionaryapi.dev/api/v2/entries/en/changing%20atmosphere; https://websters1913.timcieplowski.com/word/atmosphere/</x:v>
      </x:c>
      <x:c r="S79" s="43" t="str">
        <x:v>2026-08-26</x:v>
      </x:c>
      <x:c r="T79" s="46" t="str">
        <x:v>RECONSTRUCTED_FROM_REPORT; Fear of Temperature_ Stratified Lexical Expansion, Voice Mapping, and Semantic-Relational Pre-Valida.pdf; p.9; project candidate FT-SEED-R1B-P-1988-15; original visible ID not available</x:v>
      </x:c>
    </x:row>
    <x:row r="80" ht="38" customHeight="1">
      <x:c r="A80" s="25" t="str">
        <x:v>FT-SEED-R1B-P-1988-16</x:v>
      </x:c>
      <x:c r="B80" s="19" t="str">
        <x:v>1988</x:v>
      </x:c>
      <x:c r="C80" s="28" t="n">
        <x:v>16</x:v>
      </x:c>
      <x:c r="D80" s="31" t="str">
        <x:v>global security</x:v>
      </x:c>
      <x:c r="E80" s="31" t="str">
        <x:v>global security frame</x:v>
      </x:c>
      <x:c r="F80" s="19" t="str">
        <x:v>danger_threat</x:v>
      </x:c>
      <x:c r="G80" s="31" t="str">
        <x:v>NO_STANDALONE_HEADWORD</x:v>
      </x:c>
      <x:c r="H80" s="19" t="str">
        <x:v>NO</x:v>
      </x:c>
      <x:c r="I80" s="19" t="str">
        <x:v>Component lexical analysis plus anchor-source contextual meaning</x:v>
      </x:c>
      <x:c r="J80" s="19" t="str">
        <x:v>Component headword checked: security.</x:v>
      </x:c>
      <x:c r="K80" s="19" t="str">
        <x:v>Anchor-period research source/context; Webster 1913 stable component URL recorded but automated page retrieval was unavailable</x:v>
      </x:c>
      <x:c r="L80" s="31" t="str">
        <x:v>Atmospheric or climatic change framed as a global-security matter; the candidate is interpreted in its documented anchor and voice context.</x:v>
      </x:c>
      <x:c r="M80" s="31" t="str">
        <x:v>An institutional frame for threats to international stability and safety; threat without evidence of personal fear.</x:v>
      </x:c>
      <x:c r="N80" s="31" t="str">
        <x:v>Atmospheric or climatic change framed as a global-security matter; the candidate is interpreted in its documented anchor and voice context.</x:v>
      </x:c>
      <x:c r="O80" s="31" t="str">
        <x:v>STRONG</x:v>
      </x:c>
      <x:c r="P80" s="19" t="str">
        <x:v>NOT_LOCATED</x:v>
      </x:c>
      <x:c r="Q80" s="31" t="str">
        <x:v>Security can denote institutions, conditions, or financial instruments; the institutional-threat sense is intended.</x:v>
      </x:c>
      <x:c r="R80" s="31" t="str">
        <x:v>Fear of Temperature_ Stratified Lexical Expansion, Voice Mapping, and Semantic-Relational Pre-Valida.pdf#page=9; https://api.dictionaryapi.dev/api/v2/entries/en/global%20security; https://websters1913.timcieplowski.com/word/security/</x:v>
      </x:c>
      <x:c r="S80" s="43" t="str">
        <x:v>2026-08-26</x:v>
      </x:c>
      <x:c r="T80" s="46" t="str">
        <x:v>RECONSTRUCTED_FROM_REPORT; Fear of Temperature_ Stratified Lexical Expansion, Voice Mapping, and Semantic-Relational Pre-Valida.pdf; p.9; project candidate FT-SEED-R1B-P-1988-16; original visible ID not available</x:v>
      </x:c>
    </x:row>
    <x:row r="81" ht="38" customHeight="1">
      <x:c r="A81" s="25" t="str">
        <x:v>FT-SEED-R1B-P-1988-17</x:v>
      </x:c>
      <x:c r="B81" s="19" t="str">
        <x:v>1988</x:v>
      </x:c>
      <x:c r="C81" s="28" t="n">
        <x:v>17</x:v>
      </x:c>
      <x:c r="D81" s="31" t="str">
        <x:v>climate warming</x:v>
      </x:c>
      <x:c r="E81" s="31" t="str">
        <x:v>climate-system warming</x:v>
      </x:c>
      <x:c r="F81" s="19" t="str">
        <x:v>warming</x:v>
      </x:c>
      <x:c r="G81" s="31" t="str">
        <x:v>TECHNICAL_GLOSSARY</x:v>
      </x:c>
      <x:c r="H81" s="19" t="str">
        <x:v>NO</x:v>
      </x:c>
      <x:c r="I81" s="19" t="str">
        <x:v>IPCC climate-science glossary / assessment terminology</x:v>
      </x:c>
      <x:c r="J81" s="19" t="str">
        <x:v>Component headword checked: warming.</x:v>
      </x:c>
      <x:c r="K81" s="19" t="str">
        <x:v>Anchor-period research source/context; Webster 1913 stable component URL recorded but automated page retrieval was unavailable</x:v>
      </x:c>
      <x:c r="L81" s="31" t="str">
        <x:v>Warming attributed to or observed across the climate system; the candidate is interpreted in its documented anchor and voice context.</x:v>
      </x:c>
      <x:c r="M81" s="31" t="str">
        <x:v>A physical temperature, warming, heat, or measurement sense in the documented anchor context.</x:v>
      </x:c>
      <x:c r="N81" s="31" t="str">
        <x:v>Warming attributed to or observed across the climate system; the candidate is interpreted in its documented anchor and voice context.</x:v>
      </x:c>
      <x:c r="O81" s="31" t="str">
        <x:v>STRONG</x:v>
      </x:c>
      <x:c r="P81" s="19" t="str">
        <x:v>NOT_LOCATED</x:v>
      </x:c>
      <x:c r="Q81" s="31" t="str">
        <x:v>The surface form may realize multiple senses; candidate meaning remains anchored to the report-visible source context.</x:v>
      </x:c>
      <x:c r="R81" s="31" t="str">
        <x:v>https://www.ipcc.ch/site/assets/uploads/2018/02/WGIIAR5-AnnexII_FINAL.pdf; https://api.dictionaryapi.dev/api/v2/entries/en/climate%20warming; https://websters1913.timcieplowski.com/word/warming/</x:v>
      </x:c>
      <x:c r="S81" s="43" t="str">
        <x:v>2026-08-26</x:v>
      </x:c>
      <x:c r="T81" s="46" t="str">
        <x:v>RECONSTRUCTED_FROM_REPORT; Fear of Temperature_ Stratified Lexical Expansion, Voice Mapping, and Semantic-Relational Pre-Valida.pdf; p.9; project candidate FT-SEED-R1B-P-1988-17; original visible ID not available</x:v>
      </x:c>
    </x:row>
    <x:row r="82" ht="38" customHeight="1">
      <x:c r="A82" s="25" t="str">
        <x:v>FT-SEED-R1B-P-1988-18</x:v>
      </x:c>
      <x:c r="B82" s="19" t="str">
        <x:v>1988</x:v>
      </x:c>
      <x:c r="C82" s="28" t="n">
        <x:v>18</x:v>
      </x:c>
      <x:c r="D82" s="31" t="str">
        <x:v>changed climatic extremes</x:v>
      </x:c>
      <x:c r="E82" s="31" t="str">
        <x:v>generic damage</x:v>
      </x:c>
      <x:c r="F82" s="19" t="str">
        <x:v>harm_loss_consequences</x:v>
      </x:c>
      <x:c r="G82" s="31" t="str">
        <x:v>NO_STANDALONE_HEADWORD</x:v>
      </x:c>
      <x:c r="H82" s="19" t="str">
        <x:v>NO</x:v>
      </x:c>
      <x:c r="I82" s="19" t="str">
        <x:v>Component lexical analysis plus anchor-source contextual meaning</x:v>
      </x:c>
      <x:c r="J82" s="19" t="str">
        <x:v>Component headword checked: extremes.</x:v>
      </x:c>
      <x:c r="K82" s="19" t="str">
        <x:v>Anchor-period research source/context; Webster 1913 stable component URL recorded but automated page retrieval was unavailable</x:v>
      </x:c>
      <x:c r="L82" s="31" t="str">
        <x:v>Generic material, ecological, or social damage; the candidate is interpreted in its documented anchor and voice context.</x:v>
      </x:c>
      <x:c r="M82" s="31" t="str">
        <x:v>A threat, risk, harm, severity, or consequence sense in the documented source; it is not automatically an emotion.</x:v>
      </x:c>
      <x:c r="N82" s="31" t="str">
        <x:v>Generic material, ecological, or social damage; the candidate is interpreted in its documented anchor and voice context.</x:v>
      </x:c>
      <x:c r="O82" s="31" t="str">
        <x:v>STRONG</x:v>
      </x:c>
      <x:c r="P82" s="19" t="str">
        <x:v>NOT_LOCATED</x:v>
      </x:c>
      <x:c r="Q82" s="31" t="str">
        <x:v>The surface form may realize multiple senses; candidate meaning remains anchored to the report-visible source context.</x:v>
      </x:c>
      <x:c r="R82" s="31" t="str">
        <x:v>Fear of Temperature_ Stratified Lexical Expansion, Voice Mapping, and Semantic-Relational Pre-Valida.pdf#page=9; https://api.dictionaryapi.dev/api/v2/entries/en/changed%20climatic%20extremes; https://websters1913.timcieplowski.com/word/extremes/</x:v>
      </x:c>
      <x:c r="S82" s="43" t="str">
        <x:v>2026-08-26</x:v>
      </x:c>
      <x:c r="T82" s="46" t="str">
        <x:v>RECONSTRUCTED_FROM_REPORT; Fear of Temperature_ Stratified Lexical Expansion, Voice Mapping, and Semantic-Relational Pre-Valida.pdf; p.9; project candidate FT-SEED-R1B-P-1988-18; original visible ID not available</x:v>
      </x:c>
    </x:row>
    <x:row r="83" ht="38" customHeight="1">
      <x:c r="A83" s="25" t="str">
        <x:v>FT-SEED-R1B-P-1988-19</x:v>
      </x:c>
      <x:c r="B83" s="19" t="str">
        <x:v>1988</x:v>
      </x:c>
      <x:c r="C83" s="28" t="n">
        <x:v>19</x:v>
      </x:c>
      <x:c r="D83" s="31" t="str">
        <x:v>major threat</x:v>
      </x:c>
      <x:c r="E83" s="31" t="str">
        <x:v>institutional climate threat</x:v>
      </x:c>
      <x:c r="F83" s="19" t="str">
        <x:v>danger_threat</x:v>
      </x:c>
      <x:c r="G83" s="31" t="str">
        <x:v>NO_STANDALONE_HEADWORD</x:v>
      </x:c>
      <x:c r="H83" s="19" t="str">
        <x:v>NO</x:v>
      </x:c>
      <x:c r="I83" s="19" t="str">
        <x:v>Component lexical analysis plus anchor-source contextual meaning</x:v>
      </x:c>
      <x:c r="J83" s="19" t="str">
        <x:v>Component headword checked: threat.</x:v>
      </x:c>
      <x:c r="K83" s="19" t="str">
        <x:v>Anchor-period research source/context; Webster 1913 stable component URL recorded but automated page retrieval was unavailable</x:v>
      </x:c>
      <x:c r="L83" s="31" t="str">
        <x:v>Climate change framed as an institutional threat; the candidate is interpreted in its documented anchor and voice context.</x:v>
      </x:c>
      <x:c r="M83" s="31" t="str">
        <x:v>A threat, risk, harm, severity, or consequence sense in the documented source; it is not automatically an emotion.</x:v>
      </x:c>
      <x:c r="N83" s="31" t="str">
        <x:v>Climate change framed as an institutional threat; the candidate is interpreted in its documented anchor and voice context.</x:v>
      </x:c>
      <x:c r="O83" s="31" t="str">
        <x:v>STRONG</x:v>
      </x:c>
      <x:c r="P83" s="19" t="str">
        <x:v>NOT_LOCATED</x:v>
      </x:c>
      <x:c r="Q83" s="31" t="str">
        <x:v>The surface form may realize multiple senses; candidate meaning remains anchored to the report-visible source context.</x:v>
      </x:c>
      <x:c r="R83" s="31" t="str">
        <x:v>Fear of Temperature_ Stratified Lexical Expansion, Voice Mapping, and Semantic-Relational Pre-Valida.pdf#page=9; https://api.dictionaryapi.dev/api/v2/entries/en/major%20threat; https://websters1913.timcieplowski.com/word/threat/</x:v>
      </x:c>
      <x:c r="S83" s="43" t="str">
        <x:v>2026-08-26</x:v>
      </x:c>
      <x:c r="T83" s="46" t="str">
        <x:v>RECONSTRUCTED_FROM_REPORT; Fear of Temperature_ Stratified Lexical Expansion, Voice Mapping, and Semantic-Relational Pre-Valida.pdf; p.9; project candidate FT-SEED-R1B-P-1988-19; original visible ID not available</x:v>
      </x:c>
    </x:row>
    <x:row r="84" ht="38" customHeight="1">
      <x:c r="A84" s="25" t="str">
        <x:v>FT-SEED-R1B-P-1988-20</x:v>
      </x:c>
      <x:c r="B84" s="19" t="str">
        <x:v>1988</x:v>
      </x:c>
      <x:c r="C84" s="28" t="n">
        <x:v>20</x:v>
      </x:c>
      <x:c r="D84" s="31" t="str">
        <x:v>harmful consequences</x:v>
      </x:c>
      <x:c r="E84" s="31" t="str">
        <x:v>generic damage</x:v>
      </x:c>
      <x:c r="F84" s="19" t="str">
        <x:v>harm_loss_consequences</x:v>
      </x:c>
      <x:c r="G84" s="31" t="str">
        <x:v>NO_STANDALONE_HEADWORD</x:v>
      </x:c>
      <x:c r="H84" s="19" t="str">
        <x:v>NO</x:v>
      </x:c>
      <x:c r="I84" s="19" t="str">
        <x:v>Component lexical analysis plus anchor-source contextual meaning</x:v>
      </x:c>
      <x:c r="J84" s="19" t="str">
        <x:v>Component headword checked: consequences.</x:v>
      </x:c>
      <x:c r="K84" s="19" t="str">
        <x:v>Anchor-period research source/context; Webster 1913 stable component URL recorded but automated page retrieval was unavailable</x:v>
      </x:c>
      <x:c r="L84" s="31" t="str">
        <x:v>Generic material, ecological, or social damage; the candidate is interpreted in its documented anchor and voice context.</x:v>
      </x:c>
      <x:c r="M84" s="31" t="str">
        <x:v>A threat, risk, harm, severity, or consequence sense in the documented source; it is not automatically an emotion.</x:v>
      </x:c>
      <x:c r="N84" s="31" t="str">
        <x:v>Generic material, ecological, or social damage; the candidate is interpreted in its documented anchor and voice context.</x:v>
      </x:c>
      <x:c r="O84" s="31" t="str">
        <x:v>STRONG</x:v>
      </x:c>
      <x:c r="P84" s="19" t="str">
        <x:v>NOT_LOCATED</x:v>
      </x:c>
      <x:c r="Q84" s="31" t="str">
        <x:v>The surface form may realize multiple senses; candidate meaning remains anchored to the report-visible source context.</x:v>
      </x:c>
      <x:c r="R84" s="31" t="str">
        <x:v>Fear of Temperature_ Stratified Lexical Expansion, Voice Mapping, and Semantic-Relational Pre-Valida.pdf#page=9; https://api.dictionaryapi.dev/api/v2/entries/en/harmful%20consequences; https://websters1913.timcieplowski.com/word/consequences/</x:v>
      </x:c>
      <x:c r="S84" s="43" t="str">
        <x:v>2026-08-26</x:v>
      </x:c>
      <x:c r="T84" s="46" t="str">
        <x:v>RECONSTRUCTED_FROM_REPORT; Fear of Temperature_ Stratified Lexical Expansion, Voice Mapping, and Semantic-Relational Pre-Valida.pdf; p.9; project candidate FT-SEED-R1B-P-1988-20; original visible ID not available</x:v>
      </x:c>
    </x:row>
    <x:row r="85" ht="38" customHeight="1">
      <x:c r="A85" s="25" t="str">
        <x:v>FT-SEED-R1B-P-1988-21</x:v>
      </x:c>
      <x:c r="B85" s="19" t="str">
        <x:v>1988</x:v>
      </x:c>
      <x:c r="C85" s="28" t="n">
        <x:v>21</x:v>
      </x:c>
      <x:c r="D85" s="31" t="str">
        <x:v>grave threats</x:v>
      </x:c>
      <x:c r="E85" s="31" t="str">
        <x:v>institutional climate threat</x:v>
      </x:c>
      <x:c r="F85" s="19" t="str">
        <x:v>danger_threat</x:v>
      </x:c>
      <x:c r="G85" s="31" t="str">
        <x:v>NO_STANDALONE_HEADWORD</x:v>
      </x:c>
      <x:c r="H85" s="19" t="str">
        <x:v>NO</x:v>
      </x:c>
      <x:c r="I85" s="19" t="str">
        <x:v>Component lexical analysis plus anchor-source contextual meaning</x:v>
      </x:c>
      <x:c r="J85" s="19" t="str">
        <x:v>Component headword checked: threats.</x:v>
      </x:c>
      <x:c r="K85" s="19" t="str">
        <x:v>Anchor-period research source/context; Webster 1913 stable component URL recorded but automated page retrieval was unavailable</x:v>
      </x:c>
      <x:c r="L85" s="31" t="str">
        <x:v>Climate change framed as an institutional threat; the candidate is interpreted in its documented anchor and voice context.</x:v>
      </x:c>
      <x:c r="M85" s="31" t="str">
        <x:v>A threat, risk, harm, severity, or consequence sense in the documented source; it is not automatically an emotion.</x:v>
      </x:c>
      <x:c r="N85" s="31" t="str">
        <x:v>Climate change framed as an institutional threat; the candidate is interpreted in its documented anchor and voice context.</x:v>
      </x:c>
      <x:c r="O85" s="31" t="str">
        <x:v>STRONG</x:v>
      </x:c>
      <x:c r="P85" s="19" t="str">
        <x:v>NOT_LOCATED</x:v>
      </x:c>
      <x:c r="Q85" s="31" t="str">
        <x:v>The surface form may realize multiple senses; candidate meaning remains anchored to the report-visible source context.</x:v>
      </x:c>
      <x:c r="R85" s="31" t="str">
        <x:v>Fear of Temperature_ Stratified Lexical Expansion, Voice Mapping, and Semantic-Relational Pre-Valida.pdf#page=9; https://api.dictionaryapi.dev/api/v2/entries/en/grave%20threats; https://websters1913.timcieplowski.com/word/threats/</x:v>
      </x:c>
      <x:c r="S85" s="43" t="str">
        <x:v>2026-08-26</x:v>
      </x:c>
      <x:c r="T85" s="46" t="str">
        <x:v>RECONSTRUCTED_FROM_REPORT; Fear of Temperature_ Stratified Lexical Expansion, Voice Mapping, and Semantic-Relational Pre-Valida.pdf; p.9; project candidate FT-SEED-R1B-P-1988-21; original visible ID not available</x:v>
      </x:c>
    </x:row>
    <x:row r="86" ht="38" customHeight="1">
      <x:c r="A86" s="25" t="str">
        <x:v>FT-SEED-R1B-P-1988-22</x:v>
      </x:c>
      <x:c r="B86" s="19" t="str">
        <x:v>1988</x:v>
      </x:c>
      <x:c r="C86" s="28" t="n">
        <x:v>22</x:v>
      </x:c>
      <x:c r="D86" s="31" t="str">
        <x:v>severe economic and social dislocation</x:v>
      </x:c>
      <x:c r="E86" s="31" t="str">
        <x:v>generic damage</x:v>
      </x:c>
      <x:c r="F86" s="19" t="str">
        <x:v>harm_loss_consequences</x:v>
      </x:c>
      <x:c r="G86" s="31" t="str">
        <x:v>NO_STANDALONE_HEADWORD</x:v>
      </x:c>
      <x:c r="H86" s="19" t="str">
        <x:v>NO</x:v>
      </x:c>
      <x:c r="I86" s="19" t="str">
        <x:v>Component lexical analysis plus anchor-source contextual meaning</x:v>
      </x:c>
      <x:c r="J86" s="19" t="str">
        <x:v>Component headword checked: dislocation.</x:v>
      </x:c>
      <x:c r="K86" s="19" t="str">
        <x:v>Anchor-period research source/context; Webster 1913 stable component URL recorded but automated page retrieval was unavailable</x:v>
      </x:c>
      <x:c r="L86" s="31" t="str">
        <x:v>Generic material, ecological, or social damage; the candidate is interpreted in its documented anchor and voice context.</x:v>
      </x:c>
      <x:c r="M86" s="31" t="str">
        <x:v>A threat, risk, harm, severity, or consequence sense in the documented source; it is not automatically an emotion.</x:v>
      </x:c>
      <x:c r="N86" s="31" t="str">
        <x:v>Generic material, ecological, or social damage; the candidate is interpreted in its documented anchor and voice context.</x:v>
      </x:c>
      <x:c r="O86" s="31" t="str">
        <x:v>STRONG</x:v>
      </x:c>
      <x:c r="P86" s="19" t="str">
        <x:v>NOT_LOCATED</x:v>
      </x:c>
      <x:c r="Q86" s="31" t="str">
        <x:v>The surface form may realize multiple senses; candidate meaning remains anchored to the report-visible source context.</x:v>
      </x:c>
      <x:c r="R86" s="31" t="str">
        <x:v>Fear of Temperature_ Stratified Lexical Expansion, Voice Mapping, and Semantic-Relational Pre-Valida.pdf#page=9; https://api.dictionaryapi.dev/api/v2/entries/en/severe%20economic%20and%20social%20dislocation; https://websters1913.timcieplowski.com/word/dislocation/</x:v>
      </x:c>
      <x:c r="S86" s="43" t="str">
        <x:v>2026-08-26</x:v>
      </x:c>
      <x:c r="T86" s="46" t="str">
        <x:v>RECONSTRUCTED_FROM_REPORT; Fear of Temperature_ Stratified Lexical Expansion, Voice Mapping, and Semantic-Relational Pre-Valida.pdf; p.9; project candidate FT-SEED-R1B-P-1988-22; original visible ID not available</x:v>
      </x:c>
    </x:row>
    <x:row r="87" ht="38" customHeight="1">
      <x:c r="A87" s="25" t="str">
        <x:v>FT-SEED-R1B-P-1988-23</x:v>
      </x:c>
      <x:c r="B87" s="19" t="str">
        <x:v>1988</x:v>
      </x:c>
      <x:c r="C87" s="28" t="n">
        <x:v>23</x:v>
      </x:c>
      <x:c r="D87" s="31" t="str">
        <x:v>risk of conflicts</x:v>
      </x:c>
      <x:c r="E87" s="31" t="str">
        <x:v>administrative risk assessment</x:v>
      </x:c>
      <x:c r="F87" s="19" t="str">
        <x:v>risk</x:v>
      </x:c>
      <x:c r="G87" s="31" t="str">
        <x:v>NO_STANDALONE_HEADWORD</x:v>
      </x:c>
      <x:c r="H87" s="19" t="str">
        <x:v>NO</x:v>
      </x:c>
      <x:c r="I87" s="19" t="str">
        <x:v>Component lexical analysis plus anchor-source contextual meaning</x:v>
      </x:c>
      <x:c r="J87" s="19" t="str">
        <x:v>Component headword checked: conflicts.</x:v>
      </x:c>
      <x:c r="K87" s="19" t="str">
        <x:v>Anchor-period research source/context; Webster 1913 stable component URL recorded but automated page retrieval was unavailable</x:v>
      </x:c>
      <x:c r="L87" s="31" t="str">
        <x:v>Risk managed or assessed through institutional procedure; the candidate is interpreted in its documented anchor and voice context.</x:v>
      </x:c>
      <x:c r="M87" s="31" t="str">
        <x:v>A threat, risk, harm, severity, or consequence sense in the documented source; it is not automatically an emotion.</x:v>
      </x:c>
      <x:c r="N87" s="31" t="str">
        <x:v>Risk managed or assessed through institutional procedure; the candidate is interpreted in its documented anchor and voice context.</x:v>
      </x:c>
      <x:c r="O87" s="31" t="str">
        <x:v>STRONG</x:v>
      </x:c>
      <x:c r="P87" s="19" t="str">
        <x:v>NOT_LOCATED</x:v>
      </x:c>
      <x:c r="Q87" s="31" t="str">
        <x:v>The surface form may realize multiple senses; candidate meaning remains anchored to the report-visible source context.</x:v>
      </x:c>
      <x:c r="R87" s="31" t="str">
        <x:v>Fear of Temperature_ Stratified Lexical Expansion, Voice Mapping, and Semantic-Relational Pre-Valida.pdf#page=9; https://api.dictionaryapi.dev/api/v2/entries/en/risk%20of%20conflicts; https://websters1913.timcieplowski.com/word/conflicts/</x:v>
      </x:c>
      <x:c r="S87" s="43" t="str">
        <x:v>2026-08-26</x:v>
      </x:c>
      <x:c r="T87" s="46" t="str">
        <x:v>RECONSTRUCTED_FROM_REPORT; Fear of Temperature_ Stratified Lexical Expansion, Voice Mapping, and Semantic-Relational Pre-Valida.pdf; p.9; project candidate FT-SEED-R1B-P-1988-23; original visible ID not available</x:v>
      </x:c>
    </x:row>
    <x:row r="88" ht="38" customHeight="1">
      <x:c r="A88" s="25" t="str">
        <x:v>FT-SEED-R1B-P-1988-24</x:v>
      </x:c>
      <x:c r="B88" s="19" t="str">
        <x:v>1988</x:v>
      </x:c>
      <x:c r="C88" s="28" t="n">
        <x:v>24</x:v>
      </x:c>
      <x:c r="D88" s="31" t="str">
        <x:v>impending crisis</x:v>
      </x:c>
      <x:c r="E88" s="31" t="str">
        <x:v>severity / crisis predicate</x:v>
      </x:c>
      <x:c r="F88" s="19" t="str">
        <x:v>crisis_emergency</x:v>
      </x:c>
      <x:c r="G88" s="31" t="str">
        <x:v>NO_STANDALONE_HEADWORD</x:v>
      </x:c>
      <x:c r="H88" s="19" t="str">
        <x:v>NO</x:v>
      </x:c>
      <x:c r="I88" s="19" t="str">
        <x:v>Component lexical analysis plus anchor-source contextual meaning</x:v>
      </x:c>
      <x:c r="J88" s="19" t="str">
        <x:v>Component headword checked: crisis.</x:v>
      </x:c>
      <x:c r="K88" s="19" t="str">
        <x:v>Anchor-period research source/context; Webster 1913 stable component URL recorded but automated page retrieval was unavailable</x:v>
      </x:c>
      <x:c r="L88" s="31" t="str">
        <x:v>Crisis used as a severity predicate without necessarily being an established issue label; the candidate is interpreted in its documented anchor and voice context.</x:v>
      </x:c>
      <x:c r="M88" s="31" t="str">
        <x:v>A threat, risk, harm, severity, or consequence sense in the documented source; it is not automatically an emotion.</x:v>
      </x:c>
      <x:c r="N88" s="31" t="str">
        <x:v>Crisis used as a severity predicate without necessarily being an established issue label; the candidate is interpreted in its documented anchor and voice context.</x:v>
      </x:c>
      <x:c r="O88" s="31" t="str">
        <x:v>STRONG</x:v>
      </x:c>
      <x:c r="P88" s="19" t="str">
        <x:v>NOT_LOCATED</x:v>
      </x:c>
      <x:c r="Q88" s="31" t="str">
        <x:v>The surface form may realize multiple senses; candidate meaning remains anchored to the report-visible source context.</x:v>
      </x:c>
      <x:c r="R88" s="31" t="str">
        <x:v>Fear of Temperature_ Stratified Lexical Expansion, Voice Mapping, and Semantic-Relational Pre-Valida.pdf#page=9; https://api.dictionaryapi.dev/api/v2/entries/en/impending%20crisis; https://websters1913.timcieplowski.com/word/crisis/</x:v>
      </x:c>
      <x:c r="S88" s="43" t="str">
        <x:v>2026-08-26</x:v>
      </x:c>
      <x:c r="T88" s="46" t="str">
        <x:v>RECONSTRUCTED_FROM_REPORT; Fear of Temperature_ Stratified Lexical Expansion, Voice Mapping, and Semantic-Relational Pre-Valida.pdf; p.9; project candidate FT-SEED-R1B-P-1988-24; original visible ID not available</x:v>
      </x:c>
    </x:row>
    <x:row r="89" ht="38" customHeight="1">
      <x:c r="A89" s="25" t="str">
        <x:v>FT-SEED-R1B-P-1988-25</x:v>
      </x:c>
      <x:c r="B89" s="19" t="str">
        <x:v>1988</x:v>
      </x:c>
      <x:c r="C89" s="28" t="n">
        <x:v>25</x:v>
      </x:c>
      <x:c r="D89" s="31" t="str">
        <x:v>degradation of the atmosphere</x:v>
      </x:c>
      <x:c r="E89" s="31" t="str">
        <x:v>generic damage</x:v>
      </x:c>
      <x:c r="F89" s="19" t="str">
        <x:v>harm_loss_consequences</x:v>
      </x:c>
      <x:c r="G89" s="31" t="str">
        <x:v>NO_STANDALONE_HEADWORD</x:v>
      </x:c>
      <x:c r="H89" s="19" t="str">
        <x:v>NO</x:v>
      </x:c>
      <x:c r="I89" s="19" t="str">
        <x:v>Component lexical analysis plus anchor-source contextual meaning</x:v>
      </x:c>
      <x:c r="J89" s="19" t="str">
        <x:v>Component headword checked: atmosphere.</x:v>
      </x:c>
      <x:c r="K89" s="19" t="str">
        <x:v>Anchor-period research source/context; Webster 1913 stable component URL recorded but automated page retrieval was unavailable</x:v>
      </x:c>
      <x:c r="L89" s="31" t="str">
        <x:v>Generic material, ecological, or social damage; the candidate is interpreted in its documented anchor and voice context.</x:v>
      </x:c>
      <x:c r="M89" s="31" t="str">
        <x:v>A threat, risk, harm, severity, or consequence sense in the documented source; it is not automatically an emotion.</x:v>
      </x:c>
      <x:c r="N89" s="31" t="str">
        <x:v>Generic material, ecological, or social damage; the candidate is interpreted in its documented anchor and voice context.</x:v>
      </x:c>
      <x:c r="O89" s="31" t="str">
        <x:v>STRONG</x:v>
      </x:c>
      <x:c r="P89" s="19" t="str">
        <x:v>NOT_LOCATED</x:v>
      </x:c>
      <x:c r="Q89" s="31" t="str">
        <x:v>The surface form may realize multiple senses; candidate meaning remains anchored to the report-visible source context.</x:v>
      </x:c>
      <x:c r="R89" s="31" t="str">
        <x:v>Fear of Temperature_ Stratified Lexical Expansion, Voice Mapping, and Semantic-Relational Pre-Valida.pdf#page=9; https://api.dictionaryapi.dev/api/v2/entries/en/degradation%20of%20the%20atmosphere; https://websters1913.timcieplowski.com/word/atmosphere/</x:v>
      </x:c>
      <x:c r="S89" s="43" t="str">
        <x:v>2026-08-26</x:v>
      </x:c>
      <x:c r="T89" s="46" t="str">
        <x:v>RECONSTRUCTED_FROM_REPORT; Fear of Temperature_ Stratified Lexical Expansion, Voice Mapping, and Semantic-Relational Pre-Valida.pdf; p.9; project candidate FT-SEED-R1B-P-1988-25; original visible ID not available</x:v>
      </x:c>
    </x:row>
    <x:row r="90" ht="38" customHeight="1">
      <x:c r="A90" s="25" t="str">
        <x:v>FT-SEED-R1B-P-1988-26</x:v>
      </x:c>
      <x:c r="B90" s="19" t="str">
        <x:v>1988</x:v>
      </x:c>
      <x:c r="C90" s="28" t="n">
        <x:v>26</x:v>
      </x:c>
      <x:c r="D90" s="31" t="str">
        <x:v>atmospheric pollution</x:v>
      </x:c>
      <x:c r="E90" s="31" t="str">
        <x:v>generic damage</x:v>
      </x:c>
      <x:c r="F90" s="19" t="str">
        <x:v>harm_loss_consequences</x:v>
      </x:c>
      <x:c r="G90" s="31" t="str">
        <x:v>NO_STANDALONE_HEADWORD</x:v>
      </x:c>
      <x:c r="H90" s="19" t="str">
        <x:v>NO</x:v>
      </x:c>
      <x:c r="I90" s="19" t="str">
        <x:v>Component lexical analysis plus anchor-source contextual meaning</x:v>
      </x:c>
      <x:c r="J90" s="19" t="str">
        <x:v>Component headword checked: pollution.</x:v>
      </x:c>
      <x:c r="K90" s="19" t="str">
        <x:v>Anchor-period research source/context; Webster 1913 stable component URL recorded but automated page retrieval was unavailable</x:v>
      </x:c>
      <x:c r="L90" s="31" t="str">
        <x:v>Generic material, ecological, or social damage; the candidate is interpreted in its documented anchor and voice context.</x:v>
      </x:c>
      <x:c r="M90" s="31" t="str">
        <x:v>A threat, risk, harm, severity, or consequence sense in the documented source; it is not automatically an emotion.</x:v>
      </x:c>
      <x:c r="N90" s="31" t="str">
        <x:v>Generic material, ecological, or social damage; the candidate is interpreted in its documented anchor and voice context.</x:v>
      </x:c>
      <x:c r="O90" s="31" t="str">
        <x:v>STRONG</x:v>
      </x:c>
      <x:c r="P90" s="19" t="str">
        <x:v>NOT_LOCATED</x:v>
      </x:c>
      <x:c r="Q90" s="31" t="str">
        <x:v>The surface form may realize multiple senses; candidate meaning remains anchored to the report-visible source context.</x:v>
      </x:c>
      <x:c r="R90" s="31" t="str">
        <x:v>Fear of Temperature_ Stratified Lexical Expansion, Voice Mapping, and Semantic-Relational Pre-Valida.pdf#page=9; https://api.dictionaryapi.dev/api/v2/entries/en/atmospheric%20pollution; https://websters1913.timcieplowski.com/word/pollution/</x:v>
      </x:c>
      <x:c r="S90" s="43" t="str">
        <x:v>2026-08-26</x:v>
      </x:c>
      <x:c r="T90" s="46" t="str">
        <x:v>RECONSTRUCTED_FROM_REPORT; Fear of Temperature_ Stratified Lexical Expansion, Voice Mapping, and Semantic-Relational Pre-Valida.pdf; p.9; project candidate FT-SEED-R1B-P-1988-26; original visible ID not available</x:v>
      </x:c>
    </x:row>
    <x:row r="91" ht="38" customHeight="1">
      <x:c r="A91" s="25" t="str">
        <x:v>FT-SEED-R1B-P-1988-27</x:v>
      </x:c>
      <x:c r="B91" s="19" t="str">
        <x:v>1988</x:v>
      </x:c>
      <x:c r="C91" s="28" t="n">
        <x:v>27</x:v>
      </x:c>
      <x:c r="D91" s="31" t="str">
        <x:v>greenhouse gases</x:v>
      </x:c>
      <x:c r="E91" s="31" t="str">
        <x:v>anthropogenic greenhouse-gas emissions</x:v>
      </x:c>
      <x:c r="F91" s="19" t="str">
        <x:v>carbon_greenhouse</x:v>
      </x:c>
      <x:c r="G91" s="31" t="str">
        <x:v>TECHNICAL_GLOSSARY</x:v>
      </x:c>
      <x:c r="H91" s="19" t="str">
        <x:v>NO</x:v>
      </x:c>
      <x:c r="I91" s="19" t="str">
        <x:v>IPCC climate-science glossary / assessment terminology</x:v>
      </x:c>
      <x:c r="J91" s="19" t="str">
        <x:v>Component headword checked: gases.</x:v>
      </x:c>
      <x:c r="K91" s="19" t="str">
        <x:v>Anchor-period research source/context; Webster 1913 stable component URL recorded but automated page retrieval was unavailable</x:v>
      </x:c>
      <x:c r="L91" s="31" t="str">
        <x:v>Atmospheric gases that absorb and emit infrared radiation and thereby influence the greenhouse effect.</x:v>
      </x:c>
      <x:c r="M91" s="31" t="str">
        <x:v>A climatic, atmospheric, meteorological, or causal-science sense in the documented anchor context.</x:v>
      </x:c>
      <x:c r="N91" s="31" t="str">
        <x:v>Atmospheric gases that absorb and emit infrared radiation and thereby influence the greenhouse effect.</x:v>
      </x:c>
      <x:c r="O91" s="31" t="str">
        <x:v>STRONG</x:v>
      </x:c>
      <x:c r="P91" s="19" t="str">
        <x:v>NOT_LOCATED</x:v>
      </x:c>
      <x:c r="Q91" s="31" t="str">
        <x:v>The surface form may realize multiple senses; candidate meaning remains anchored to the report-visible source context.</x:v>
      </x:c>
      <x:c r="R91" s="31" t="str">
        <x:v>https://www.ipcc.ch/site/assets/uploads/2018/02/WGIIAR5-AnnexII_FINAL.pdf; https://api.dictionaryapi.dev/api/v2/entries/en/greenhouse%20gases; https://websters1913.timcieplowski.com/word/gases/</x:v>
      </x:c>
      <x:c r="S91" s="43" t="str">
        <x:v>2026-08-26</x:v>
      </x:c>
      <x:c r="T91" s="46" t="str">
        <x:v>RECONSTRUCTED_FROM_REPORT; Fear of Temperature_ Stratified Lexical Expansion, Voice Mapping, and Semantic-Relational Pre-Valida.pdf; p.9; project candidate FT-SEED-R1B-P-1988-27; original visible ID not available</x:v>
      </x:c>
    </x:row>
    <x:row r="92" ht="38" customHeight="1">
      <x:c r="A92" s="25" t="str">
        <x:v>FT-SEED-R1B-P-1988-28</x:v>
      </x:c>
      <x:c r="B92" s="19" t="str">
        <x:v>1988</x:v>
      </x:c>
      <x:c r="C92" s="28" t="n">
        <x:v>28</x:v>
      </x:c>
      <x:c r="D92" s="31" t="str">
        <x:v>Global Warming Has Begun</x:v>
      </x:c>
      <x:c r="E92" s="31" t="str">
        <x:v>global warming as issue label</x:v>
      </x:c>
      <x:c r="F92" s="19" t="str">
        <x:v>warming</x:v>
      </x:c>
      <x:c r="G92" s="31" t="str">
        <x:v>NO_STANDALONE_HEADWORD</x:v>
      </x:c>
      <x:c r="H92" s="19" t="str">
        <x:v>NO</x:v>
      </x:c>
      <x:c r="I92" s="19" t="str">
        <x:v>Component lexical analysis plus anchor-source contextual meaning</x:v>
      </x:c>
      <x:c r="J92" s="19" t="str">
        <x:v>Component headword checked: begun.</x:v>
      </x:c>
      <x:c r="K92" s="19" t="str">
        <x:v>Anchor-period research source/context; Webster 1913 stable component URL recorded but automated page retrieval was unavailable</x:v>
      </x:c>
      <x:c r="L92" s="31" t="str">
        <x:v>Global warming used as an established public, scientific, or policy issue label; the candidate is interpreted in its documented anchor and voice context.</x:v>
      </x:c>
      <x:c r="M92" s="31" t="str">
        <x:v>A physical temperature, warming, heat, or measurement sense in the documented anchor context.</x:v>
      </x:c>
      <x:c r="N92" s="31" t="str">
        <x:v>Global warming used as an established public, scientific, or policy issue label; the candidate is interpreted in its documented anchor and voice context.</x:v>
      </x:c>
      <x:c r="O92" s="31" t="str">
        <x:v>STRONG</x:v>
      </x:c>
      <x:c r="P92" s="19" t="str">
        <x:v>NOT_LOCATED</x:v>
      </x:c>
      <x:c r="Q92" s="31" t="str">
        <x:v>The surface form may realize multiple senses; candidate meaning remains anchored to the report-visible source context.</x:v>
      </x:c>
      <x:c r="R92" s="31" t="str">
        <x:v>Fear of Temperature_ Stratified Lexical Expansion, Voice Mapping, and Semantic-Relational Pre-Valida.pdf#page=9; https://api.dictionaryapi.dev/api/v2/entries/en/Global%20Warming%20Has%20Begun; https://websters1913.timcieplowski.com/word/begun/</x:v>
      </x:c>
      <x:c r="S92" s="43" t="str">
        <x:v>2026-08-26</x:v>
      </x:c>
      <x:c r="T92" s="46" t="str">
        <x:v>RECONSTRUCTED_FROM_REPORT; Fear of Temperature_ Stratified Lexical Expansion, Voice Mapping, and Semantic-Relational Pre-Valida.pdf; p.9; project candidate FT-SEED-R1B-P-1988-28; original visible ID not available</x:v>
      </x:c>
    </x:row>
    <x:row r="93" ht="38" customHeight="1">
      <x:c r="A93" s="25" t="str">
        <x:v>FT-SEED-R1B-P-1988-29</x:v>
      </x:c>
      <x:c r="B93" s="19" t="str">
        <x:v>1988</x:v>
      </x:c>
      <x:c r="C93" s="28" t="n">
        <x:v>29</x:v>
      </x:c>
      <x:c r="D93" s="31" t="str">
        <x:v>evidence is pretty strong</x:v>
      </x:c>
      <x:c r="E93" s="31" t="str">
        <x:v>personal concern</x:v>
      </x:c>
      <x:c r="F93" s="19" t="str">
        <x:v>concern_alarm</x:v>
      </x:c>
      <x:c r="G93" s="31" t="str">
        <x:v>NO_STANDALONE_HEADWORD</x:v>
      </x:c>
      <x:c r="H93" s="19" t="str">
        <x:v>NO</x:v>
      </x:c>
      <x:c r="I93" s="19" t="str">
        <x:v>Component lexical analysis plus anchor-source contextual meaning</x:v>
      </x:c>
      <x:c r="J93" s="19" t="str">
        <x:v>Component headword checked: strong.</x:v>
      </x:c>
      <x:c r="K93" s="19" t="str">
        <x:v>Anchor-period research source/context; Webster 1913 stable component URL recorded but automated page retrieval was unavailable</x:v>
      </x:c>
      <x:c r="L93" s="31" t="str">
        <x:v>Concern expressed or endorsed by an identifiable person about a climate or heat object; the candidate is interpreted in its documented anchor and voice context.</x:v>
      </x:c>
      <x:c r="M93" s="31" t="str">
        <x:v>The candidate's affective or evaluative sense as used by the documented speaker/instrument/research voice at the anchor.</x:v>
      </x:c>
      <x:c r="N93" s="31" t="str">
        <x:v>Concern expressed or endorsed by an identifiable person about a climate or heat object; the candidate is interpreted in its documented anchor and voice context.</x:v>
      </x:c>
      <x:c r="O93" s="31" t="str">
        <x:v>STRONG</x:v>
      </x:c>
      <x:c r="P93" s="19" t="str">
        <x:v>NOT_LOCATED</x:v>
      </x:c>
      <x:c r="Q93" s="31" t="str">
        <x:v>The surface form may realize multiple senses; candidate meaning remains anchored to the report-visible source context.</x:v>
      </x:c>
      <x:c r="R93" s="31" t="str">
        <x:v>Fear of Temperature_ Stratified Lexical Expansion, Voice Mapping, and Semantic-Relational Pre-Valida.pdf#page=9; https://api.dictionaryapi.dev/api/v2/entries/en/evidence%20is%20pretty%20strong; https://websters1913.timcieplowski.com/word/strong/</x:v>
      </x:c>
      <x:c r="S93" s="43" t="str">
        <x:v>2026-08-26</x:v>
      </x:c>
      <x:c r="T93" s="46" t="str">
        <x:v>RECONSTRUCTED_FROM_REPORT; Fear of Temperature_ Stratified Lexical Expansion, Voice Mapping, and Semantic-Relational Pre-Valida.pdf; p.9; project candidate FT-SEED-R1B-P-1988-29; original visible ID not available</x:v>
      </x:c>
    </x:row>
    <x:row r="94" ht="38" customHeight="1">
      <x:c r="A94" s="25" t="str">
        <x:v>FT-SEED-R1B-P-1988-30</x:v>
      </x:c>
      <x:c r="B94" s="19" t="str">
        <x:v>1988</x:v>
      </x:c>
      <x:c r="C94" s="28" t="n">
        <x:v>30</x:v>
      </x:c>
      <x:c r="D94" s="31" t="str">
        <x:v>too much carbon dioxide is dangerous</x:v>
      </x:c>
      <x:c r="E94" s="31" t="str">
        <x:v>atmospheric carbon dioxide</x:v>
      </x:c>
      <x:c r="F94" s="19" t="str">
        <x:v>carbon_greenhouse</x:v>
      </x:c>
      <x:c r="G94" s="31" t="str">
        <x:v>NO_STANDALONE_HEADWORD</x:v>
      </x:c>
      <x:c r="H94" s="19" t="str">
        <x:v>NO</x:v>
      </x:c>
      <x:c r="I94" s="19" t="str">
        <x:v>Component lexical analysis plus anchor-source contextual meaning</x:v>
      </x:c>
      <x:c r="J94" s="19" t="str">
        <x:v>Component headword checked: dangerous.</x:v>
      </x:c>
      <x:c r="K94" s="19" t="str">
        <x:v>Anchor-period research source/context; Webster 1913 stable component URL recorded but automated page retrieval was unavailable</x:v>
      </x:c>
      <x:c r="L94" s="31" t="str">
        <x:v>Carbon dioxide as an atmospheric constituent; the candidate is interpreted in its documented anchor and voice context.</x:v>
      </x:c>
      <x:c r="M94" s="31" t="str">
        <x:v>A threat, risk, harm, severity, or consequence sense in the documented source; it is not automatically an emotion.</x:v>
      </x:c>
      <x:c r="N94" s="31" t="str">
        <x:v>Carbon dioxide as an atmospheric constituent; the candidate is interpreted in its documented anchor and voice context.</x:v>
      </x:c>
      <x:c r="O94" s="31" t="str">
        <x:v>STRONG</x:v>
      </x:c>
      <x:c r="P94" s="19" t="str">
        <x:v>NOT_LOCATED</x:v>
      </x:c>
      <x:c r="Q94" s="31" t="str">
        <x:v>The surface form may realize multiple senses; candidate meaning remains anchored to the report-visible source context.</x:v>
      </x:c>
      <x:c r="R94" s="31" t="str">
        <x:v>Fear of Temperature_ Stratified Lexical Expansion, Voice Mapping, and Semantic-Relational Pre-Valida.pdf#page=9; https://api.dictionaryapi.dev/api/v2/entries/en/too%20much%20carbon%20dioxide%20is%20dangerous; https://websters1913.timcieplowski.com/word/dangerous/</x:v>
      </x:c>
      <x:c r="S94" s="43" t="str">
        <x:v>2026-08-26</x:v>
      </x:c>
      <x:c r="T94" s="46" t="str">
        <x:v>RECONSTRUCTED_FROM_REPORT; Fear of Temperature_ Stratified Lexical Expansion, Voice Mapping, and Semantic-Relational Pre-Valida.pdf; p.9; project candidate FT-SEED-R1B-P-1988-30; original visible ID not available</x:v>
      </x:c>
    </x:row>
    <x:row r="95" ht="38" customHeight="1">
      <x:c r="A95" s="25" t="str">
        <x:v>FT-SEED-R1B-P-0607-01</x:v>
      </x:c>
      <x:c r="B95" s="19" t="str">
        <x:v>2006–2007</x:v>
      </x:c>
      <x:c r="C95" s="28" t="n">
        <x:v>1</x:v>
      </x:c>
      <x:c r="D95" s="31" t="str">
        <x:v>warming of the climate system</x:v>
      </x:c>
      <x:c r="E95" s="31" t="str">
        <x:v>climate-system warming</x:v>
      </x:c>
      <x:c r="F95" s="19" t="str">
        <x:v>warming</x:v>
      </x:c>
      <x:c r="G95" s="31" t="str">
        <x:v>TECHNICAL_GLOSSARY</x:v>
      </x:c>
      <x:c r="H95" s="19" t="str">
        <x:v>NO</x:v>
      </x:c>
      <x:c r="I95" s="19" t="str">
        <x:v>IPCC climate-science glossary / assessment terminology</x:v>
      </x:c>
      <x:c r="J95" s="19" t="str">
        <x:v>Component headword checked: system.</x:v>
      </x:c>
      <x:c r="K95" s="19" t="str">
        <x:v>Anchor-period research source/context; Webster 1913 stable component URL recorded but automated page retrieval was unavailable</x:v>
      </x:c>
      <x:c r="L95" s="31" t="str">
        <x:v>Warming attributed to or observed across the climate system; the candidate is interpreted in its documented anchor and voice context.</x:v>
      </x:c>
      <x:c r="M95" s="31" t="str">
        <x:v>A physical temperature, warming, heat, or measurement sense in the documented anchor context.</x:v>
      </x:c>
      <x:c r="N95" s="31" t="str">
        <x:v>Warming attributed to or observed across the climate system; the candidate is interpreted in its documented anchor and voice context.</x:v>
      </x:c>
      <x:c r="O95" s="31" t="str">
        <x:v>STRONG</x:v>
      </x:c>
      <x:c r="P95" s="19" t="str">
        <x:v>NOT_LOCATED</x:v>
      </x:c>
      <x:c r="Q95" s="31" t="str">
        <x:v>The surface form may realize multiple senses; candidate meaning remains anchored to the report-visible source context.</x:v>
      </x:c>
      <x:c r="R95" s="31" t="str">
        <x:v>https://www.ipcc.ch/site/assets/uploads/2018/02/WGIIAR5-AnnexII_FINAL.pdf; https://api.dictionaryapi.dev/api/v2/entries/en/warming%20of%20the%20climate%20system; https://websters1913.timcieplowski.com/word/system/</x:v>
      </x:c>
      <x:c r="S95" s="43" t="str">
        <x:v>2026-08-26</x:v>
      </x:c>
      <x:c r="T95" s="46" t="str">
        <x:v>RECONSTRUCTED_FROM_REPORT; Fear of Temperature_ Stratified Lexical Expansion, Voice Mapping, and Semantic-Relational Pre-Valida.pdf; p.10; project candidate FT-SEED-R1B-P-0607-01; original visible ID not available</x:v>
      </x:c>
    </x:row>
    <x:row r="96" ht="38" customHeight="1">
      <x:c r="A96" s="25" t="str">
        <x:v>FT-SEED-R1B-P-0607-02</x:v>
      </x:c>
      <x:c r="B96" s="19" t="str">
        <x:v>2006–2007</x:v>
      </x:c>
      <x:c r="C96" s="28" t="n">
        <x:v>2</x:v>
      </x:c>
      <x:c r="D96" s="31" t="str">
        <x:v>unequivocal</x:v>
      </x:c>
      <x:c r="E96" s="31" t="str">
        <x:v>historical climate / climatological condition</x:v>
      </x:c>
      <x:c r="F96" s="19" t="str">
        <x:v>climate</x:v>
      </x:c>
      <x:c r="G96" s="31" t="str">
        <x:v>DIRECT_HEADWORD</x:v>
      </x:c>
      <x:c r="H96" s="19" t="str">
        <x:v>YES</x:v>
      </x:c>
      <x:c r="I96" s="19" t="str">
        <x:v>Webster's Revised Unabridged Dictionary (1913 public-domain headword index)</x:v>
      </x:c>
      <x:c r="J96" s="19" t="str">
        <x:v>Component headword checked: unequivocal.</x:v>
      </x:c>
      <x:c r="K96" s="19" t="str">
        <x:v>Anchor-period research source/context; Webster 1913 stable component URL recorded but automated page retrieval was unavailable</x:v>
      </x:c>
      <x:c r="L96" s="31" t="str">
        <x:v>Climate as a historical, geographical, seasonal, or climatological condition; the candidate is interpreted in its documented anchor and voice context.</x:v>
      </x:c>
      <x:c r="M96" s="31" t="str">
        <x:v>A climatic, atmospheric, meteorological, or causal-science sense in the documented anchor context.</x:v>
      </x:c>
      <x:c r="N96" s="31" t="str">
        <x:v>Climate as a historical, geographical, seasonal, or climatological condition; the candidate is interpreted in its documented anchor and voice context.</x:v>
      </x:c>
      <x:c r="O96" s="31" t="str">
        <x:v>STRONG</x:v>
      </x:c>
      <x:c r="P96" s="19" t="str">
        <x:v>NOT_LOCATED</x:v>
      </x:c>
      <x:c r="Q96" s="31" t="str">
        <x:v>The surface form may realize multiple senses; candidate meaning remains anchored to the report-visible source context.</x:v>
      </x:c>
      <x:c r="R96" s="31" t="str">
        <x:v>https://websters1913.timcieplowski.com/word/unequivocal/; https://api.dictionaryapi.dev/api/v2/entries/en/unequivocal</x:v>
      </x:c>
      <x:c r="S96" s="43" t="str">
        <x:v>2026-08-26</x:v>
      </x:c>
      <x:c r="T96" s="46" t="str">
        <x:v>RECONSTRUCTED_FROM_REPORT; Fear of Temperature_ Stratified Lexical Expansion, Voice Mapping, and Semantic-Relational Pre-Valida.pdf; p.10; project candidate FT-SEED-R1B-P-0607-02; original visible ID not available</x:v>
      </x:c>
    </x:row>
    <x:row r="97" ht="38" customHeight="1">
      <x:c r="A97" s="25" t="str">
        <x:v>FT-SEED-R1B-P-0607-03</x:v>
      </x:c>
      <x:c r="B97" s="19" t="str">
        <x:v>2006–2007</x:v>
      </x:c>
      <x:c r="C97" s="28" t="n">
        <x:v>3</x:v>
      </x:c>
      <x:c r="D97" s="31" t="str">
        <x:v>global average air and ocean temperatures</x:v>
      </x:c>
      <x:c r="E97" s="31" t="str">
        <x:v>global aggregate temperature</x:v>
      </x:c>
      <x:c r="F97" s="19" t="str">
        <x:v>temperature_threshold</x:v>
      </x:c>
      <x:c r="G97" s="31" t="str">
        <x:v>TECHNICAL_GLOSSARY</x:v>
      </x:c>
      <x:c r="H97" s="19" t="str">
        <x:v>NO</x:v>
      </x:c>
      <x:c r="I97" s="19" t="str">
        <x:v>IPCC climate-science glossary / assessment terminology</x:v>
      </x:c>
      <x:c r="J97" s="19" t="str">
        <x:v>Component headword checked: temperatures.</x:v>
      </x:c>
      <x:c r="K97" s="19" t="str">
        <x:v>Anchor-period research source/context; Webster 1913 stable component URL recorded but automated page retrieval was unavailable</x:v>
      </x:c>
      <x:c r="L97" s="31" t="str">
        <x:v>A global-scale aggregate temperature metric; the candidate is interpreted in its documented anchor and voice context.</x:v>
      </x:c>
      <x:c r="M97" s="31" t="str">
        <x:v>A physical temperature, warming, heat, or measurement sense in the documented anchor context.</x:v>
      </x:c>
      <x:c r="N97" s="31" t="str">
        <x:v>A global-scale aggregate temperature metric; the candidate is interpreted in its documented anchor and voice context.</x:v>
      </x:c>
      <x:c r="O97" s="31" t="str">
        <x:v>STRONG</x:v>
      </x:c>
      <x:c r="P97" s="19" t="str">
        <x:v>NOT_LOCATED</x:v>
      </x:c>
      <x:c r="Q97" s="31" t="str">
        <x:v>The surface form may realize multiple senses; candidate meaning remains anchored to the report-visible source context.</x:v>
      </x:c>
      <x:c r="R97" s="31" t="str">
        <x:v>https://www.ipcc.ch/site/assets/uploads/2018/02/WGIIAR5-AnnexII_FINAL.pdf; https://api.dictionaryapi.dev/api/v2/entries/en/global%20average%20air%20and%20ocean%20temperatures; https://websters1913.timcieplowski.com/word/temperatures/</x:v>
      </x:c>
      <x:c r="S97" s="43" t="str">
        <x:v>2026-08-26</x:v>
      </x:c>
      <x:c r="T97" s="46" t="str">
        <x:v>RECONSTRUCTED_FROM_REPORT; Fear of Temperature_ Stratified Lexical Expansion, Voice Mapping, and Semantic-Relational Pre-Valida.pdf; p.10; project candidate FT-SEED-R1B-P-0607-03; original visible ID not available</x:v>
      </x:c>
    </x:row>
    <x:row r="98" ht="38" customHeight="1">
      <x:c r="A98" s="25" t="str">
        <x:v>FT-SEED-R1B-P-0607-04</x:v>
      </x:c>
      <x:c r="B98" s="19" t="str">
        <x:v>2006–2007</x:v>
      </x:c>
      <x:c r="C98" s="28" t="n">
        <x:v>4</x:v>
      </x:c>
      <x:c r="D98" s="31" t="str">
        <x:v>global surface temperature</x:v>
      </x:c>
      <x:c r="E98" s="31" t="str">
        <x:v>global aggregate temperature</x:v>
      </x:c>
      <x:c r="F98" s="19" t="str">
        <x:v>temperature_threshold</x:v>
      </x:c>
      <x:c r="G98" s="31" t="str">
        <x:v>TECHNICAL_GLOSSARY</x:v>
      </x:c>
      <x:c r="H98" s="19" t="str">
        <x:v>NO</x:v>
      </x:c>
      <x:c r="I98" s="19" t="str">
        <x:v>IPCC climate-science glossary / assessment terminology</x:v>
      </x:c>
      <x:c r="J98" s="19" t="str">
        <x:v>Component headword checked: temperature.</x:v>
      </x:c>
      <x:c r="K98" s="19" t="str">
        <x:v>Anchor-period research source/context; Webster 1913 stable component URL recorded but automated page retrieval was unavailable</x:v>
      </x:c>
      <x:c r="L98" s="31" t="str">
        <x:v>A global-scale aggregate temperature metric; the candidate is interpreted in its documented anchor and voice context.</x:v>
      </x:c>
      <x:c r="M98" s="31" t="str">
        <x:v>A physical temperature, warming, heat, or measurement sense in the documented anchor context.</x:v>
      </x:c>
      <x:c r="N98" s="31" t="str">
        <x:v>A global-scale aggregate temperature metric; the candidate is interpreted in its documented anchor and voice context.</x:v>
      </x:c>
      <x:c r="O98" s="31" t="str">
        <x:v>STRONG</x:v>
      </x:c>
      <x:c r="P98" s="19" t="str">
        <x:v>NOT_LOCATED</x:v>
      </x:c>
      <x:c r="Q98" s="31" t="str">
        <x:v>The surface form may realize multiple senses; candidate meaning remains anchored to the report-visible source context.</x:v>
      </x:c>
      <x:c r="R98" s="31" t="str">
        <x:v>https://www.ipcc.ch/site/assets/uploads/2018/02/WGIIAR5-AnnexII_FINAL.pdf; https://api.dictionaryapi.dev/api/v2/entries/en/global%20surface%20temperature; https://websters1913.timcieplowski.com/word/temperature/</x:v>
      </x:c>
      <x:c r="S98" s="43" t="str">
        <x:v>2026-08-26</x:v>
      </x:c>
      <x:c r="T98" s="46" t="str">
        <x:v>RECONSTRUCTED_FROM_REPORT; Fear of Temperature_ Stratified Lexical Expansion, Voice Mapping, and Semantic-Relational Pre-Valida.pdf; p.10; project candidate FT-SEED-R1B-P-0607-04; original visible ID not available</x:v>
      </x:c>
    </x:row>
    <x:row r="99" ht="38" customHeight="1">
      <x:c r="A99" s="25" t="str">
        <x:v>FT-SEED-R1B-P-0607-05</x:v>
      </x:c>
      <x:c r="B99" s="19" t="str">
        <x:v>2006–2007</x:v>
      </x:c>
      <x:c r="C99" s="28" t="n">
        <x:v>5</x:v>
      </x:c>
      <x:c r="D99" s="31" t="str">
        <x:v>temperature increase</x:v>
      </x:c>
      <x:c r="E99" s="31" t="str">
        <x:v>temperature increase</x:v>
      </x:c>
      <x:c r="F99" s="19" t="str">
        <x:v>warming</x:v>
      </x:c>
      <x:c r="G99" s="31" t="str">
        <x:v>TECHNICAL_GLOSSARY</x:v>
      </x:c>
      <x:c r="H99" s="19" t="str">
        <x:v>NO</x:v>
      </x:c>
      <x:c r="I99" s="19" t="str">
        <x:v>IPCC climate-science glossary / assessment terminology</x:v>
      </x:c>
      <x:c r="J99" s="19" t="str">
        <x:v>Component headword checked: increase.</x:v>
      </x:c>
      <x:c r="K99" s="19" t="str">
        <x:v>Anchor-period research source/context; Webster 1913 stable component URL recorded but automated page retrieval was unavailable</x:v>
      </x:c>
      <x:c r="L99" s="31" t="str">
        <x:v>An observed, estimated, or projected increase in temperature; the candidate is interpreted in its documented anchor and voice context.</x:v>
      </x:c>
      <x:c r="M99" s="31" t="str">
        <x:v>A physical temperature, warming, heat, or measurement sense in the documented anchor context.</x:v>
      </x:c>
      <x:c r="N99" s="31" t="str">
        <x:v>An observed, estimated, or projected increase in temperature; the candidate is interpreted in its documented anchor and voice context.</x:v>
      </x:c>
      <x:c r="O99" s="31" t="str">
        <x:v>STRONG</x:v>
      </x:c>
      <x:c r="P99" s="19" t="str">
        <x:v>NOT_LOCATED</x:v>
      </x:c>
      <x:c r="Q99" s="31" t="str">
        <x:v>The surface form may realize multiple senses; candidate meaning remains anchored to the report-visible source context.</x:v>
      </x:c>
      <x:c r="R99" s="31" t="str">
        <x:v>https://www.ipcc.ch/site/assets/uploads/2018/02/WGIIAR5-AnnexII_FINAL.pdf; https://api.dictionaryapi.dev/api/v2/entries/en/temperature%20increase; https://websters1913.timcieplowski.com/word/increase/</x:v>
      </x:c>
      <x:c r="S99" s="43" t="str">
        <x:v>2026-08-26</x:v>
      </x:c>
      <x:c r="T99" s="46" t="str">
        <x:v>RECONSTRUCTED_FROM_REPORT; Fear of Temperature_ Stratified Lexical Expansion, Voice Mapping, and Semantic-Relational Pre-Valida.pdf; p.10; project candidate FT-SEED-R1B-P-0607-05; original visible ID not available</x:v>
      </x:c>
    </x:row>
    <x:row r="100" ht="38" customHeight="1">
      <x:c r="A100" s="25" t="str">
        <x:v>FT-SEED-R1B-P-0607-06</x:v>
      </x:c>
      <x:c r="B100" s="19" t="str">
        <x:v>2006–2007</x:v>
      </x:c>
      <x:c r="C100" s="28" t="n">
        <x:v>6</x:v>
      </x:c>
      <x:c r="D100" s="31" t="str">
        <x:v>rising global average sea level</x:v>
      </x:c>
      <x:c r="E100" s="31" t="str">
        <x:v>generic damage</x:v>
      </x:c>
      <x:c r="F100" s="19" t="str">
        <x:v>harm_loss_consequences</x:v>
      </x:c>
      <x:c r="G100" s="31" t="str">
        <x:v>TECHNICAL_GLOSSARY</x:v>
      </x:c>
      <x:c r="H100" s="19" t="str">
        <x:v>NO</x:v>
      </x:c>
      <x:c r="I100" s="19" t="str">
        <x:v>IPCC climate-science glossary / assessment terminology</x:v>
      </x:c>
      <x:c r="J100" s="19" t="str">
        <x:v>Component headword checked: level.</x:v>
      </x:c>
      <x:c r="K100" s="19" t="str">
        <x:v>Anchor-period research source/context; Webster 1913 stable component URL recorded but automated page retrieval was unavailable</x:v>
      </x:c>
      <x:c r="L100" s="31" t="str">
        <x:v>Generic material, ecological, or social damage; the candidate is interpreted in its documented anchor and voice context.</x:v>
      </x:c>
      <x:c r="M100" s="31" t="str">
        <x:v>A threat, risk, harm, severity, or consequence sense in the documented source; it is not automatically an emotion.</x:v>
      </x:c>
      <x:c r="N100" s="31" t="str">
        <x:v>Generic material, ecological, or social damage; the candidate is interpreted in its documented anchor and voice context.</x:v>
      </x:c>
      <x:c r="O100" s="31" t="str">
        <x:v>STRONG</x:v>
      </x:c>
      <x:c r="P100" s="19" t="str">
        <x:v>NOT_LOCATED</x:v>
      </x:c>
      <x:c r="Q100" s="31" t="str">
        <x:v>The surface form may realize multiple senses; candidate meaning remains anchored to the report-visible source context.</x:v>
      </x:c>
      <x:c r="R100" s="31" t="str">
        <x:v>https://www.ipcc.ch/site/assets/uploads/2018/02/WGIIAR5-AnnexII_FINAL.pdf; https://api.dictionaryapi.dev/api/v2/entries/en/rising%20global%20average%20sea%20level; https://websters1913.timcieplowski.com/word/level/</x:v>
      </x:c>
      <x:c r="S100" s="43" t="str">
        <x:v>2026-08-26</x:v>
      </x:c>
      <x:c r="T100" s="46" t="str">
        <x:v>RECONSTRUCTED_FROM_REPORT; Fear of Temperature_ Stratified Lexical Expansion, Voice Mapping, and Semantic-Relational Pre-Valida.pdf; p.10; project candidate FT-SEED-R1B-P-0607-06; original visible ID not available</x:v>
      </x:c>
    </x:row>
    <x:row r="101" ht="38" customHeight="1">
      <x:c r="A101" s="25" t="str">
        <x:v>FT-SEED-R1B-P-0607-07</x:v>
      </x:c>
      <x:c r="B101" s="19" t="str">
        <x:v>2006–2007</x:v>
      </x:c>
      <x:c r="C101" s="28" t="n">
        <x:v>7</x:v>
      </x:c>
      <x:c r="D101" s="31" t="str">
        <x:v>widespread melting of snow and ice</x:v>
      </x:c>
      <x:c r="E101" s="31" t="str">
        <x:v>generic damage</x:v>
      </x:c>
      <x:c r="F101" s="19" t="str">
        <x:v>harm_loss_consequences</x:v>
      </x:c>
      <x:c r="G101" s="31" t="str">
        <x:v>TECHNICAL_GLOSSARY</x:v>
      </x:c>
      <x:c r="H101" s="19" t="str">
        <x:v>NO</x:v>
      </x:c>
      <x:c r="I101" s="19" t="str">
        <x:v>IPCC climate-science glossary / assessment terminology</x:v>
      </x:c>
      <x:c r="J101" s="19" t="str">
        <x:v>Component headword checked: ice.</x:v>
      </x:c>
      <x:c r="K101" s="19" t="str">
        <x:v>Anchor-period research source/context; Webster 1913 stable component URL recorded but automated page retrieval was unavailable</x:v>
      </x:c>
      <x:c r="L101" s="31" t="str">
        <x:v>Generic material, ecological, or social damage; the candidate is interpreted in its documented anchor and voice context.</x:v>
      </x:c>
      <x:c r="M101" s="31" t="str">
        <x:v>A threat, risk, harm, severity, or consequence sense in the documented source; it is not automatically an emotion.</x:v>
      </x:c>
      <x:c r="N101" s="31" t="str">
        <x:v>Generic material, ecological, or social damage; the candidate is interpreted in its documented anchor and voice context.</x:v>
      </x:c>
      <x:c r="O101" s="31" t="str">
        <x:v>STRONG</x:v>
      </x:c>
      <x:c r="P101" s="19" t="str">
        <x:v>NOT_LOCATED</x:v>
      </x:c>
      <x:c r="Q101" s="31" t="str">
        <x:v>The surface form may realize multiple senses; candidate meaning remains anchored to the report-visible source context.</x:v>
      </x:c>
      <x:c r="R101" s="31" t="str">
        <x:v>https://www.ipcc.ch/site/assets/uploads/2018/02/WGIIAR5-AnnexII_FINAL.pdf; https://api.dictionaryapi.dev/api/v2/entries/en/widespread%20melting%20of%20snow%20and%20ice; https://websters1913.timcieplowski.com/word/ice/</x:v>
      </x:c>
      <x:c r="S101" s="43" t="str">
        <x:v>2026-08-26</x:v>
      </x:c>
      <x:c r="T101" s="46" t="str">
        <x:v>RECONSTRUCTED_FROM_REPORT; Fear of Temperature_ Stratified Lexical Expansion, Voice Mapping, and Semantic-Relational Pre-Valida.pdf; p.10; project candidate FT-SEED-R1B-P-0607-07; original visible ID not available</x:v>
      </x:c>
    </x:row>
    <x:row r="102" ht="38" customHeight="1">
      <x:c r="A102" s="25" t="str">
        <x:v>FT-SEED-R1B-P-0607-08</x:v>
      </x:c>
      <x:c r="B102" s="19" t="str">
        <x:v>2006–2007</x:v>
      </x:c>
      <x:c r="C102" s="28" t="n">
        <x:v>8</x:v>
      </x:c>
      <x:c r="D102" s="31" t="str">
        <x:v>anthropogenic CO₂</x:v>
      </x:c>
      <x:c r="E102" s="31" t="str">
        <x:v>anthropogenic carbon-dioxide production</x:v>
      </x:c>
      <x:c r="F102" s="19" t="str">
        <x:v>carbon_greenhouse</x:v>
      </x:c>
      <x:c r="G102" s="31" t="str">
        <x:v>TECHNICAL_GLOSSARY</x:v>
      </x:c>
      <x:c r="H102" s="19" t="str">
        <x:v>NO</x:v>
      </x:c>
      <x:c r="I102" s="19" t="str">
        <x:v>IPCC climate-science glossary / assessment terminology</x:v>
      </x:c>
      <x:c r="J102" s="19" t="str">
        <x:v>Component headword checked: co.</x:v>
      </x:c>
      <x:c r="K102" s="19" t="str">
        <x:v>Anchor-period research source/context; Webster 1913 stable component URL recorded but automated page retrieval was unavailable</x:v>
      </x:c>
      <x:c r="L102" s="31" t="str">
        <x:v>Human production of carbon dioxide as a climatic cause; the candidate is interpreted in its documented anchor and voice context.</x:v>
      </x:c>
      <x:c r="M102" s="31" t="str">
        <x:v>A climatic, atmospheric, meteorological, or causal-science sense in the documented anchor context.</x:v>
      </x:c>
      <x:c r="N102" s="31" t="str">
        <x:v>Human production of carbon dioxide as a climatic cause; the candidate is interpreted in its documented anchor and voice context.</x:v>
      </x:c>
      <x:c r="O102" s="31" t="str">
        <x:v>STRONG</x:v>
      </x:c>
      <x:c r="P102" s="19" t="str">
        <x:v>NOT_LOCATED</x:v>
      </x:c>
      <x:c r="Q102" s="31" t="str">
        <x:v>The surface form may realize multiple senses; candidate meaning remains anchored to the report-visible source context.</x:v>
      </x:c>
      <x:c r="R102" s="31" t="str">
        <x:v>https://www.ipcc.ch/site/assets/uploads/2018/02/WGIIAR5-AnnexII_FINAL.pdf; https://api.dictionaryapi.dev/api/v2/entries/en/anthropogenic%20CO%E2%82%82; https://websters1913.timcieplowski.com/word/co/</x:v>
      </x:c>
      <x:c r="S102" s="43" t="str">
        <x:v>2026-08-26</x:v>
      </x:c>
      <x:c r="T102" s="46" t="str">
        <x:v>RECONSTRUCTED_FROM_REPORT; Fear of Temperature_ Stratified Lexical Expansion, Voice Mapping, and Semantic-Relational Pre-Valida.pdf; p.10; project candidate FT-SEED-R1B-P-0607-08; original visible ID not available</x:v>
      </x:c>
    </x:row>
    <x:row r="103" ht="38" customHeight="1">
      <x:c r="A103" s="25" t="str">
        <x:v>FT-SEED-R1B-P-0607-09</x:v>
      </x:c>
      <x:c r="B103" s="19" t="str">
        <x:v>2006–2007</x:v>
      </x:c>
      <x:c r="C103" s="28" t="n">
        <x:v>9</x:v>
      </x:c>
      <x:c r="D103" s="31" t="str">
        <x:v>anthropogenic GHG emissions</x:v>
      </x:c>
      <x:c r="E103" s="31" t="str">
        <x:v>anthropogenic greenhouse-gas emissions</x:v>
      </x:c>
      <x:c r="F103" s="19" t="str">
        <x:v>carbon_greenhouse</x:v>
      </x:c>
      <x:c r="G103" s="31" t="str">
        <x:v>TECHNICAL_GLOSSARY</x:v>
      </x:c>
      <x:c r="H103" s="19" t="str">
        <x:v>NO</x:v>
      </x:c>
      <x:c r="I103" s="19" t="str">
        <x:v>IPCC climate-science glossary / assessment terminology</x:v>
      </x:c>
      <x:c r="J103" s="19" t="str">
        <x:v>Component headword checked: emissions.</x:v>
      </x:c>
      <x:c r="K103" s="19" t="str">
        <x:v>Anchor-period research source/context; Webster 1913 stable component URL recorded but automated page retrieval was unavailable</x:v>
      </x:c>
      <x:c r="L103" s="31" t="str">
        <x:v>Human-caused releases of greenhouse gases into the atmosphere.</x:v>
      </x:c>
      <x:c r="M103" s="31" t="str">
        <x:v>A climatic, atmospheric, meteorological, or causal-science sense in the documented anchor context.</x:v>
      </x:c>
      <x:c r="N103" s="31" t="str">
        <x:v>Human-caused releases of greenhouse gases into the atmosphere.</x:v>
      </x:c>
      <x:c r="O103" s="31" t="str">
        <x:v>STRONG</x:v>
      </x:c>
      <x:c r="P103" s="19" t="str">
        <x:v>NOT_LOCATED</x:v>
      </x:c>
      <x:c r="Q103" s="31" t="str">
        <x:v>The surface form may realize multiple senses; candidate meaning remains anchored to the report-visible source context.</x:v>
      </x:c>
      <x:c r="R103" s="31" t="str">
        <x:v>https://www.ipcc.ch/site/assets/uploads/2018/02/WGIIAR5-AnnexII_FINAL.pdf; https://api.dictionaryapi.dev/api/v2/entries/en/anthropogenic%20GHG%20emissions; https://websters1913.timcieplowski.com/word/emissions/</x:v>
      </x:c>
      <x:c r="S103" s="43" t="str">
        <x:v>2026-08-26</x:v>
      </x:c>
      <x:c r="T103" s="46" t="str">
        <x:v>RECONSTRUCTED_FROM_REPORT; Fear of Temperature_ Stratified Lexical Expansion, Voice Mapping, and Semantic-Relational Pre-Valida.pdf; p.10; project candidate FT-SEED-R1B-P-0607-09; original visible ID not available</x:v>
      </x:c>
    </x:row>
    <x:row r="104" ht="38" customHeight="1">
      <x:c r="A104" s="25" t="str">
        <x:v>FT-SEED-R1B-P-0607-10</x:v>
      </x:c>
      <x:c r="B104" s="19" t="str">
        <x:v>2006–2007</x:v>
      </x:c>
      <x:c r="C104" s="28" t="n">
        <x:v>10</x:v>
      </x:c>
      <x:c r="D104" s="31" t="str">
        <x:v>climate change</x:v>
      </x:c>
      <x:c r="E104" s="31" t="str">
        <x:v>modern climate change</x:v>
      </x:c>
      <x:c r="F104" s="19" t="str">
        <x:v>climate</x:v>
      </x:c>
      <x:c r="G104" s="31" t="str">
        <x:v>TECHNICAL_GLOSSARY</x:v>
      </x:c>
      <x:c r="H104" s="19" t="str">
        <x:v>NO</x:v>
      </x:c>
      <x:c r="I104" s="19" t="str">
        <x:v>IPCC climate-science glossary / assessment terminology</x:v>
      </x:c>
      <x:c r="J104" s="19" t="str">
        <x:v>Component headword checked: change.</x:v>
      </x:c>
      <x:c r="K104" s="19" t="str">
        <x:v>Anchor-period research source/context; Webster 1913 stable component URL recorded but automated page retrieval was unavailable</x:v>
      </x:c>
      <x:c r="L104" s="31" t="str">
        <x:v>A persistent change in the state or variability of climate; institutional definitions differ on whether human attribution is required.</x:v>
      </x:c>
      <x:c r="M104" s="31" t="str">
        <x:v>The established modern issue label for sustained climatic change, used in institutional, scientific, or public contexts depending on voice.</x:v>
      </x:c>
      <x:c r="N104" s="31" t="str">
        <x:v>A persistent change in the state or variability of climate; institutional definitions differ on whether human attribution is required.</x:v>
      </x:c>
      <x:c r="O104" s="31" t="str">
        <x:v>STRONG</x:v>
      </x:c>
      <x:c r="P104" s="19" t="str">
        <x:v>NOT_LOCATED</x:v>
      </x:c>
      <x:c r="Q104" s="31" t="str">
        <x:v>The modern issue label must still be distinguished from generic change and historical climatic variability.</x:v>
      </x:c>
      <x:c r="R104" s="31" t="str">
        <x:v>https://www.ipcc.ch/site/assets/uploads/2018/02/WGIIAR5-AnnexII_FINAL.pdf; https://api.dictionaryapi.dev/api/v2/entries/en/climate%20change; https://websters1913.timcieplowski.com/word/change/</x:v>
      </x:c>
      <x:c r="S104" s="43" t="str">
        <x:v>2026-08-26</x:v>
      </x:c>
      <x:c r="T104" s="46" t="str">
        <x:v>RECONSTRUCTED_FROM_REPORT; Fear of Temperature_ Stratified Lexical Expansion, Voice Mapping, and Semantic-Relational Pre-Valida.pdf; p.10; project candidate FT-SEED-R1B-P-0607-10; original visible ID not available</x:v>
      </x:c>
    </x:row>
    <x:row r="105" ht="38" customHeight="1">
      <x:c r="A105" s="25" t="str">
        <x:v>FT-SEED-R1B-P-0607-11</x:v>
      </x:c>
      <x:c r="B105" s="19" t="str">
        <x:v>2006–2007</x:v>
      </x:c>
      <x:c r="C105" s="28" t="n">
        <x:v>11</x:v>
      </x:c>
      <x:c r="D105" s="31" t="str">
        <x:v>global warming</x:v>
      </x:c>
      <x:c r="E105" s="31" t="str">
        <x:v>global warming as issue label</x:v>
      </x:c>
      <x:c r="F105" s="19" t="str">
        <x:v>warming</x:v>
      </x:c>
      <x:c r="G105" s="31" t="str">
        <x:v>TECHNICAL_GLOSSARY</x:v>
      </x:c>
      <x:c r="H105" s="19" t="str">
        <x:v>NO</x:v>
      </x:c>
      <x:c r="I105" s="19" t="str">
        <x:v>IPCC climate-science glossary / assessment terminology</x:v>
      </x:c>
      <x:c r="J105" s="19" t="str">
        <x:v>Component headword checked: warming.</x:v>
      </x:c>
      <x:c r="K105" s="19" t="str">
        <x:v>Anchor-period research source/context; Webster 1913 stable component URL recorded but automated page retrieval was unavailable</x:v>
      </x:c>
      <x:c r="L105" s="31" t="str">
        <x:v>The long-term rise in global mean surface temperature, commonly used as an established issue label in modern climate discourse.</x:v>
      </x:c>
      <x:c r="M105" s="31" t="str">
        <x:v>A physical temperature, warming, heat, or measurement sense in the documented anchor context.</x:v>
      </x:c>
      <x:c r="N105" s="31" t="str">
        <x:v>The long-term rise in global mean surface temperature, commonly used as an established issue label in modern climate discourse.</x:v>
      </x:c>
      <x:c r="O105" s="31" t="str">
        <x:v>STRONG</x:v>
      </x:c>
      <x:c r="P105" s="19" t="str">
        <x:v>NOT_LOCATED</x:v>
      </x:c>
      <x:c r="Q105" s="31" t="str">
        <x:v>The surface form may realize multiple senses; candidate meaning remains anchored to the report-visible source context.</x:v>
      </x:c>
      <x:c r="R105" s="31" t="str">
        <x:v>https://www.ipcc.ch/site/assets/uploads/2018/02/WGIIAR5-AnnexII_FINAL.pdf; https://api.dictionaryapi.dev/api/v2/entries/en/global%20warming; https://websters1913.timcieplowski.com/word/warming/</x:v>
      </x:c>
      <x:c r="S105" s="43" t="str">
        <x:v>2026-08-26</x:v>
      </x:c>
      <x:c r="T105" s="46" t="str">
        <x:v>RECONSTRUCTED_FROM_REPORT; Fear of Temperature_ Stratified Lexical Expansion, Voice Mapping, and Semantic-Relational Pre-Valida.pdf; p.10; project candidate FT-SEED-R1B-P-0607-11; original visible ID not available</x:v>
      </x:c>
    </x:row>
    <x:row r="106" ht="38" customHeight="1">
      <x:c r="A106" s="25" t="str">
        <x:v>FT-SEED-R1B-P-0607-12</x:v>
      </x:c>
      <x:c r="B106" s="19" t="str">
        <x:v>2006–2007</x:v>
      </x:c>
      <x:c r="C106" s="28" t="n">
        <x:v>12</x:v>
      </x:c>
      <x:c r="D106" s="31" t="str">
        <x:v>serious global threat</x:v>
      </x:c>
      <x:c r="E106" s="31" t="str">
        <x:v>institutional climate threat</x:v>
      </x:c>
      <x:c r="F106" s="19" t="str">
        <x:v>danger_threat</x:v>
      </x:c>
      <x:c r="G106" s="31" t="str">
        <x:v>NO_STANDALONE_HEADWORD</x:v>
      </x:c>
      <x:c r="H106" s="19" t="str">
        <x:v>NO</x:v>
      </x:c>
      <x:c r="I106" s="19" t="str">
        <x:v>Component lexical analysis plus anchor-source contextual meaning</x:v>
      </x:c>
      <x:c r="J106" s="19" t="str">
        <x:v>Component headword checked: threat.</x:v>
      </x:c>
      <x:c r="K106" s="19" t="str">
        <x:v>Anchor-period research source/context; Webster 1913 stable component URL recorded but automated page retrieval was unavailable</x:v>
      </x:c>
      <x:c r="L106" s="31" t="str">
        <x:v>Climate change framed as an institutional threat; the candidate is interpreted in its documented anchor and voice context.</x:v>
      </x:c>
      <x:c r="M106" s="31" t="str">
        <x:v>A threat, risk, harm, severity, or consequence sense in the documented source; it is not automatically an emotion.</x:v>
      </x:c>
      <x:c r="N106" s="31" t="str">
        <x:v>Climate change framed as an institutional threat; the candidate is interpreted in its documented anchor and voice context.</x:v>
      </x:c>
      <x:c r="O106" s="31" t="str">
        <x:v>STRONG</x:v>
      </x:c>
      <x:c r="P106" s="19" t="str">
        <x:v>NOT_LOCATED</x:v>
      </x:c>
      <x:c r="Q106" s="31" t="str">
        <x:v>The surface form may realize multiple senses; candidate meaning remains anchored to the report-visible source context.</x:v>
      </x:c>
      <x:c r="R106" s="31" t="str">
        <x:v>Fear of Temperature_ Stratified Lexical Expansion, Voice Mapping, and Semantic-Relational Pre-Valida.pdf#page=10; https://api.dictionaryapi.dev/api/v2/entries/en/serious%20global%20threat; https://websters1913.timcieplowski.com/word/threat/</x:v>
      </x:c>
      <x:c r="S106" s="43" t="str">
        <x:v>2026-08-26</x:v>
      </x:c>
      <x:c r="T106" s="46" t="str">
        <x:v>RECONSTRUCTED_FROM_REPORT; Fear of Temperature_ Stratified Lexical Expansion, Voice Mapping, and Semantic-Relational Pre-Valida.pdf; p.10; project candidate FT-SEED-R1B-P-0607-12; original visible ID not available</x:v>
      </x:c>
    </x:row>
    <x:row r="107" ht="38" customHeight="1">
      <x:c r="A107" s="25" t="str">
        <x:v>FT-SEED-R1B-P-0607-13</x:v>
      </x:c>
      <x:c r="B107" s="19" t="str">
        <x:v>2006–2007</x:v>
      </x:c>
      <x:c r="C107" s="28" t="n">
        <x:v>13</x:v>
      </x:c>
      <x:c r="D107" s="31" t="str">
        <x:v>urgent global response</x:v>
      </x:c>
      <x:c r="E107" s="31" t="str">
        <x:v>generic damage</x:v>
      </x:c>
      <x:c r="F107" s="19" t="str">
        <x:v>harm_loss_consequences</x:v>
      </x:c>
      <x:c r="G107" s="31" t="str">
        <x:v>NO_STANDALONE_HEADWORD</x:v>
      </x:c>
      <x:c r="H107" s="19" t="str">
        <x:v>NO</x:v>
      </x:c>
      <x:c r="I107" s="19" t="str">
        <x:v>Component lexical analysis plus anchor-source contextual meaning</x:v>
      </x:c>
      <x:c r="J107" s="19" t="str">
        <x:v>Component headword checked: response.</x:v>
      </x:c>
      <x:c r="K107" s="19" t="str">
        <x:v>Anchor-period research source/context; Webster 1913 stable component URL recorded but automated page retrieval was unavailable</x:v>
      </x:c>
      <x:c r="L107" s="31" t="str">
        <x:v>Generic material, ecological, or social damage; the candidate is interpreted in its documented anchor and voice context.</x:v>
      </x:c>
      <x:c r="M107" s="31" t="str">
        <x:v>A threat, risk, harm, severity, or consequence sense in the documented source; it is not automatically an emotion.</x:v>
      </x:c>
      <x:c r="N107" s="31" t="str">
        <x:v>Generic material, ecological, or social damage; the candidate is interpreted in its documented anchor and voice context.</x:v>
      </x:c>
      <x:c r="O107" s="31" t="str">
        <x:v>STRONG</x:v>
      </x:c>
      <x:c r="P107" s="19" t="str">
        <x:v>NOT_LOCATED</x:v>
      </x:c>
      <x:c r="Q107" s="31" t="str">
        <x:v>The surface form may realize multiple senses; candidate meaning remains anchored to the report-visible source context.</x:v>
      </x:c>
      <x:c r="R107" s="31" t="str">
        <x:v>Fear of Temperature_ Stratified Lexical Expansion, Voice Mapping, and Semantic-Relational Pre-Valida.pdf#page=10; https://api.dictionaryapi.dev/api/v2/entries/en/urgent%20global%20response; https://websters1913.timcieplowski.com/word/response/</x:v>
      </x:c>
      <x:c r="S107" s="43" t="str">
        <x:v>2026-08-26</x:v>
      </x:c>
      <x:c r="T107" s="46" t="str">
        <x:v>RECONSTRUCTED_FROM_REPORT; Fear of Temperature_ Stratified Lexical Expansion, Voice Mapping, and Semantic-Relational Pre-Valida.pdf; p.10; project candidate FT-SEED-R1B-P-0607-13; original visible ID not available</x:v>
      </x:c>
    </x:row>
    <x:row r="108" ht="38" customHeight="1">
      <x:c r="A108" s="25" t="str">
        <x:v>FT-SEED-R1B-P-0607-14</x:v>
      </x:c>
      <x:c r="B108" s="19" t="str">
        <x:v>2006–2007</x:v>
      </x:c>
      <x:c r="C108" s="28" t="n">
        <x:v>14</x:v>
      </x:c>
      <x:c r="D108" s="31" t="str">
        <x:v>costs and risks of climate change</x:v>
      </x:c>
      <x:c r="E108" s="31" t="str">
        <x:v>modern climate change</x:v>
      </x:c>
      <x:c r="F108" s="19" t="str">
        <x:v>climate</x:v>
      </x:c>
      <x:c r="G108" s="31" t="str">
        <x:v>NO_STANDALONE_HEADWORD</x:v>
      </x:c>
      <x:c r="H108" s="19" t="str">
        <x:v>NO</x:v>
      </x:c>
      <x:c r="I108" s="19" t="str">
        <x:v>Component lexical analysis plus anchor-source contextual meaning</x:v>
      </x:c>
      <x:c r="J108" s="19" t="str">
        <x:v>Component headword checked: change.</x:v>
      </x:c>
      <x:c r="K108" s="19" t="str">
        <x:v>Anchor-period research source/context; Webster 1913 stable component URL recorded but automated page retrieval was unavailable</x:v>
      </x:c>
      <x:c r="L108" s="31" t="str">
        <x:v>Modern climate change as an anthropogenic scientific, public, or governance problem; the candidate is interpreted in its documented anchor and voice context.</x:v>
      </x:c>
      <x:c r="M108" s="31" t="str">
        <x:v>A threat, risk, harm, severity, or consequence sense in the documented source; it is not automatically an emotion.</x:v>
      </x:c>
      <x:c r="N108" s="31" t="str">
        <x:v>Modern climate change as an anthropogenic scientific, public, or governance problem; the candidate is interpreted in its documented anchor and voice context.</x:v>
      </x:c>
      <x:c r="O108" s="31" t="str">
        <x:v>STRONG</x:v>
      </x:c>
      <x:c r="P108" s="19" t="str">
        <x:v>NOT_LOCATED</x:v>
      </x:c>
      <x:c r="Q108" s="31" t="str">
        <x:v>The surface form may realize multiple senses; candidate meaning remains anchored to the report-visible source context.</x:v>
      </x:c>
      <x:c r="R108" s="31" t="str">
        <x:v>Fear of Temperature_ Stratified Lexical Expansion, Voice Mapping, and Semantic-Relational Pre-Valida.pdf#page=10; https://api.dictionaryapi.dev/api/v2/entries/en/costs%20and%20risks%20of%20climate%20change; https://websters1913.timcieplowski.com/word/change/</x:v>
      </x:c>
      <x:c r="S108" s="43" t="str">
        <x:v>2026-08-26</x:v>
      </x:c>
      <x:c r="T108" s="46" t="str">
        <x:v>RECONSTRUCTED_FROM_REPORT; Fear of Temperature_ Stratified Lexical Expansion, Voice Mapping, and Semantic-Relational Pre-Valida.pdf; p.10; project candidate FT-SEED-R1B-P-0607-14; original visible ID not available</x:v>
      </x:c>
    </x:row>
    <x:row r="109" ht="38" customHeight="1">
      <x:c r="A109" s="25" t="str">
        <x:v>FT-SEED-R1B-P-0607-15</x:v>
      </x:c>
      <x:c r="B109" s="19" t="str">
        <x:v>2006–2007</x:v>
      </x:c>
      <x:c r="C109" s="28" t="n">
        <x:v>15</x:v>
      </x:c>
      <x:c r="D109" s="31" t="str">
        <x:v>impacts of climate change</x:v>
      </x:c>
      <x:c r="E109" s="31" t="str">
        <x:v>modern climate change</x:v>
      </x:c>
      <x:c r="F109" s="19" t="str">
        <x:v>climate</x:v>
      </x:c>
      <x:c r="G109" s="31" t="str">
        <x:v>NO_STANDALONE_HEADWORD</x:v>
      </x:c>
      <x:c r="H109" s="19" t="str">
        <x:v>NO</x:v>
      </x:c>
      <x:c r="I109" s="19" t="str">
        <x:v>Component lexical analysis plus anchor-source contextual meaning</x:v>
      </x:c>
      <x:c r="J109" s="19" t="str">
        <x:v>Component headword checked: change.</x:v>
      </x:c>
      <x:c r="K109" s="19" t="str">
        <x:v>Anchor-period research source/context; Webster 1913 stable component URL recorded but automated page retrieval was unavailable</x:v>
      </x:c>
      <x:c r="L109" s="31" t="str">
        <x:v>Modern climate change as an anthropogenic scientific, public, or governance problem; the candidate is interpreted in its documented anchor and voice context.</x:v>
      </x:c>
      <x:c r="M109" s="31" t="str">
        <x:v>A threat, risk, harm, severity, or consequence sense in the documented source; it is not automatically an emotion.</x:v>
      </x:c>
      <x:c r="N109" s="31" t="str">
        <x:v>Modern climate change as an anthropogenic scientific, public, or governance problem; the candidate is interpreted in its documented anchor and voice context.</x:v>
      </x:c>
      <x:c r="O109" s="31" t="str">
        <x:v>STRONG</x:v>
      </x:c>
      <x:c r="P109" s="19" t="str">
        <x:v>NOT_LOCATED</x:v>
      </x:c>
      <x:c r="Q109" s="31" t="str">
        <x:v>The surface form may realize multiple senses; candidate meaning remains anchored to the report-visible source context.</x:v>
      </x:c>
      <x:c r="R109" s="31" t="str">
        <x:v>Fear of Temperature_ Stratified Lexical Expansion, Voice Mapping, and Semantic-Relational Pre-Valida.pdf#page=10; https://api.dictionaryapi.dev/api/v2/entries/en/impacts%20of%20climate%20change; https://websters1913.timcieplowski.com/word/change/</x:v>
      </x:c>
      <x:c r="S109" s="43" t="str">
        <x:v>2026-08-26</x:v>
      </x:c>
      <x:c r="T109" s="46" t="str">
        <x:v>RECONSTRUCTED_FROM_REPORT; Fear of Temperature_ Stratified Lexical Expansion, Voice Mapping, and Semantic-Relational Pre-Valida.pdf; p.10; project candidate FT-SEED-R1B-P-0607-15; original visible ID not available</x:v>
      </x:c>
    </x:row>
    <x:row r="110" ht="38" customHeight="1">
      <x:c r="A110" s="25" t="str">
        <x:v>FT-SEED-R1B-P-0607-16</x:v>
      </x:c>
      <x:c r="B110" s="19" t="str">
        <x:v>2006–2007</x:v>
      </x:c>
      <x:c r="C110" s="28" t="n">
        <x:v>16</x:v>
      </x:c>
      <x:c r="D110" s="31" t="str">
        <x:v>damage</x:v>
      </x:c>
      <x:c r="E110" s="31" t="str">
        <x:v>generic damage</x:v>
      </x:c>
      <x:c r="F110" s="19" t="str">
        <x:v>harm_loss_consequences</x:v>
      </x:c>
      <x:c r="G110" s="31" t="str">
        <x:v>DIRECT_HEADWORD</x:v>
      </x:c>
      <x:c r="H110" s="19" t="str">
        <x:v>YES</x:v>
      </x:c>
      <x:c r="I110" s="19" t="str">
        <x:v>Webster's Revised Unabridged Dictionary (1913 public-domain headword index)</x:v>
      </x:c>
      <x:c r="J110" s="19" t="str">
        <x:v>Component headword checked: damage.</x:v>
      </x:c>
      <x:c r="K110" s="19" t="str">
        <x:v>Anchor-period research source/context; Webster 1913 stable component URL recorded but automated page retrieval was unavailable</x:v>
      </x:c>
      <x:c r="L110" s="31" t="str">
        <x:v>Generic material, ecological, or social damage; the candidate is interpreted in its documented anchor and voice context.</x:v>
      </x:c>
      <x:c r="M110" s="31" t="str">
        <x:v>A threat, risk, harm, severity, or consequence sense in the documented source; it is not automatically an emotion.</x:v>
      </x:c>
      <x:c r="N110" s="31" t="str">
        <x:v>Generic material, ecological, or social damage; the candidate is interpreted in its documented anchor and voice context.</x:v>
      </x:c>
      <x:c r="O110" s="31" t="str">
        <x:v>STRONG</x:v>
      </x:c>
      <x:c r="P110" s="19" t="str">
        <x:v>NOT_LOCATED</x:v>
      </x:c>
      <x:c r="Q110" s="31" t="str">
        <x:v>The surface form may realize multiple senses; candidate meaning remains anchored to the report-visible source context.</x:v>
      </x:c>
      <x:c r="R110" s="31" t="str">
        <x:v>https://websters1913.timcieplowski.com/word/damage/; https://api.dictionaryapi.dev/api/v2/entries/en/damage</x:v>
      </x:c>
      <x:c r="S110" s="43" t="str">
        <x:v>2026-08-26</x:v>
      </x:c>
      <x:c r="T110" s="46" t="str">
        <x:v>RECONSTRUCTED_FROM_REPORT; Fear of Temperature_ Stratified Lexical Expansion, Voice Mapping, and Semantic-Relational Pre-Valida.pdf; p.10; project candidate FT-SEED-R1B-P-0607-16; original visible ID not available</x:v>
      </x:c>
    </x:row>
    <x:row r="111" ht="38" customHeight="1">
      <x:c r="A111" s="25" t="str">
        <x:v>FT-SEED-R1B-P-0607-17</x:v>
      </x:c>
      <x:c r="B111" s="19" t="str">
        <x:v>2006–2007</x:v>
      </x:c>
      <x:c r="C111" s="28" t="n">
        <x:v>17</x:v>
      </x:c>
      <x:c r="D111" s="31" t="str">
        <x:v>hunger</x:v>
      </x:c>
      <x:c r="E111" s="31" t="str">
        <x:v>generic damage</x:v>
      </x:c>
      <x:c r="F111" s="19" t="str">
        <x:v>harm_loss_consequences</x:v>
      </x:c>
      <x:c r="G111" s="31" t="str">
        <x:v>DIRECT_HEADWORD</x:v>
      </x:c>
      <x:c r="H111" s="19" t="str">
        <x:v>YES</x:v>
      </x:c>
      <x:c r="I111" s="19" t="str">
        <x:v>Webster's Revised Unabridged Dictionary (1913 public-domain headword index)</x:v>
      </x:c>
      <x:c r="J111" s="19" t="str">
        <x:v>Component headword checked: hunger.</x:v>
      </x:c>
      <x:c r="K111" s="19" t="str">
        <x:v>Anchor-period research source/context; Webster 1913 stable component URL recorded but automated page retrieval was unavailable</x:v>
      </x:c>
      <x:c r="L111" s="31" t="str">
        <x:v>Generic material, ecological, or social damage; the candidate is interpreted in its documented anchor and voice context.</x:v>
      </x:c>
      <x:c r="M111" s="31" t="str">
        <x:v>A threat, risk, harm, severity, or consequence sense in the documented source; it is not automatically an emotion.</x:v>
      </x:c>
      <x:c r="N111" s="31" t="str">
        <x:v>Generic material, ecological, or social damage; the candidate is interpreted in its documented anchor and voice context.</x:v>
      </x:c>
      <x:c r="O111" s="31" t="str">
        <x:v>STRONG</x:v>
      </x:c>
      <x:c r="P111" s="19" t="str">
        <x:v>NOT_LOCATED</x:v>
      </x:c>
      <x:c r="Q111" s="31" t="str">
        <x:v>The surface form may realize multiple senses; candidate meaning remains anchored to the report-visible source context.</x:v>
      </x:c>
      <x:c r="R111" s="31" t="str">
        <x:v>https://websters1913.timcieplowski.com/word/hunger/; https://api.dictionaryapi.dev/api/v2/entries/en/hunger</x:v>
      </x:c>
      <x:c r="S111" s="43" t="str">
        <x:v>2026-08-26</x:v>
      </x:c>
      <x:c r="T111" s="46" t="str">
        <x:v>RECONSTRUCTED_FROM_REPORT; Fear of Temperature_ Stratified Lexical Expansion, Voice Mapping, and Semantic-Relational Pre-Valida.pdf; p.10; project candidate FT-SEED-R1B-P-0607-17; original visible ID not available</x:v>
      </x:c>
    </x:row>
    <x:row r="112" ht="38" customHeight="1">
      <x:c r="A112" s="25" t="str">
        <x:v>FT-SEED-R1B-P-0607-18</x:v>
      </x:c>
      <x:c r="B112" s="19" t="str">
        <x:v>2006–2007</x:v>
      </x:c>
      <x:c r="C112" s="28" t="n">
        <x:v>18</x:v>
      </x:c>
      <x:c r="D112" s="31" t="str">
        <x:v>water shortages</x:v>
      </x:c>
      <x:c r="E112" s="31" t="str">
        <x:v>generic damage</x:v>
      </x:c>
      <x:c r="F112" s="19" t="str">
        <x:v>harm_loss_consequences</x:v>
      </x:c>
      <x:c r="G112" s="31" t="str">
        <x:v>NO_STANDALONE_HEADWORD</x:v>
      </x:c>
      <x:c r="H112" s="19" t="str">
        <x:v>NO</x:v>
      </x:c>
      <x:c r="I112" s="19" t="str">
        <x:v>Component lexical analysis plus anchor-source contextual meaning</x:v>
      </x:c>
      <x:c r="J112" s="19" t="str">
        <x:v>Component headword checked: shortages.</x:v>
      </x:c>
      <x:c r="K112" s="19" t="str">
        <x:v>Anchor-period research source/context; Webster 1913 stable component URL recorded but automated page retrieval was unavailable</x:v>
      </x:c>
      <x:c r="L112" s="31" t="str">
        <x:v>Generic material, ecological, or social damage; the candidate is interpreted in its documented anchor and voice context.</x:v>
      </x:c>
      <x:c r="M112" s="31" t="str">
        <x:v>A threat, risk, harm, severity, or consequence sense in the documented source; it is not automatically an emotion.</x:v>
      </x:c>
      <x:c r="N112" s="31" t="str">
        <x:v>Generic material, ecological, or social damage; the candidate is interpreted in its documented anchor and voice context.</x:v>
      </x:c>
      <x:c r="O112" s="31" t="str">
        <x:v>STRONG</x:v>
      </x:c>
      <x:c r="P112" s="19" t="str">
        <x:v>NOT_LOCATED</x:v>
      </x:c>
      <x:c r="Q112" s="31" t="str">
        <x:v>The surface form may realize multiple senses; candidate meaning remains anchored to the report-visible source context.</x:v>
      </x:c>
      <x:c r="R112" s="31" t="str">
        <x:v>Fear of Temperature_ Stratified Lexical Expansion, Voice Mapping, and Semantic-Relational Pre-Valida.pdf#page=10; https://api.dictionaryapi.dev/api/v2/entries/en/water%20shortages; https://websters1913.timcieplowski.com/word/shortages/</x:v>
      </x:c>
      <x:c r="S112" s="43" t="str">
        <x:v>2026-08-26</x:v>
      </x:c>
      <x:c r="T112" s="46" t="str">
        <x:v>RECONSTRUCTED_FROM_REPORT; Fear of Temperature_ Stratified Lexical Expansion, Voice Mapping, and Semantic-Relational Pre-Valida.pdf; p.10; project candidate FT-SEED-R1B-P-0607-18; original visible ID not available</x:v>
      </x:c>
    </x:row>
    <x:row r="113" ht="38" customHeight="1">
      <x:c r="A113" s="25" t="str">
        <x:v>FT-SEED-R1B-P-0607-19</x:v>
      </x:c>
      <x:c r="B113" s="19" t="str">
        <x:v>2006–2007</x:v>
      </x:c>
      <x:c r="C113" s="28" t="n">
        <x:v>19</x:v>
      </x:c>
      <x:c r="D113" s="31" t="str">
        <x:v>coastal flooding</x:v>
      </x:c>
      <x:c r="E113" s="31" t="str">
        <x:v>generic damage</x:v>
      </x:c>
      <x:c r="F113" s="19" t="str">
        <x:v>harm_loss_consequences</x:v>
      </x:c>
      <x:c r="G113" s="31" t="str">
        <x:v>NO_STANDALONE_HEADWORD</x:v>
      </x:c>
      <x:c r="H113" s="19" t="str">
        <x:v>NO</x:v>
      </x:c>
      <x:c r="I113" s="19" t="str">
        <x:v>Component lexical analysis plus anchor-source contextual meaning</x:v>
      </x:c>
      <x:c r="J113" s="19" t="str">
        <x:v>Component headword checked: flooding.</x:v>
      </x:c>
      <x:c r="K113" s="19" t="str">
        <x:v>Anchor-period research source/context; Webster 1913 stable component URL recorded but automated page retrieval was unavailable</x:v>
      </x:c>
      <x:c r="L113" s="31" t="str">
        <x:v>Generic material, ecological, or social damage; the candidate is interpreted in its documented anchor and voice context.</x:v>
      </x:c>
      <x:c r="M113" s="31" t="str">
        <x:v>A threat, risk, harm, severity, or consequence sense in the documented source; it is not automatically an emotion.</x:v>
      </x:c>
      <x:c r="N113" s="31" t="str">
        <x:v>Generic material, ecological, or social damage; the candidate is interpreted in its documented anchor and voice context.</x:v>
      </x:c>
      <x:c r="O113" s="31" t="str">
        <x:v>STRONG</x:v>
      </x:c>
      <x:c r="P113" s="19" t="str">
        <x:v>NOT_LOCATED</x:v>
      </x:c>
      <x:c r="Q113" s="31" t="str">
        <x:v>The surface form may realize multiple senses; candidate meaning remains anchored to the report-visible source context.</x:v>
      </x:c>
      <x:c r="R113" s="31" t="str">
        <x:v>Fear of Temperature_ Stratified Lexical Expansion, Voice Mapping, and Semantic-Relational Pre-Valida.pdf#page=10; https://api.dictionaryapi.dev/api/v2/entries/en/coastal%20flooding; https://websters1913.timcieplowski.com/word/flooding/</x:v>
      </x:c>
      <x:c r="S113" s="43" t="str">
        <x:v>2026-08-26</x:v>
      </x:c>
      <x:c r="T113" s="46" t="str">
        <x:v>RECONSTRUCTED_FROM_REPORT; Fear of Temperature_ Stratified Lexical Expansion, Voice Mapping, and Semantic-Relational Pre-Valida.pdf; p.10; project candidate FT-SEED-R1B-P-0607-19; original visible ID not available</x:v>
      </x:c>
    </x:row>
    <x:row r="114" ht="38" customHeight="1">
      <x:c r="A114" s="25" t="str">
        <x:v>FT-SEED-R1B-P-0607-20</x:v>
      </x:c>
      <x:c r="B114" s="19" t="str">
        <x:v>2006–2007</x:v>
      </x:c>
      <x:c r="C114" s="28" t="n">
        <x:v>20</x:v>
      </x:c>
      <x:c r="D114" s="31" t="str">
        <x:v>worst impacts</x:v>
      </x:c>
      <x:c r="E114" s="31" t="str">
        <x:v>generic damage</x:v>
      </x:c>
      <x:c r="F114" s="19" t="str">
        <x:v>harm_loss_consequences</x:v>
      </x:c>
      <x:c r="G114" s="31" t="str">
        <x:v>NO_STANDALONE_HEADWORD</x:v>
      </x:c>
      <x:c r="H114" s="19" t="str">
        <x:v>NO</x:v>
      </x:c>
      <x:c r="I114" s="19" t="str">
        <x:v>Component lexical analysis plus anchor-source contextual meaning</x:v>
      </x:c>
      <x:c r="J114" s="19" t="str">
        <x:v>Component headword checked: impacts.</x:v>
      </x:c>
      <x:c r="K114" s="19" t="str">
        <x:v>Anchor-period research source/context; Webster 1913 stable component URL recorded but automated page retrieval was unavailable</x:v>
      </x:c>
      <x:c r="L114" s="31" t="str">
        <x:v>Generic material, ecological, or social damage; the candidate is interpreted in its documented anchor and voice context.</x:v>
      </x:c>
      <x:c r="M114" s="31" t="str">
        <x:v>A threat, risk, harm, severity, or consequence sense in the documented source; it is not automatically an emotion.</x:v>
      </x:c>
      <x:c r="N114" s="31" t="str">
        <x:v>Generic material, ecological, or social damage; the candidate is interpreted in its documented anchor and voice context.</x:v>
      </x:c>
      <x:c r="O114" s="31" t="str">
        <x:v>STRONG</x:v>
      </x:c>
      <x:c r="P114" s="19" t="str">
        <x:v>NOT_LOCATED</x:v>
      </x:c>
      <x:c r="Q114" s="31" t="str">
        <x:v>The surface form may realize multiple senses; candidate meaning remains anchored to the report-visible source context.</x:v>
      </x:c>
      <x:c r="R114" s="31" t="str">
        <x:v>Fear of Temperature_ Stratified Lexical Expansion, Voice Mapping, and Semantic-Relational Pre-Valida.pdf#page=10; https://api.dictionaryapi.dev/api/v2/entries/en/worst%20impacts; https://websters1913.timcieplowski.com/word/impacts/</x:v>
      </x:c>
      <x:c r="S114" s="43" t="str">
        <x:v>2026-08-26</x:v>
      </x:c>
      <x:c r="T114" s="46" t="str">
        <x:v>RECONSTRUCTED_FROM_REPORT; Fear of Temperature_ Stratified Lexical Expansion, Voice Mapping, and Semantic-Relational Pre-Valida.pdf; p.10; project candidate FT-SEED-R1B-P-0607-20; original visible ID not available</x:v>
      </x:c>
    </x:row>
    <x:row r="115" ht="38" customHeight="1">
      <x:c r="A115" s="25" t="str">
        <x:v>FT-SEED-R1B-P-0607-21</x:v>
      </x:c>
      <x:c r="B115" s="19" t="str">
        <x:v>2006–2007</x:v>
      </x:c>
      <x:c r="C115" s="28" t="n">
        <x:v>21</x:v>
      </x:c>
      <x:c r="D115" s="31" t="str">
        <x:v>Be Worried. Be Very Worried.</x:v>
      </x:c>
      <x:c r="E115" s="31" t="str">
        <x:v>prescribed worry</x:v>
      </x:c>
      <x:c r="F115" s="19" t="str">
        <x:v>worry</x:v>
      </x:c>
      <x:c r="G115" s="31" t="str">
        <x:v>NO_STANDALONE_HEADWORD</x:v>
      </x:c>
      <x:c r="H115" s="19" t="str">
        <x:v>NO</x:v>
      </x:c>
      <x:c r="I115" s="19" t="str">
        <x:v>Component lexical analysis plus anchor-source contextual meaning</x:v>
      </x:c>
      <x:c r="J115" s="19" t="str">
        <x:v>Component headword checked: worried.</x:v>
      </x:c>
      <x:c r="K115" s="19" t="str">
        <x:v>Anchor-period research source/context; Webster 1913 stable component URL recorded but automated page retrieval was unavailable</x:v>
      </x:c>
      <x:c r="L115" s="31" t="str">
        <x:v>Worry explicitly prescribed to an audience by a communicator; the candidate is interpreted in its documented anchor and voice context.</x:v>
      </x:c>
      <x:c r="M115" s="31" t="str">
        <x:v>A mediated-public imperative prescribing worry to readers; it does not establish that readers experienced the prescribed emotion.</x:v>
      </x:c>
      <x:c r="N115" s="31" t="str">
        <x:v>A modern media imperative prescribing worry to an audience; it is not evidence that the audience experienced or endorsed the emotion.</x:v>
      </x:c>
      <x:c r="O115" s="31" t="str">
        <x:v>STRONG</x:v>
      </x:c>
      <x:c r="P115" s="19" t="str">
        <x:v>NOT_LOCATED</x:v>
      </x:c>
      <x:c r="Q115" s="31" t="str">
        <x:v>Imperative wording must be separated from audience reception and participant-generated affect.</x:v>
      </x:c>
      <x:c r="R115" s="31" t="str">
        <x:v>Fear of Temperature_ Stratified Lexical Expansion, Voice Mapping, and Semantic-Relational Pre-Valida.pdf#page=10; https://api.dictionaryapi.dev/api/v2/entries/en/Be%20Worried.%20Be%20Very%20Worried.; https://websters1913.timcieplowski.com/word/worried/</x:v>
      </x:c>
      <x:c r="S115" s="43" t="str">
        <x:v>2026-08-26</x:v>
      </x:c>
      <x:c r="T115" s="46" t="str">
        <x:v>RECONSTRUCTED_FROM_REPORT; Fear of Temperature_ Stratified Lexical Expansion, Voice Mapping, and Semantic-Relational Pre-Valida.pdf; p.10; project candidate FT-SEED-R1B-P-0607-21; original visible ID not available</x:v>
      </x:c>
    </x:row>
    <x:row r="116" ht="38" customHeight="1">
      <x:c r="A116" s="25" t="str">
        <x:v>FT-SEED-R1B-P-0607-22</x:v>
      </x:c>
      <x:c r="B116" s="19" t="str">
        <x:v>2006–2007</x:v>
      </x:c>
      <x:c r="C116" s="28" t="n">
        <x:v>22</x:v>
      </x:c>
      <x:c r="D116" s="31" t="str">
        <x:v>personally worry</x:v>
      </x:c>
      <x:c r="E116" s="31" t="str">
        <x:v>elicited worry category</x:v>
      </x:c>
      <x:c r="F116" s="19" t="str">
        <x:v>worry</x:v>
      </x:c>
      <x:c r="G116" s="31" t="str">
        <x:v>NO_STANDALONE_HEADWORD</x:v>
      </x:c>
      <x:c r="H116" s="19" t="str">
        <x:v>NO</x:v>
      </x:c>
      <x:c r="I116" s="19" t="str">
        <x:v>Component lexical analysis plus anchor-source contextual meaning</x:v>
      </x:c>
      <x:c r="J116" s="19" t="str">
        <x:v>Component headword checked: worry.</x:v>
      </x:c>
      <x:c r="K116" s="19" t="str">
        <x:v>Anchor-period research source/context; Webster 1913 stable component URL recorded but automated page retrieval was unavailable</x:v>
      </x:c>
      <x:c r="L116" s="31" t="str">
        <x:v>Worry wording supplied by a survey or other instrument; the candidate is interpreted in its documented anchor and voice context.</x:v>
      </x:c>
      <x:c r="M116" s="31" t="str">
        <x:v>Survey or instrument wording used to elicit and classify participant endorsement; the response may be participant evidence, but the lexical wording is supplied.</x:v>
      </x:c>
      <x:c r="N116" s="31" t="str">
        <x:v>Contemporary worry wording may describe affect, but in the cited survey setting it is instrument-supplied and participant endorsement is elicited rather than spontaneous.</x:v>
      </x:c>
      <x:c r="O116" s="31" t="str">
        <x:v>STRONG</x:v>
      </x:c>
      <x:c r="P116" s="19" t="str">
        <x:v>NOT_LOCATED</x:v>
      </x:c>
      <x:c r="Q116" s="31" t="str">
        <x:v>Elicited endorsement, question wording, and spontaneous participant vocabulary are distinct provenance states.</x:v>
      </x:c>
      <x:c r="R116" s="31" t="str">
        <x:v>Fear of Temperature_ Stratified Lexical Expansion, Voice Mapping, and Semantic-Relational Pre-Valida.pdf#page=10; https://api.dictionaryapi.dev/api/v2/entries/en/personally%20worry; https://websters1913.timcieplowski.com/word/worry/</x:v>
      </x:c>
      <x:c r="S116" s="43" t="str">
        <x:v>2026-08-26</x:v>
      </x:c>
      <x:c r="T116" s="46" t="str">
        <x:v>RECONSTRUCTED_FROM_REPORT; Fear of Temperature_ Stratified Lexical Expansion, Voice Mapping, and Semantic-Relational Pre-Valida.pdf; p.10; project candidate FT-SEED-R1B-P-0607-22; original visible ID not available</x:v>
      </x:c>
    </x:row>
    <x:row r="117" ht="38" customHeight="1">
      <x:c r="A117" s="25" t="str">
        <x:v>FT-SEED-R1B-P-0607-23</x:v>
      </x:c>
      <x:c r="B117" s="19" t="str">
        <x:v>2006–2007</x:v>
      </x:c>
      <x:c r="C117" s="28" t="n">
        <x:v>23</x:v>
      </x:c>
      <x:c r="D117" s="31" t="str">
        <x:v>worry a great deal</x:v>
      </x:c>
      <x:c r="E117" s="31" t="str">
        <x:v>elicited worry category</x:v>
      </x:c>
      <x:c r="F117" s="19" t="str">
        <x:v>worry</x:v>
      </x:c>
      <x:c r="G117" s="31" t="str">
        <x:v>NO_STANDALONE_HEADWORD</x:v>
      </x:c>
      <x:c r="H117" s="19" t="str">
        <x:v>NO</x:v>
      </x:c>
      <x:c r="I117" s="19" t="str">
        <x:v>Component lexical analysis plus anchor-source contextual meaning</x:v>
      </x:c>
      <x:c r="J117" s="19" t="str">
        <x:v>Component headword checked: deal.</x:v>
      </x:c>
      <x:c r="K117" s="19" t="str">
        <x:v>Anchor-period research source/context; Webster 1913 stable component URL recorded but automated page retrieval was unavailable</x:v>
      </x:c>
      <x:c r="L117" s="31" t="str">
        <x:v>Worry wording supplied by a survey or other instrument; the candidate is interpreted in its documented anchor and voice context.</x:v>
      </x:c>
      <x:c r="M117" s="31" t="str">
        <x:v>Survey or instrument wording used to elicit and classify participant endorsement; the response may be participant evidence, but the lexical wording is supplied.</x:v>
      </x:c>
      <x:c r="N117" s="31" t="str">
        <x:v>Worry wording supplied by a survey or other instrument; the candidate is interpreted in its documented anchor and voice context.</x:v>
      </x:c>
      <x:c r="O117" s="31" t="str">
        <x:v>STRONG</x:v>
      </x:c>
      <x:c r="P117" s="19" t="str">
        <x:v>NOT_LOCATED</x:v>
      </x:c>
      <x:c r="Q117" s="31" t="str">
        <x:v>Elicited endorsement, question wording, and spontaneous participant vocabulary are distinct provenance states.</x:v>
      </x:c>
      <x:c r="R117" s="31" t="str">
        <x:v>Fear of Temperature_ Stratified Lexical Expansion, Voice Mapping, and Semantic-Relational Pre-Valida.pdf#page=10; https://api.dictionaryapi.dev/api/v2/entries/en/worry%20a%20great%20deal; https://websters1913.timcieplowski.com/word/deal/</x:v>
      </x:c>
      <x:c r="S117" s="43" t="str">
        <x:v>2026-08-26</x:v>
      </x:c>
      <x:c r="T117" s="46" t="str">
        <x:v>RECONSTRUCTED_FROM_REPORT; Fear of Temperature_ Stratified Lexical Expansion, Voice Mapping, and Semantic-Relational Pre-Valida.pdf; p.10; project candidate FT-SEED-R1B-P-0607-23; original visible ID not available</x:v>
      </x:c>
    </x:row>
    <x:row r="118" ht="38" customHeight="1">
      <x:c r="A118" s="25" t="str">
        <x:v>FT-SEED-R1B-P-0607-24</x:v>
      </x:c>
      <x:c r="B118" s="19" t="str">
        <x:v>2006–2007</x:v>
      </x:c>
      <x:c r="C118" s="28" t="n">
        <x:v>24</x:v>
      </x:c>
      <x:c r="D118" s="31" t="str">
        <x:v>serious problem</x:v>
      </x:c>
      <x:c r="E118" s="31" t="str">
        <x:v>generic damage</x:v>
      </x:c>
      <x:c r="F118" s="19" t="str">
        <x:v>harm_loss_consequences</x:v>
      </x:c>
      <x:c r="G118" s="31" t="str">
        <x:v>NO_STANDALONE_HEADWORD</x:v>
      </x:c>
      <x:c r="H118" s="19" t="str">
        <x:v>NO</x:v>
      </x:c>
      <x:c r="I118" s="19" t="str">
        <x:v>Component lexical analysis plus anchor-source contextual meaning</x:v>
      </x:c>
      <x:c r="J118" s="19" t="str">
        <x:v>Component headword checked: problem.</x:v>
      </x:c>
      <x:c r="K118" s="19" t="str">
        <x:v>Anchor-period research source/context; Webster 1913 stable component URL recorded but automated page retrieval was unavailable</x:v>
      </x:c>
      <x:c r="L118" s="31" t="str">
        <x:v>Generic material, ecological, or social damage; the candidate is interpreted in its documented anchor and voice context.</x:v>
      </x:c>
      <x:c r="M118" s="31" t="str">
        <x:v>A threat, risk, harm, severity, or consequence sense in the documented source; it is not automatically an emotion.</x:v>
      </x:c>
      <x:c r="N118" s="31" t="str">
        <x:v>Generic material, ecological, or social damage; the candidate is interpreted in its documented anchor and voice context.</x:v>
      </x:c>
      <x:c r="O118" s="31" t="str">
        <x:v>STRONG</x:v>
      </x:c>
      <x:c r="P118" s="19" t="str">
        <x:v>NOT_LOCATED</x:v>
      </x:c>
      <x:c r="Q118" s="31" t="str">
        <x:v>The surface form may realize multiple senses; candidate meaning remains anchored to the report-visible source context.</x:v>
      </x:c>
      <x:c r="R118" s="31" t="str">
        <x:v>Fear of Temperature_ Stratified Lexical Expansion, Voice Mapping, and Semantic-Relational Pre-Valida.pdf#page=10; https://api.dictionaryapi.dev/api/v2/entries/en/serious%20problem; https://websters1913.timcieplowski.com/word/problem/</x:v>
      </x:c>
      <x:c r="S118" s="43" t="str">
        <x:v>2026-08-26</x:v>
      </x:c>
      <x:c r="T118" s="46" t="str">
        <x:v>RECONSTRUCTED_FROM_REPORT; Fear of Temperature_ Stratified Lexical Expansion, Voice Mapping, and Semantic-Relational Pre-Valida.pdf; p.10; project candidate FT-SEED-R1B-P-0607-24; original visible ID not available</x:v>
      </x:c>
    </x:row>
    <x:row r="119" ht="38" customHeight="1">
      <x:c r="A119" s="25" t="str">
        <x:v>FT-SEED-R1B-P-0607-25</x:v>
      </x:c>
      <x:c r="B119" s="19" t="str">
        <x:v>2006–2007</x:v>
      </x:c>
      <x:c r="C119" s="28" t="n">
        <x:v>25</x:v>
      </x:c>
      <x:c r="D119" s="31" t="str">
        <x:v>danger</x:v>
      </x:c>
      <x:c r="E119" s="31" t="str">
        <x:v>hazard evaluation</x:v>
      </x:c>
      <x:c r="F119" s="19" t="str">
        <x:v>danger_threat</x:v>
      </x:c>
      <x:c r="G119" s="31" t="str">
        <x:v>DIRECT_HEADWORD</x:v>
      </x:c>
      <x:c r="H119" s="19" t="str">
        <x:v>YES</x:v>
      </x:c>
      <x:c r="I119" s="19" t="str">
        <x:v>Webster's Revised Unabridged Dictionary (1913 public-domain headword index)</x:v>
      </x:c>
      <x:c r="J119" s="19" t="str">
        <x:v>Component headword checked: danger.</x:v>
      </x:c>
      <x:c r="K119" s="19" t="str">
        <x:v>Anchor-period research source/context; Webster 1913 stable component URL recorded but automated page retrieval was unavailable</x:v>
      </x:c>
      <x:c r="L119" s="31" t="str">
        <x:v>Danger or threat evaluation of a specified hazard; the candidate is interpreted in its documented anchor and voice context.</x:v>
      </x:c>
      <x:c r="M119" s="31" t="str">
        <x:v>A threat, risk, harm, severity, or consequence sense in the documented source; it is not automatically an emotion.</x:v>
      </x:c>
      <x:c r="N119" s="31" t="str">
        <x:v>Danger or threat evaluation of a specified hazard; the candidate is interpreted in its documented anchor and voice context.</x:v>
      </x:c>
      <x:c r="O119" s="31" t="str">
        <x:v>STRONG</x:v>
      </x:c>
      <x:c r="P119" s="19" t="str">
        <x:v>NOT_LOCATED</x:v>
      </x:c>
      <x:c r="Q119" s="31" t="str">
        <x:v>The surface form may realize multiple senses; candidate meaning remains anchored to the report-visible source context.</x:v>
      </x:c>
      <x:c r="R119" s="31" t="str">
        <x:v>https://websters1913.timcieplowski.com/word/danger/; https://api.dictionaryapi.dev/api/v2/entries/en/danger</x:v>
      </x:c>
      <x:c r="S119" s="43" t="str">
        <x:v>2026-08-26</x:v>
      </x:c>
      <x:c r="T119" s="46" t="str">
        <x:v>RECONSTRUCTED_FROM_REPORT; Fear of Temperature_ Stratified Lexical Expansion, Voice Mapping, and Semantic-Relational Pre-Valida.pdf; p.10; project candidate FT-SEED-R1B-P-0607-25; original visible ID not available</x:v>
      </x:c>
    </x:row>
    <x:row r="120" ht="38" customHeight="1">
      <x:c r="A120" s="25" t="str">
        <x:v>FT-SEED-R1B-P-0607-26</x:v>
      </x:c>
      <x:c r="B120" s="19" t="str">
        <x:v>2006–2007</x:v>
      </x:c>
      <x:c r="C120" s="28" t="n">
        <x:v>26</x:v>
      </x:c>
      <x:c r="D120" s="31" t="str">
        <x:v>urgent threat</x:v>
      </x:c>
      <x:c r="E120" s="31" t="str">
        <x:v>institutional climate threat</x:v>
      </x:c>
      <x:c r="F120" s="19" t="str">
        <x:v>danger_threat</x:v>
      </x:c>
      <x:c r="G120" s="31" t="str">
        <x:v>NO_STANDALONE_HEADWORD</x:v>
      </x:c>
      <x:c r="H120" s="19" t="str">
        <x:v>NO</x:v>
      </x:c>
      <x:c r="I120" s="19" t="str">
        <x:v>Component lexical analysis plus anchor-source contextual meaning</x:v>
      </x:c>
      <x:c r="J120" s="19" t="str">
        <x:v>Component headword checked: threat.</x:v>
      </x:c>
      <x:c r="K120" s="19" t="str">
        <x:v>Anchor-period research source/context; Webster 1913 stable component URL recorded but automated page retrieval was unavailable</x:v>
      </x:c>
      <x:c r="L120" s="31" t="str">
        <x:v>Climate change framed as an institutional threat; the candidate is interpreted in its documented anchor and voice context.</x:v>
      </x:c>
      <x:c r="M120" s="31" t="str">
        <x:v>A threat, risk, harm, severity, or consequence sense in the documented source; it is not automatically an emotion.</x:v>
      </x:c>
      <x:c r="N120" s="31" t="str">
        <x:v>Climate change framed as an institutional threat; the candidate is interpreted in its documented anchor and voice context.</x:v>
      </x:c>
      <x:c r="O120" s="31" t="str">
        <x:v>STRONG</x:v>
      </x:c>
      <x:c r="P120" s="19" t="str">
        <x:v>NOT_LOCATED</x:v>
      </x:c>
      <x:c r="Q120" s="31" t="str">
        <x:v>The surface form may realize multiple senses; candidate meaning remains anchored to the report-visible source context.</x:v>
      </x:c>
      <x:c r="R120" s="31" t="str">
        <x:v>Fear of Temperature_ Stratified Lexical Expansion, Voice Mapping, and Semantic-Relational Pre-Valida.pdf#page=10; https://api.dictionaryapi.dev/api/v2/entries/en/urgent%20threat; https://websters1913.timcieplowski.com/word/threat/</x:v>
      </x:c>
      <x:c r="S120" s="43" t="str">
        <x:v>2026-08-26</x:v>
      </x:c>
      <x:c r="T120" s="46" t="str">
        <x:v>RECONSTRUCTED_FROM_REPORT; Fear of Temperature_ Stratified Lexical Expansion, Voice Mapping, and Semantic-Relational Pre-Valida.pdf; p.10; project candidate FT-SEED-R1B-P-0607-26; original visible ID not available</x:v>
      </x:c>
    </x:row>
    <x:row r="121" ht="38" customHeight="1">
      <x:c r="A121" s="25" t="str">
        <x:v>FT-SEED-R1B-P-0607-27</x:v>
      </x:c>
      <x:c r="B121" s="19" t="str">
        <x:v>2006–2007</x:v>
      </x:c>
      <x:c r="C121" s="28" t="n">
        <x:v>27</x:v>
      </x:c>
      <x:c r="D121" s="31" t="str">
        <x:v>dangerous impacts</x:v>
      </x:c>
      <x:c r="E121" s="31" t="str">
        <x:v>institutional climate threat</x:v>
      </x:c>
      <x:c r="F121" s="19" t="str">
        <x:v>danger_threat</x:v>
      </x:c>
      <x:c r="G121" s="31" t="str">
        <x:v>NO_STANDALONE_HEADWORD</x:v>
      </x:c>
      <x:c r="H121" s="19" t="str">
        <x:v>NO</x:v>
      </x:c>
      <x:c r="I121" s="19" t="str">
        <x:v>Component lexical analysis plus anchor-source contextual meaning</x:v>
      </x:c>
      <x:c r="J121" s="19" t="str">
        <x:v>Component headword checked: impacts.</x:v>
      </x:c>
      <x:c r="K121" s="19" t="str">
        <x:v>Anchor-period research source/context; Webster 1913 stable component URL recorded but automated page retrieval was unavailable</x:v>
      </x:c>
      <x:c r="L121" s="31" t="str">
        <x:v>Climate change framed as an institutional threat; the candidate is interpreted in its documented anchor and voice context.</x:v>
      </x:c>
      <x:c r="M121" s="31" t="str">
        <x:v>A threat, risk, harm, severity, or consequence sense in the documented source; it is not automatically an emotion.</x:v>
      </x:c>
      <x:c r="N121" s="31" t="str">
        <x:v>Climate change framed as an institutional threat; the candidate is interpreted in its documented anchor and voice context.</x:v>
      </x:c>
      <x:c r="O121" s="31" t="str">
        <x:v>STRONG</x:v>
      </x:c>
      <x:c r="P121" s="19" t="str">
        <x:v>NOT_LOCATED</x:v>
      </x:c>
      <x:c r="Q121" s="31" t="str">
        <x:v>The surface form may realize multiple senses; candidate meaning remains anchored to the report-visible source context.</x:v>
      </x:c>
      <x:c r="R121" s="31" t="str">
        <x:v>Fear of Temperature_ Stratified Lexical Expansion, Voice Mapping, and Semantic-Relational Pre-Valida.pdf#page=10; https://api.dictionaryapi.dev/api/v2/entries/en/dangerous%20impacts; https://websters1913.timcieplowski.com/word/impacts/</x:v>
      </x:c>
      <x:c r="S121" s="43" t="str">
        <x:v>2026-08-26</x:v>
      </x:c>
      <x:c r="T121" s="46" t="str">
        <x:v>RECONSTRUCTED_FROM_REPORT; Fear of Temperature_ Stratified Lexical Expansion, Voice Mapping, and Semantic-Relational Pre-Valida.pdf; p.10; project candidate FT-SEED-R1B-P-0607-27; original visible ID not available</x:v>
      </x:c>
    </x:row>
    <x:row r="122" ht="38" customHeight="1">
      <x:c r="A122" s="25" t="str">
        <x:v>FT-SEED-R1B-P-0607-28</x:v>
      </x:c>
      <x:c r="B122" s="19" t="str">
        <x:v>2006–2007</x:v>
      </x:c>
      <x:c r="C122" s="28" t="n">
        <x:v>28</x:v>
      </x:c>
      <x:c r="D122" s="31" t="str">
        <x:v>drastic action</x:v>
      </x:c>
      <x:c r="E122" s="31" t="str">
        <x:v>generic damage</x:v>
      </x:c>
      <x:c r="F122" s="19" t="str">
        <x:v>harm_loss_consequences</x:v>
      </x:c>
      <x:c r="G122" s="31" t="str">
        <x:v>NO_STANDALONE_HEADWORD</x:v>
      </x:c>
      <x:c r="H122" s="19" t="str">
        <x:v>NO</x:v>
      </x:c>
      <x:c r="I122" s="19" t="str">
        <x:v>Component lexical analysis plus anchor-source contextual meaning</x:v>
      </x:c>
      <x:c r="J122" s="19" t="str">
        <x:v>Component headword checked: action.</x:v>
      </x:c>
      <x:c r="K122" s="19" t="str">
        <x:v>Anchor-period research source/context; Webster 1913 stable component URL recorded but automated page retrieval was unavailable</x:v>
      </x:c>
      <x:c r="L122" s="31" t="str">
        <x:v>Generic material, ecological, or social damage; the candidate is interpreted in its documented anchor and voice context.</x:v>
      </x:c>
      <x:c r="M122" s="31" t="str">
        <x:v>A threat, risk, harm, severity, or consequence sense in the documented source; it is not automatically an emotion.</x:v>
      </x:c>
      <x:c r="N122" s="31" t="str">
        <x:v>Generic material, ecological, or social damage; the candidate is interpreted in its documented anchor and voice context.</x:v>
      </x:c>
      <x:c r="O122" s="31" t="str">
        <x:v>STRONG</x:v>
      </x:c>
      <x:c r="P122" s="19" t="str">
        <x:v>NOT_LOCATED</x:v>
      </x:c>
      <x:c r="Q122" s="31" t="str">
        <x:v>The surface form may realize multiple senses; candidate meaning remains anchored to the report-visible source context.</x:v>
      </x:c>
      <x:c r="R122" s="31" t="str">
        <x:v>Fear of Temperature_ Stratified Lexical Expansion, Voice Mapping, and Semantic-Relational Pre-Valida.pdf#page=10; https://api.dictionaryapi.dev/api/v2/entries/en/drastic%20action; https://websters1913.timcieplowski.com/word/action/</x:v>
      </x:c>
      <x:c r="S122" s="43" t="str">
        <x:v>2026-08-26</x:v>
      </x:c>
      <x:c r="T122" s="46" t="str">
        <x:v>RECONSTRUCTED_FROM_REPORT; Fear of Temperature_ Stratified Lexical Expansion, Voice Mapping, and Semantic-Relational Pre-Valida.pdf; p.10; project candidate FT-SEED-R1B-P-0607-28; original visible ID not available</x:v>
      </x:c>
    </x:row>
    <x:row r="123" ht="38" customHeight="1">
      <x:c r="A123" s="25" t="str">
        <x:v>FT-SEED-R1B-P-0607-29</x:v>
      </x:c>
      <x:c r="B123" s="19" t="str">
        <x:v>2006–2007</x:v>
      </x:c>
      <x:c r="C123" s="28" t="n">
        <x:v>29</x:v>
      </x:c>
      <x:c r="D123" s="31" t="str">
        <x:v>dangerous climate change</x:v>
      </x:c>
      <x:c r="E123" s="31" t="str">
        <x:v>modern climate change</x:v>
      </x:c>
      <x:c r="F123" s="19" t="str">
        <x:v>climate</x:v>
      </x:c>
      <x:c r="G123" s="31" t="str">
        <x:v>TECHNICAL_GLOSSARY</x:v>
      </x:c>
      <x:c r="H123" s="19" t="str">
        <x:v>NO</x:v>
      </x:c>
      <x:c r="I123" s="19" t="str">
        <x:v>IPCC climate-science glossary / assessment terminology</x:v>
      </x:c>
      <x:c r="J123" s="19" t="str">
        <x:v>Component headword checked: change.</x:v>
      </x:c>
      <x:c r="K123" s="19" t="str">
        <x:v>Anchor-period research source/context; Webster 1913 stable component URL recorded but automated page retrieval was unavailable</x:v>
      </x:c>
      <x:c r="L123" s="31" t="str">
        <x:v>Modern climate change as an anthropogenic scientific, public, or governance problem; the candidate is interpreted in its documented anchor and voice context.</x:v>
      </x:c>
      <x:c r="M123" s="31" t="str">
        <x:v>A threat, risk, harm, severity, or consequence sense in the documented source; it is not automatically an emotion.</x:v>
      </x:c>
      <x:c r="N123" s="31" t="str">
        <x:v>Modern climate change as an anthropogenic scientific, public, or governance problem; the candidate is interpreted in its documented anchor and voice context.</x:v>
      </x:c>
      <x:c r="O123" s="31" t="str">
        <x:v>STRONG</x:v>
      </x:c>
      <x:c r="P123" s="19" t="str">
        <x:v>NOT_LOCATED</x:v>
      </x:c>
      <x:c r="Q123" s="31" t="str">
        <x:v>The surface form may realize multiple senses; candidate meaning remains anchored to the report-visible source context.</x:v>
      </x:c>
      <x:c r="R123" s="31" t="str">
        <x:v>https://www.ipcc.ch/site/assets/uploads/2018/02/WGIIAR5-AnnexII_FINAL.pdf; https://api.dictionaryapi.dev/api/v2/entries/en/dangerous%20climate%20change; https://websters1913.timcieplowski.com/word/change/</x:v>
      </x:c>
      <x:c r="S123" s="43" t="str">
        <x:v>2026-08-26</x:v>
      </x:c>
      <x:c r="T123" s="46" t="str">
        <x:v>RECONSTRUCTED_FROM_REPORT; Fear of Temperature_ Stratified Lexical Expansion, Voice Mapping, and Semantic-Relational Pre-Valida.pdf; p.10; project candidate FT-SEED-R1B-P-0607-29; original visible ID not available</x:v>
      </x:c>
    </x:row>
    <x:row r="124" ht="38" customHeight="1">
      <x:c r="A124" s="25" t="str">
        <x:v>FT-SEED-R1B-P-0607-30</x:v>
      </x:c>
      <x:c r="B124" s="19" t="str">
        <x:v>2006–2007</x:v>
      </x:c>
      <x:c r="C124" s="28" t="n">
        <x:v>30</x:v>
      </x:c>
      <x:c r="D124" s="31" t="str">
        <x:v>threatens serious negative effects</x:v>
      </x:c>
      <x:c r="E124" s="31" t="str">
        <x:v>institutional climate threat</x:v>
      </x:c>
      <x:c r="F124" s="19" t="str">
        <x:v>danger_threat</x:v>
      </x:c>
      <x:c r="G124" s="31" t="str">
        <x:v>NO_STANDALONE_HEADWORD</x:v>
      </x:c>
      <x:c r="H124" s="19" t="str">
        <x:v>NO</x:v>
      </x:c>
      <x:c r="I124" s="19" t="str">
        <x:v>Component lexical analysis plus anchor-source contextual meaning</x:v>
      </x:c>
      <x:c r="J124" s="19" t="str">
        <x:v>Component headword checked: effects.</x:v>
      </x:c>
      <x:c r="K124" s="19" t="str">
        <x:v>Anchor-period research source/context; Webster 1913 stable component URL recorded but automated page retrieval was unavailable</x:v>
      </x:c>
      <x:c r="L124" s="31" t="str">
        <x:v>Climate change framed as an institutional threat; the candidate is interpreted in its documented anchor and voice context.</x:v>
      </x:c>
      <x:c r="M124" s="31" t="str">
        <x:v>A threat, risk, harm, severity, or consequence sense in the documented source; it is not automatically an emotion.</x:v>
      </x:c>
      <x:c r="N124" s="31" t="str">
        <x:v>Climate change framed as an institutional threat; the candidate is interpreted in its documented anchor and voice context.</x:v>
      </x:c>
      <x:c r="O124" s="31" t="str">
        <x:v>STRONG</x:v>
      </x:c>
      <x:c r="P124" s="19" t="str">
        <x:v>NOT_LOCATED</x:v>
      </x:c>
      <x:c r="Q124" s="31" t="str">
        <x:v>The surface form may realize multiple senses; candidate meaning remains anchored to the report-visible source context.</x:v>
      </x:c>
      <x:c r="R124" s="31" t="str">
        <x:v>Fear of Temperature_ Stratified Lexical Expansion, Voice Mapping, and Semantic-Relational Pre-Valida.pdf#page=10; https://api.dictionaryapi.dev/api/v2/entries/en/threatens%20serious%20negative%20effects; https://websters1913.timcieplowski.com/word/effects/</x:v>
      </x:c>
      <x:c r="S124" s="43" t="str">
        <x:v>2026-08-26</x:v>
      </x:c>
      <x:c r="T124" s="46" t="str">
        <x:v>RECONSTRUCTED_FROM_REPORT; Fear of Temperature_ Stratified Lexical Expansion, Voice Mapping, and Semantic-Relational Pre-Valida.pdf; p.10; project candidate FT-SEED-R1B-P-0607-30; original visible ID not available</x:v>
      </x:c>
    </x:row>
    <x:row r="125" ht="38" customHeight="1">
      <x:c r="A125" s="25" t="str">
        <x:v>FT-SEED-R1B-P-2015-01</x:v>
      </x:c>
      <x:c r="B125" s="19" t="str">
        <x:v>2015</x:v>
      </x:c>
      <x:c r="C125" s="28" t="n">
        <x:v>1</x:v>
      </x:c>
      <x:c r="D125" s="31" t="str">
        <x:v>climate change</x:v>
      </x:c>
      <x:c r="E125" s="31" t="str">
        <x:v>modern climate change</x:v>
      </x:c>
      <x:c r="F125" s="19" t="str">
        <x:v>climate</x:v>
      </x:c>
      <x:c r="G125" s="31" t="str">
        <x:v>TECHNICAL_GLOSSARY</x:v>
      </x:c>
      <x:c r="H125" s="19" t="str">
        <x:v>NO</x:v>
      </x:c>
      <x:c r="I125" s="19" t="str">
        <x:v>IPCC climate-science glossary / assessment terminology</x:v>
      </x:c>
      <x:c r="J125" s="19" t="str">
        <x:v>Component headword checked: change.</x:v>
      </x:c>
      <x:c r="K125" s="19" t="str">
        <x:v>Anchor-period research source/context; Webster 1913 stable component URL recorded but automated page retrieval was unavailable</x:v>
      </x:c>
      <x:c r="L125" s="31" t="str">
        <x:v>A persistent change in the state or variability of climate; institutional definitions differ on whether human attribution is required.</x:v>
      </x:c>
      <x:c r="M125" s="31" t="str">
        <x:v>The established modern issue label for sustained climatic change, used in institutional, scientific, or public contexts depending on voice.</x:v>
      </x:c>
      <x:c r="N125" s="31" t="str">
        <x:v>A persistent change in the state or variability of climate; institutional definitions differ on whether human attribution is required.</x:v>
      </x:c>
      <x:c r="O125" s="31" t="str">
        <x:v>STRONG</x:v>
      </x:c>
      <x:c r="P125" s="19" t="str">
        <x:v>NOT_LOCATED</x:v>
      </x:c>
      <x:c r="Q125" s="31" t="str">
        <x:v>The modern issue label must still be distinguished from generic change and historical climatic variability.</x:v>
      </x:c>
      <x:c r="R125" s="31" t="str">
        <x:v>https://www.ipcc.ch/site/assets/uploads/2018/02/WGIIAR5-AnnexII_FINAL.pdf; https://api.dictionaryapi.dev/api/v2/entries/en/climate%20change; https://websters1913.timcieplowski.com/word/change/</x:v>
      </x:c>
      <x:c r="S125" s="43" t="str">
        <x:v>2026-08-26</x:v>
      </x:c>
      <x:c r="T125" s="46" t="str">
        <x:v>RECONSTRUCTED_FROM_REPORT; Fear of Temperature_ Stratified Lexical Expansion, Voice Mapping, and Semantic-Relational Pre-Valida.pdf; p.11; project candidate FT-SEED-R1B-P-2015-01; original visible ID not available</x:v>
      </x:c>
    </x:row>
    <x:row r="126" ht="38" customHeight="1">
      <x:c r="A126" s="25" t="str">
        <x:v>FT-SEED-R1B-P-2015-02</x:v>
      </x:c>
      <x:c r="B126" s="19" t="str">
        <x:v>2015</x:v>
      </x:c>
      <x:c r="C126" s="28" t="n">
        <x:v>2</x:v>
      </x:c>
      <x:c r="D126" s="31" t="str">
        <x:v>threat of climate change</x:v>
      </x:c>
      <x:c r="E126" s="31" t="str">
        <x:v>modern climate change</x:v>
      </x:c>
      <x:c r="F126" s="19" t="str">
        <x:v>climate</x:v>
      </x:c>
      <x:c r="G126" s="31" t="str">
        <x:v>NO_STANDALONE_HEADWORD</x:v>
      </x:c>
      <x:c r="H126" s="19" t="str">
        <x:v>NO</x:v>
      </x:c>
      <x:c r="I126" s="19" t="str">
        <x:v>Component lexical analysis plus anchor-source contextual meaning</x:v>
      </x:c>
      <x:c r="J126" s="19" t="str">
        <x:v>Component headword checked: change.</x:v>
      </x:c>
      <x:c r="K126" s="19" t="str">
        <x:v>Anchor-period research source/context; Webster 1913 stable component URL recorded but automated page retrieval was unavailable</x:v>
      </x:c>
      <x:c r="L126" s="31" t="str">
        <x:v>Modern climate change as an anthropogenic scientific, public, or governance problem; the candidate is interpreted in its documented anchor and voice context.</x:v>
      </x:c>
      <x:c r="M126" s="31" t="str">
        <x:v>A threat, risk, harm, severity, or consequence sense in the documented source; it is not automatically an emotion.</x:v>
      </x:c>
      <x:c r="N126" s="31" t="str">
        <x:v>Modern climate change as an anthropogenic scientific, public, or governance problem; the candidate is interpreted in its documented anchor and voice context.</x:v>
      </x:c>
      <x:c r="O126" s="31" t="str">
        <x:v>STRONG</x:v>
      </x:c>
      <x:c r="P126" s="19" t="str">
        <x:v>NOT_LOCATED</x:v>
      </x:c>
      <x:c r="Q126" s="31" t="str">
        <x:v>The surface form may realize multiple senses; candidate meaning remains anchored to the report-visible source context.</x:v>
      </x:c>
      <x:c r="R126" s="31" t="str">
        <x:v>Fear of Temperature_ Stratified Lexical Expansion, Voice Mapping, and Semantic-Relational Pre-Valida.pdf#page=11; https://api.dictionaryapi.dev/api/v2/entries/en/threat%20of%20climate%20change; https://websters1913.timcieplowski.com/word/change/</x:v>
      </x:c>
      <x:c r="S126" s="43" t="str">
        <x:v>2026-08-26</x:v>
      </x:c>
      <x:c r="T126" s="46" t="str">
        <x:v>RECONSTRUCTED_FROM_REPORT; Fear of Temperature_ Stratified Lexical Expansion, Voice Mapping, and Semantic-Relational Pre-Valida.pdf; p.11; project candidate FT-SEED-R1B-P-2015-02; original visible ID not available</x:v>
      </x:c>
    </x:row>
    <x:row r="127" ht="38" customHeight="1">
      <x:c r="A127" s="25" t="str">
        <x:v>FT-SEED-R1B-P-2015-03</x:v>
      </x:c>
      <x:c r="B127" s="19" t="str">
        <x:v>2015</x:v>
      </x:c>
      <x:c r="C127" s="28" t="n">
        <x:v>3</x:v>
      </x:c>
      <x:c r="D127" s="31" t="str">
        <x:v>global average temperature</x:v>
      </x:c>
      <x:c r="E127" s="31" t="str">
        <x:v>global aggregate temperature</x:v>
      </x:c>
      <x:c r="F127" s="19" t="str">
        <x:v>temperature_threshold</x:v>
      </x:c>
      <x:c r="G127" s="31" t="str">
        <x:v>TECHNICAL_GLOSSARY</x:v>
      </x:c>
      <x:c r="H127" s="19" t="str">
        <x:v>NO</x:v>
      </x:c>
      <x:c r="I127" s="19" t="str">
        <x:v>IPCC climate-science glossary / assessment terminology</x:v>
      </x:c>
      <x:c r="J127" s="19" t="str">
        <x:v>Component headword checked: temperature.</x:v>
      </x:c>
      <x:c r="K127" s="19" t="str">
        <x:v>Anchor-period research source/context; Webster 1913 stable component URL recorded but automated page retrieval was unavailable</x:v>
      </x:c>
      <x:c r="L127" s="31" t="str">
        <x:v>A global-scale aggregate temperature metric; the candidate is interpreted in its documented anchor and voice context.</x:v>
      </x:c>
      <x:c r="M127" s="31" t="str">
        <x:v>A physical temperature, warming, heat, or measurement sense in the documented anchor context.</x:v>
      </x:c>
      <x:c r="N127" s="31" t="str">
        <x:v>A global-scale aggregate temperature metric; the candidate is interpreted in its documented anchor and voice context.</x:v>
      </x:c>
      <x:c r="O127" s="31" t="str">
        <x:v>STRONG</x:v>
      </x:c>
      <x:c r="P127" s="19" t="str">
        <x:v>NOT_LOCATED</x:v>
      </x:c>
      <x:c r="Q127" s="31" t="str">
        <x:v>The surface form may realize multiple senses; candidate meaning remains anchored to the report-visible source context.</x:v>
      </x:c>
      <x:c r="R127" s="31" t="str">
        <x:v>https://www.ipcc.ch/site/assets/uploads/2018/02/WGIIAR5-AnnexII_FINAL.pdf; https://api.dictionaryapi.dev/api/v2/entries/en/global%20average%20temperature; https://websters1913.timcieplowski.com/word/temperature/</x:v>
      </x:c>
      <x:c r="S127" s="43" t="str">
        <x:v>2026-08-26</x:v>
      </x:c>
      <x:c r="T127" s="46" t="str">
        <x:v>RECONSTRUCTED_FROM_REPORT; Fear of Temperature_ Stratified Lexical Expansion, Voice Mapping, and Semantic-Relational Pre-Valida.pdf; p.11; project candidate FT-SEED-R1B-P-2015-03; original visible ID not available</x:v>
      </x:c>
    </x:row>
    <x:row r="128" ht="38" customHeight="1">
      <x:c r="A128" s="25" t="str">
        <x:v>FT-SEED-R1B-P-2015-04</x:v>
      </x:c>
      <x:c r="B128" s="19" t="str">
        <x:v>2015</x:v>
      </x:c>
      <x:c r="C128" s="28" t="n">
        <x:v>4</x:v>
      </x:c>
      <x:c r="D128" s="31" t="str">
        <x:v>well below 2°C above pre-industrial levels</x:v>
      </x:c>
      <x:c r="E128" s="31" t="str">
        <x:v>2°C threshold</x:v>
      </x:c>
      <x:c r="F128" s="19" t="str">
        <x:v>temperature_threshold</x:v>
      </x:c>
      <x:c r="G128" s="31" t="str">
        <x:v>TECHNICAL_GLOSSARY</x:v>
      </x:c>
      <x:c r="H128" s="19" t="str">
        <x:v>NO</x:v>
      </x:c>
      <x:c r="I128" s="19" t="str">
        <x:v>IPCC climate-science glossary / assessment terminology</x:v>
      </x:c>
      <x:c r="J128" s="19" t="str">
        <x:v>Component headword checked: levels.</x:v>
      </x:c>
      <x:c r="K128" s="19" t="str">
        <x:v>Anchor-period research source/context; Webster 1913 stable component URL recorded but automated page retrieval was unavailable</x:v>
      </x:c>
      <x:c r="L128" s="31" t="str">
        <x:v>A governed two-degree temperature limit or threshold; the candidate is interpreted in its documented anchor and voice context.</x:v>
      </x:c>
      <x:c r="M128" s="31" t="str">
        <x:v>A treaty governance threshold relating global average temperature increase to a pre-industrial reference level.</x:v>
      </x:c>
      <x:c r="N128" s="31" t="str">
        <x:v>A governed two-degree temperature limit or threshold; the candidate is interpreted in its documented anchor and voice context.</x:v>
      </x:c>
      <x:c r="O128" s="31" t="str">
        <x:v>STRONG</x:v>
      </x:c>
      <x:c r="P128" s="19" t="str">
        <x:v>NOT_LOCATED</x:v>
      </x:c>
      <x:c r="Q128" s="31" t="str">
        <x:v>The numeric threshold is a policy-governance object, not experienced local temperature.</x:v>
      </x:c>
      <x:c r="R128" s="31" t="str">
        <x:v>https://www.ipcc.ch/site/assets/uploads/2018/02/WGIIAR5-AnnexII_FINAL.pdf; https://api.dictionaryapi.dev/api/v2/entries/en/well%20below%202%C2%B0C%20above%20pre-industrial%20levels; https://websters1913.timcieplowski.com/word/levels/</x:v>
      </x:c>
      <x:c r="S128" s="43" t="str">
        <x:v>2026-08-26</x:v>
      </x:c>
      <x:c r="T128" s="46" t="str">
        <x:v>RECONSTRUCTED_FROM_REPORT; Fear of Temperature_ Stratified Lexical Expansion, Voice Mapping, and Semantic-Relational Pre-Valida.pdf; p.11; project candidate FT-SEED-R1B-P-2015-04; original visible ID not available</x:v>
      </x:c>
    </x:row>
    <x:row r="129" ht="38" customHeight="1">
      <x:c r="A129" s="25" t="str">
        <x:v>FT-SEED-R1B-P-2015-05</x:v>
      </x:c>
      <x:c r="B129" s="19" t="str">
        <x:v>2015</x:v>
      </x:c>
      <x:c r="C129" s="28" t="n">
        <x:v>5</x:v>
      </x:c>
      <x:c r="D129" s="31" t="str">
        <x:v>1.5°C above pre-industrial levels</x:v>
      </x:c>
      <x:c r="E129" s="31" t="str">
        <x:v>1.5°C threshold</x:v>
      </x:c>
      <x:c r="F129" s="19" t="str">
        <x:v>temperature_threshold</x:v>
      </x:c>
      <x:c r="G129" s="31" t="str">
        <x:v>TECHNICAL_GLOSSARY</x:v>
      </x:c>
      <x:c r="H129" s="19" t="str">
        <x:v>NO</x:v>
      </x:c>
      <x:c r="I129" s="19" t="str">
        <x:v>IPCC climate-science glossary / assessment terminology</x:v>
      </x:c>
      <x:c r="J129" s="19" t="str">
        <x:v>Component headword checked: levels.</x:v>
      </x:c>
      <x:c r="K129" s="19" t="str">
        <x:v>Anchor-period research source/context; Webster 1913 stable component URL recorded but automated page retrieval was unavailable</x:v>
      </x:c>
      <x:c r="L129" s="31" t="str">
        <x:v>A governed one-and-a-half-degree temperature limit or threshold; the candidate is interpreted in its documented anchor and voice context.</x:v>
      </x:c>
      <x:c r="M129" s="31" t="str">
        <x:v>A treaty governance threshold relating global average temperature increase to a pre-industrial reference level.</x:v>
      </x:c>
      <x:c r="N129" s="31" t="str">
        <x:v>A governed one-and-a-half-degree temperature limit or threshold; the candidate is interpreted in its documented anchor and voice context.</x:v>
      </x:c>
      <x:c r="O129" s="31" t="str">
        <x:v>STRONG</x:v>
      </x:c>
      <x:c r="P129" s="19" t="str">
        <x:v>NOT_LOCATED</x:v>
      </x:c>
      <x:c r="Q129" s="31" t="str">
        <x:v>The numeric threshold is a policy-governance object, not experienced local temperature.</x:v>
      </x:c>
      <x:c r="R129" s="31" t="str">
        <x:v>https://www.ipcc.ch/site/assets/uploads/2018/02/WGIIAR5-AnnexII_FINAL.pdf; https://api.dictionaryapi.dev/api/v2/entries/en/1.5%C2%B0C%20above%20pre-industrial%20levels; https://websters1913.timcieplowski.com/word/levels/</x:v>
      </x:c>
      <x:c r="S129" s="43" t="str">
        <x:v>2026-08-26</x:v>
      </x:c>
      <x:c r="T129" s="46" t="str">
        <x:v>RECONSTRUCTED_FROM_REPORT; Fear of Temperature_ Stratified Lexical Expansion, Voice Mapping, and Semantic-Relational Pre-Valida.pdf; p.11; project candidate FT-SEED-R1B-P-2015-05; original visible ID not available</x:v>
      </x:c>
    </x:row>
    <x:row r="130" ht="38" customHeight="1">
      <x:c r="A130" s="25" t="str">
        <x:v>FT-SEED-R1B-P-2015-06</x:v>
      </x:c>
      <x:c r="B130" s="19" t="str">
        <x:v>2015</x:v>
      </x:c>
      <x:c r="C130" s="28" t="n">
        <x:v>6</x:v>
      </x:c>
      <x:c r="D130" s="31" t="str">
        <x:v>pre-industrial levels</x:v>
      </x:c>
      <x:c r="E130" s="31" t="str">
        <x:v>historical climate / climatological condition</x:v>
      </x:c>
      <x:c r="F130" s="19" t="str">
        <x:v>climate</x:v>
      </x:c>
      <x:c r="G130" s="31" t="str">
        <x:v>TECHNICAL_GLOSSARY</x:v>
      </x:c>
      <x:c r="H130" s="19" t="str">
        <x:v>NO</x:v>
      </x:c>
      <x:c r="I130" s="19" t="str">
        <x:v>IPCC climate-science glossary / assessment terminology</x:v>
      </x:c>
      <x:c r="J130" s="19" t="str">
        <x:v>Component headword checked: levels.</x:v>
      </x:c>
      <x:c r="K130" s="19" t="str">
        <x:v>Anchor-period research source/context; Webster 1913 stable component URL recorded but automated page retrieval was unavailable</x:v>
      </x:c>
      <x:c r="L130" s="31" t="str">
        <x:v>A historical reference baseline preceding large-scale industrial-era human influence, operationalized by the relevant climate agreement or assessment.</x:v>
      </x:c>
      <x:c r="M130" s="31" t="str">
        <x:v>A climatic, atmospheric, meteorological, or causal-science sense in the documented anchor context.</x:v>
      </x:c>
      <x:c r="N130" s="31" t="str">
        <x:v>A historical reference baseline preceding large-scale industrial-era human influence, operationalized by the relevant climate agreement or assessment.</x:v>
      </x:c>
      <x:c r="O130" s="31" t="str">
        <x:v>STRONG</x:v>
      </x:c>
      <x:c r="P130" s="19" t="str">
        <x:v>NOT_LOCATED</x:v>
      </x:c>
      <x:c r="Q130" s="31" t="str">
        <x:v>The surface form may realize multiple senses; candidate meaning remains anchored to the report-visible source context.</x:v>
      </x:c>
      <x:c r="R130" s="31" t="str">
        <x:v>https://www.ipcc.ch/site/assets/uploads/2018/02/WGIIAR5-AnnexII_FINAL.pdf; https://api.dictionaryapi.dev/api/v2/entries/en/pre-industrial%20levels; https://websters1913.timcieplowski.com/word/levels/</x:v>
      </x:c>
      <x:c r="S130" s="43" t="str">
        <x:v>2026-08-26</x:v>
      </x:c>
      <x:c r="T130" s="46" t="str">
        <x:v>RECONSTRUCTED_FROM_REPORT; Fear of Temperature_ Stratified Lexical Expansion, Voice Mapping, and Semantic-Relational Pre-Valida.pdf; p.11; project candidate FT-SEED-R1B-P-2015-06; original visible ID not available</x:v>
      </x:c>
    </x:row>
    <x:row r="131" ht="38" customHeight="1">
      <x:c r="A131" s="25" t="str">
        <x:v>FT-SEED-R1B-P-2015-07</x:v>
      </x:c>
      <x:c r="B131" s="19" t="str">
        <x:v>2015</x:v>
      </x:c>
      <x:c r="C131" s="28" t="n">
        <x:v>7</x:v>
      </x:c>
      <x:c r="D131" s="31" t="str">
        <x:v>risks and impacts</x:v>
      </x:c>
      <x:c r="E131" s="31" t="str">
        <x:v>administrative risk assessment</x:v>
      </x:c>
      <x:c r="F131" s="19" t="str">
        <x:v>risk</x:v>
      </x:c>
      <x:c r="G131" s="31" t="str">
        <x:v>NO_STANDALONE_HEADWORD</x:v>
      </x:c>
      <x:c r="H131" s="19" t="str">
        <x:v>NO</x:v>
      </x:c>
      <x:c r="I131" s="19" t="str">
        <x:v>Component lexical analysis plus anchor-source contextual meaning</x:v>
      </x:c>
      <x:c r="J131" s="19" t="str">
        <x:v>Component headword checked: impacts.</x:v>
      </x:c>
      <x:c r="K131" s="19" t="str">
        <x:v>Anchor-period research source/context; Webster 1913 stable component URL recorded but automated page retrieval was unavailable</x:v>
      </x:c>
      <x:c r="L131" s="31" t="str">
        <x:v>Risk managed or assessed through institutional procedure; the candidate is interpreted in its documented anchor and voice context.</x:v>
      </x:c>
      <x:c r="M131" s="31" t="str">
        <x:v>A threat, risk, harm, severity, or consequence sense in the documented source; it is not automatically an emotion.</x:v>
      </x:c>
      <x:c r="N131" s="31" t="str">
        <x:v>Risk managed or assessed through institutional procedure; the candidate is interpreted in its documented anchor and voice context.</x:v>
      </x:c>
      <x:c r="O131" s="31" t="str">
        <x:v>STRONG</x:v>
      </x:c>
      <x:c r="P131" s="19" t="str">
        <x:v>NOT_LOCATED</x:v>
      </x:c>
      <x:c r="Q131" s="31" t="str">
        <x:v>The surface form may realize multiple senses; candidate meaning remains anchored to the report-visible source context.</x:v>
      </x:c>
      <x:c r="R131" s="31" t="str">
        <x:v>Fear of Temperature_ Stratified Lexical Expansion, Voice Mapping, and Semantic-Relational Pre-Valida.pdf#page=11; https://api.dictionaryapi.dev/api/v2/entries/en/risks%20and%20impacts; https://websters1913.timcieplowski.com/word/impacts/</x:v>
      </x:c>
      <x:c r="S131" s="43" t="str">
        <x:v>2026-08-26</x:v>
      </x:c>
      <x:c r="T131" s="46" t="str">
        <x:v>RECONSTRUCTED_FROM_REPORT; Fear of Temperature_ Stratified Lexical Expansion, Voice Mapping, and Semantic-Relational Pre-Valida.pdf; p.11; project candidate FT-SEED-R1B-P-2015-07; original visible ID not available</x:v>
      </x:c>
    </x:row>
    <x:row r="132" ht="38" customHeight="1">
      <x:c r="A132" s="25" t="str">
        <x:v>FT-SEED-R1B-P-2015-08</x:v>
      </x:c>
      <x:c r="B132" s="19" t="str">
        <x:v>2015</x:v>
      </x:c>
      <x:c r="C132" s="28" t="n">
        <x:v>8</x:v>
      </x:c>
      <x:c r="D132" s="31" t="str">
        <x:v>adverse impacts</x:v>
      </x:c>
      <x:c r="E132" s="31" t="str">
        <x:v>generic damage</x:v>
      </x:c>
      <x:c r="F132" s="19" t="str">
        <x:v>harm_loss_consequences</x:v>
      </x:c>
      <x:c r="G132" s="31" t="str">
        <x:v>NO_STANDALONE_HEADWORD</x:v>
      </x:c>
      <x:c r="H132" s="19" t="str">
        <x:v>NO</x:v>
      </x:c>
      <x:c r="I132" s="19" t="str">
        <x:v>Component lexical analysis plus anchor-source contextual meaning</x:v>
      </x:c>
      <x:c r="J132" s="19" t="str">
        <x:v>Component headword checked: impacts.</x:v>
      </x:c>
      <x:c r="K132" s="19" t="str">
        <x:v>Anchor-period research source/context; Webster 1913 stable component URL recorded but automated page retrieval was unavailable</x:v>
      </x:c>
      <x:c r="L132" s="31" t="str">
        <x:v>Generic material, ecological, or social damage; the candidate is interpreted in its documented anchor and voice context.</x:v>
      </x:c>
      <x:c r="M132" s="31" t="str">
        <x:v>A threat, risk, harm, severity, or consequence sense in the documented source; it is not automatically an emotion.</x:v>
      </x:c>
      <x:c r="N132" s="31" t="str">
        <x:v>Generic material, ecological, or social damage; the candidate is interpreted in its documented anchor and voice context.</x:v>
      </x:c>
      <x:c r="O132" s="31" t="str">
        <x:v>STRONG</x:v>
      </x:c>
      <x:c r="P132" s="19" t="str">
        <x:v>NOT_LOCATED</x:v>
      </x:c>
      <x:c r="Q132" s="31" t="str">
        <x:v>The surface form may realize multiple senses; candidate meaning remains anchored to the report-visible source context.</x:v>
      </x:c>
      <x:c r="R132" s="31" t="str">
        <x:v>Fear of Temperature_ Stratified Lexical Expansion, Voice Mapping, and Semantic-Relational Pre-Valida.pdf#page=11; https://api.dictionaryapi.dev/api/v2/entries/en/adverse%20impacts; https://websters1913.timcieplowski.com/word/impacts/</x:v>
      </x:c>
      <x:c r="S132" s="43" t="str">
        <x:v>2026-08-26</x:v>
      </x:c>
      <x:c r="T132" s="46" t="str">
        <x:v>RECONSTRUCTED_FROM_REPORT; Fear of Temperature_ Stratified Lexical Expansion, Voice Mapping, and Semantic-Relational Pre-Valida.pdf; p.11; project candidate FT-SEED-R1B-P-2015-08; original visible ID not available</x:v>
      </x:c>
    </x:row>
    <x:row r="133" ht="38" customHeight="1">
      <x:c r="A133" s="25" t="str">
        <x:v>FT-SEED-R1B-P-2015-09</x:v>
      </x:c>
      <x:c r="B133" s="19" t="str">
        <x:v>2015</x:v>
      </x:c>
      <x:c r="C133" s="28" t="n">
        <x:v>9</x:v>
      </x:c>
      <x:c r="D133" s="31" t="str">
        <x:v>adverse effects of climate change</x:v>
      </x:c>
      <x:c r="E133" s="31" t="str">
        <x:v>modern climate change</x:v>
      </x:c>
      <x:c r="F133" s="19" t="str">
        <x:v>climate</x:v>
      </x:c>
      <x:c r="G133" s="31" t="str">
        <x:v>NO_STANDALONE_HEADWORD</x:v>
      </x:c>
      <x:c r="H133" s="19" t="str">
        <x:v>NO</x:v>
      </x:c>
      <x:c r="I133" s="19" t="str">
        <x:v>Component lexical analysis plus anchor-source contextual meaning</x:v>
      </x:c>
      <x:c r="J133" s="19" t="str">
        <x:v>Component headword checked: change.</x:v>
      </x:c>
      <x:c r="K133" s="19" t="str">
        <x:v>Anchor-period research source/context; Webster 1913 stable component URL recorded but automated page retrieval was unavailable</x:v>
      </x:c>
      <x:c r="L133" s="31" t="str">
        <x:v>Modern climate change as an anthropogenic scientific, public, or governance problem; the candidate is interpreted in its documented anchor and voice context.</x:v>
      </x:c>
      <x:c r="M133" s="31" t="str">
        <x:v>A threat, risk, harm, severity, or consequence sense in the documented source; it is not automatically an emotion.</x:v>
      </x:c>
      <x:c r="N133" s="31" t="str">
        <x:v>Modern climate change as an anthropogenic scientific, public, or governance problem; the candidate is interpreted in its documented anchor and voice context.</x:v>
      </x:c>
      <x:c r="O133" s="31" t="str">
        <x:v>STRONG</x:v>
      </x:c>
      <x:c r="P133" s="19" t="str">
        <x:v>NOT_LOCATED</x:v>
      </x:c>
      <x:c r="Q133" s="31" t="str">
        <x:v>The surface form may realize multiple senses; candidate meaning remains anchored to the report-visible source context.</x:v>
      </x:c>
      <x:c r="R133" s="31" t="str">
        <x:v>Fear of Temperature_ Stratified Lexical Expansion, Voice Mapping, and Semantic-Relational Pre-Valida.pdf#page=11; https://api.dictionaryapi.dev/api/v2/entries/en/adverse%20effects%20of%20climate%20change; https://websters1913.timcieplowski.com/word/change/</x:v>
      </x:c>
      <x:c r="S133" s="43" t="str">
        <x:v>2026-08-26</x:v>
      </x:c>
      <x:c r="T133" s="46" t="str">
        <x:v>RECONSTRUCTED_FROM_REPORT; Fear of Temperature_ Stratified Lexical Expansion, Voice Mapping, and Semantic-Relational Pre-Valida.pdf; p.11; project candidate FT-SEED-R1B-P-2015-09; original visible ID not available</x:v>
      </x:c>
    </x:row>
    <x:row r="134" ht="38" customHeight="1">
      <x:c r="A134" s="25" t="str">
        <x:v>FT-SEED-R1B-P-2015-10</x:v>
      </x:c>
      <x:c r="B134" s="19" t="str">
        <x:v>2015</x:v>
      </x:c>
      <x:c r="C134" s="28" t="n">
        <x:v>10</x:v>
      </x:c>
      <x:c r="D134" s="31" t="str">
        <x:v>greenhouse gas emissions</x:v>
      </x:c>
      <x:c r="E134" s="31" t="str">
        <x:v>anthropogenic greenhouse-gas emissions</x:v>
      </x:c>
      <x:c r="F134" s="19" t="str">
        <x:v>carbon_greenhouse</x:v>
      </x:c>
      <x:c r="G134" s="31" t="str">
        <x:v>TECHNICAL_GLOSSARY</x:v>
      </x:c>
      <x:c r="H134" s="19" t="str">
        <x:v>NO</x:v>
      </x:c>
      <x:c r="I134" s="19" t="str">
        <x:v>IPCC climate-science glossary / assessment terminology</x:v>
      </x:c>
      <x:c r="J134" s="19" t="str">
        <x:v>Component headword checked: emissions.</x:v>
      </x:c>
      <x:c r="K134" s="19" t="str">
        <x:v>Anchor-period research source/context; Webster 1913 stable component URL recorded but automated page retrieval was unavailable</x:v>
      </x:c>
      <x:c r="L134" s="31" t="str">
        <x:v>Releases of gases that contribute to the atmospheric greenhouse effect.</x:v>
      </x:c>
      <x:c r="M134" s="31" t="str">
        <x:v>A climatic, atmospheric, meteorological, or causal-science sense in the documented anchor context.</x:v>
      </x:c>
      <x:c r="N134" s="31" t="str">
        <x:v>Releases of gases that contribute to the atmospheric greenhouse effect.</x:v>
      </x:c>
      <x:c r="O134" s="31" t="str">
        <x:v>STRONG</x:v>
      </x:c>
      <x:c r="P134" s="19" t="str">
        <x:v>NOT_LOCATED</x:v>
      </x:c>
      <x:c r="Q134" s="31" t="str">
        <x:v>The surface form may realize multiple senses; candidate meaning remains anchored to the report-visible source context.</x:v>
      </x:c>
      <x:c r="R134" s="31" t="str">
        <x:v>https://www.ipcc.ch/site/assets/uploads/2018/02/WGIIAR5-AnnexII_FINAL.pdf; https://api.dictionaryapi.dev/api/v2/entries/en/greenhouse%20gas%20emissions; https://websters1913.timcieplowski.com/word/emissions/</x:v>
      </x:c>
      <x:c r="S134" s="43" t="str">
        <x:v>2026-08-26</x:v>
      </x:c>
      <x:c r="T134" s="46" t="str">
        <x:v>RECONSTRUCTED_FROM_REPORT; Fear of Temperature_ Stratified Lexical Expansion, Voice Mapping, and Semantic-Relational Pre-Valida.pdf; p.11; project candidate FT-SEED-R1B-P-2015-10; original visible ID not available</x:v>
      </x:c>
    </x:row>
    <x:row r="135" ht="38" customHeight="1">
      <x:c r="A135" s="25" t="str">
        <x:v>FT-SEED-R1B-P-2015-11</x:v>
      </x:c>
      <x:c r="B135" s="19" t="str">
        <x:v>2015</x:v>
      </x:c>
      <x:c r="C135" s="28" t="n">
        <x:v>11</x:v>
      </x:c>
      <x:c r="D135" s="31" t="str">
        <x:v>climate resilience</x:v>
      </x:c>
      <x:c r="E135" s="31" t="str">
        <x:v>generic damage</x:v>
      </x:c>
      <x:c r="F135" s="19" t="str">
        <x:v>harm_loss_consequences</x:v>
      </x:c>
      <x:c r="G135" s="31" t="str">
        <x:v>TECHNICAL_GLOSSARY</x:v>
      </x:c>
      <x:c r="H135" s="19" t="str">
        <x:v>NO</x:v>
      </x:c>
      <x:c r="I135" s="19" t="str">
        <x:v>IPCC climate-science glossary / assessment terminology</x:v>
      </x:c>
      <x:c r="J135" s="19" t="str">
        <x:v>Component headword checked: resilience.</x:v>
      </x:c>
      <x:c r="K135" s="19" t="str">
        <x:v>Anchor-period research source/context; Webster 1913 stable component URL recorded but automated page retrieval was unavailable</x:v>
      </x:c>
      <x:c r="L135" s="31" t="str">
        <x:v>The capacity of social, economic, and ecological systems to cope with climatic hazards while maintaining essential functions and adapting.</x:v>
      </x:c>
      <x:c r="M135" s="31" t="str">
        <x:v>A threat, risk, harm, severity, or consequence sense in the documented source; it is not automatically an emotion.</x:v>
      </x:c>
      <x:c r="N135" s="31" t="str">
        <x:v>The capacity of social, economic, and ecological systems to cope with climatic hazards while maintaining essential functions and adapting.</x:v>
      </x:c>
      <x:c r="O135" s="31" t="str">
        <x:v>STRONG</x:v>
      </x:c>
      <x:c r="P135" s="19" t="str">
        <x:v>NOT_LOCATED</x:v>
      </x:c>
      <x:c r="Q135" s="31" t="str">
        <x:v>The surface form may realize multiple senses; candidate meaning remains anchored to the report-visible source context.</x:v>
      </x:c>
      <x:c r="R135" s="31" t="str">
        <x:v>https://www.ipcc.ch/site/assets/uploads/2018/02/WGIIAR5-AnnexII_FINAL.pdf; https://api.dictionaryapi.dev/api/v2/entries/en/climate%20resilience; https://websters1913.timcieplowski.com/word/resilience/</x:v>
      </x:c>
      <x:c r="S135" s="43" t="str">
        <x:v>2026-08-26</x:v>
      </x:c>
      <x:c r="T135" s="46" t="str">
        <x:v>RECONSTRUCTED_FROM_REPORT; Fear of Temperature_ Stratified Lexical Expansion, Voice Mapping, and Semantic-Relational Pre-Valida.pdf; p.11; project candidate FT-SEED-R1B-P-2015-11; original visible ID not available</x:v>
      </x:c>
    </x:row>
    <x:row r="136" ht="38" customHeight="1">
      <x:c r="A136" s="25" t="str">
        <x:v>FT-SEED-R1B-P-2015-12</x:v>
      </x:c>
      <x:c r="B136" s="19" t="str">
        <x:v>2015</x:v>
      </x:c>
      <x:c r="C136" s="28" t="n">
        <x:v>12</x:v>
      </x:c>
      <x:c r="D136" s="31" t="str">
        <x:v>vulnerability</x:v>
      </x:c>
      <x:c r="E136" s="31" t="str">
        <x:v>vulnerability</x:v>
      </x:c>
      <x:c r="F136" s="19" t="str">
        <x:v>harm_loss_consequences</x:v>
      </x:c>
      <x:c r="G136" s="31" t="str">
        <x:v>TECHNICAL_GLOSSARY</x:v>
      </x:c>
      <x:c r="H136" s="19" t="str">
        <x:v>NO</x:v>
      </x:c>
      <x:c r="I136" s="19" t="str">
        <x:v>IPCC climate-science glossary / assessment terminology</x:v>
      </x:c>
      <x:c r="J136" s="19" t="str">
        <x:v>Component headword checked: vulnerability.</x:v>
      </x:c>
      <x:c r="K136" s="19" t="str">
        <x:v>Anchor-period research source/context; Webster 1913 stable component URL recorded but automated page retrieval was unavailable</x:v>
      </x:c>
      <x:c r="L136" s="31" t="str">
        <x:v>Susceptibility of an identified subject or group to harm; the candidate is interpreted in its documented anchor and voice context.</x:v>
      </x:c>
      <x:c r="M136" s="31" t="str">
        <x:v>A threat, risk, harm, severity, or consequence sense in the documented source; it is not automatically an emotion.</x:v>
      </x:c>
      <x:c r="N136" s="31" t="str">
        <x:v>Susceptibility of an identified subject or group to harm; the candidate is interpreted in its documented anchor and voice context.</x:v>
      </x:c>
      <x:c r="O136" s="31" t="str">
        <x:v>STRONG</x:v>
      </x:c>
      <x:c r="P136" s="19" t="str">
        <x:v>NOT_LOCATED</x:v>
      </x:c>
      <x:c r="Q136" s="31" t="str">
        <x:v>The surface form may realize multiple senses; candidate meaning remains anchored to the report-visible source context.</x:v>
      </x:c>
      <x:c r="R136" s="31" t="str">
        <x:v>https://www.ipcc.ch/site/assets/uploads/2018/02/WGIIAR5-AnnexII_FINAL.pdf; https://api.dictionaryapi.dev/api/v2/entries/en/vulnerability; https://websters1913.timcieplowski.com/word/vulnerability/</x:v>
      </x:c>
      <x:c r="S136" s="43" t="str">
        <x:v>2026-08-26</x:v>
      </x:c>
      <x:c r="T136" s="46" t="str">
        <x:v>RECONSTRUCTED_FROM_REPORT; Fear of Temperature_ Stratified Lexical Expansion, Voice Mapping, and Semantic-Relational Pre-Valida.pdf; p.11; project candidate FT-SEED-R1B-P-2015-12; original visible ID not available</x:v>
      </x:c>
    </x:row>
    <x:row r="137" ht="38" customHeight="1">
      <x:c r="A137" s="25" t="str">
        <x:v>FT-SEED-R1B-P-2015-13</x:v>
      </x:c>
      <x:c r="B137" s="19" t="str">
        <x:v>2015</x:v>
      </x:c>
      <x:c r="C137" s="28" t="n">
        <x:v>13</x:v>
      </x:c>
      <x:c r="D137" s="31" t="str">
        <x:v>vulnerable groups</x:v>
      </x:c>
      <x:c r="E137" s="31" t="str">
        <x:v>vulnerability</x:v>
      </x:c>
      <x:c r="F137" s="19" t="str">
        <x:v>harm_loss_consequences</x:v>
      </x:c>
      <x:c r="G137" s="31" t="str">
        <x:v>TECHNICAL_GLOSSARY</x:v>
      </x:c>
      <x:c r="H137" s="19" t="str">
        <x:v>NO</x:v>
      </x:c>
      <x:c r="I137" s="19" t="str">
        <x:v>IPCC climate-science glossary / assessment terminology</x:v>
      </x:c>
      <x:c r="J137" s="19" t="str">
        <x:v>Component headword checked: groups.</x:v>
      </x:c>
      <x:c r="K137" s="19" t="str">
        <x:v>Anchor-period research source/context; Webster 1913 stable component URL recorded but automated page retrieval was unavailable</x:v>
      </x:c>
      <x:c r="L137" s="31" t="str">
        <x:v>Susceptibility of an identified subject or group to harm; the candidate is interpreted in its documented anchor and voice context.</x:v>
      </x:c>
      <x:c r="M137" s="31" t="str">
        <x:v>A threat, risk, harm, severity, or consequence sense in the documented source; it is not automatically an emotion.</x:v>
      </x:c>
      <x:c r="N137" s="31" t="str">
        <x:v>Susceptibility of an identified subject or group to harm; the candidate is interpreted in its documented anchor and voice context.</x:v>
      </x:c>
      <x:c r="O137" s="31" t="str">
        <x:v>STRONG</x:v>
      </x:c>
      <x:c r="P137" s="19" t="str">
        <x:v>NOT_LOCATED</x:v>
      </x:c>
      <x:c r="Q137" s="31" t="str">
        <x:v>The surface form may realize multiple senses; candidate meaning remains anchored to the report-visible source context.</x:v>
      </x:c>
      <x:c r="R137" s="31" t="str">
        <x:v>https://www.ipcc.ch/site/assets/uploads/2018/02/WGIIAR5-AnnexII_FINAL.pdf; https://api.dictionaryapi.dev/api/v2/entries/en/vulnerable%20groups; https://websters1913.timcieplowski.com/word/groups/</x:v>
      </x:c>
      <x:c r="S137" s="43" t="str">
        <x:v>2026-08-26</x:v>
      </x:c>
      <x:c r="T137" s="46" t="str">
        <x:v>RECONSTRUCTED_FROM_REPORT; Fear of Temperature_ Stratified Lexical Expansion, Voice Mapping, and Semantic-Relational Pre-Valida.pdf; p.11; project candidate FT-SEED-R1B-P-2015-13; original visible ID not available</x:v>
      </x:c>
    </x:row>
    <x:row r="138" ht="38" customHeight="1">
      <x:c r="A138" s="25" t="str">
        <x:v>FT-SEED-R1B-P-2015-14</x:v>
      </x:c>
      <x:c r="B138" s="19" t="str">
        <x:v>2015</x:v>
      </x:c>
      <x:c r="C138" s="28" t="n">
        <x:v>14</x:v>
      </x:c>
      <x:c r="D138" s="31" t="str">
        <x:v>loss and damage</x:v>
      </x:c>
      <x:c r="E138" s="31" t="str">
        <x:v>loss and damage</x:v>
      </x:c>
      <x:c r="F138" s="19" t="str">
        <x:v>harm_loss_consequences</x:v>
      </x:c>
      <x:c r="G138" s="31" t="str">
        <x:v>TECHNICAL_GLOSSARY</x:v>
      </x:c>
      <x:c r="H138" s="19" t="str">
        <x:v>NO</x:v>
      </x:c>
      <x:c r="I138" s="19" t="str">
        <x:v>IPCC climate-science glossary / assessment terminology</x:v>
      </x:c>
      <x:c r="J138" s="19" t="str">
        <x:v>Component headword checked: damage.</x:v>
      </x:c>
      <x:c r="K138" s="19" t="str">
        <x:v>Anchor-period research source/context; Webster 1913 stable component URL recorded but automated page retrieval was unavailable</x:v>
      </x:c>
      <x:c r="L138" s="31" t="str">
        <x:v>Adverse climate-related impacts that remain after, or cannot be avoided through, mitigation and adaptation; both economic and non-economic losses may be involved.</x:v>
      </x:c>
      <x:c r="M138" s="31" t="str">
        <x:v>Institutional climate-policy terminology for harms and losses associated with climate impacts, with economic and non-economic subtypes.</x:v>
      </x:c>
      <x:c r="N138" s="31" t="str">
        <x:v>Adverse climate-related impacts that remain after, or cannot be avoided through, mitigation and adaptation; both economic and non-economic losses may be involved.</x:v>
      </x:c>
      <x:c r="O138" s="31" t="str">
        <x:v>STRONG</x:v>
      </x:c>
      <x:c r="P138" s="19" t="str">
        <x:v>NOT_LOCATED</x:v>
      </x:c>
      <x:c r="Q138" s="31" t="str">
        <x:v>Generic damage/loss and the UNFCCC policy term 'loss and damage' are not interchangeable.</x:v>
      </x:c>
      <x:c r="R138" s="31" t="str">
        <x:v>https://www.ipcc.ch/site/assets/uploads/2018/02/WGIIAR5-AnnexII_FINAL.pdf; https://api.dictionaryapi.dev/api/v2/entries/en/loss%20and%20damage; https://websters1913.timcieplowski.com/word/damage/</x:v>
      </x:c>
      <x:c r="S138" s="43" t="str">
        <x:v>2026-08-26</x:v>
      </x:c>
      <x:c r="T138" s="46" t="str">
        <x:v>RECONSTRUCTED_FROM_REPORT; Fear of Temperature_ Stratified Lexical Expansion, Voice Mapping, and Semantic-Relational Pre-Valida.pdf; p.11; project candidate FT-SEED-R1B-P-2015-14; original visible ID not available</x:v>
      </x:c>
    </x:row>
    <x:row r="139" ht="38" customHeight="1">
      <x:c r="A139" s="25" t="str">
        <x:v>FT-SEED-R1B-P-2015-15</x:v>
      </x:c>
      <x:c r="B139" s="19" t="str">
        <x:v>2015</x:v>
      </x:c>
      <x:c r="C139" s="28" t="n">
        <x:v>15</x:v>
      </x:c>
      <x:c r="D139" s="31" t="str">
        <x:v>extreme weather events</x:v>
      </x:c>
      <x:c r="E139" s="31" t="str">
        <x:v>generic damage</x:v>
      </x:c>
      <x:c r="F139" s="19" t="str">
        <x:v>harm_loss_consequences</x:v>
      </x:c>
      <x:c r="G139" s="31" t="str">
        <x:v>TECHNICAL_GLOSSARY</x:v>
      </x:c>
      <x:c r="H139" s="19" t="str">
        <x:v>NO</x:v>
      </x:c>
      <x:c r="I139" s="19" t="str">
        <x:v>IPCC climate-science glossary / assessment terminology</x:v>
      </x:c>
      <x:c r="J139" s="19" t="str">
        <x:v>Component headword checked: events.</x:v>
      </x:c>
      <x:c r="K139" s="19" t="str">
        <x:v>Anchor-period research source/context; Webster 1913 stable component URL recorded but automated page retrieval was unavailable</x:v>
      </x:c>
      <x:c r="L139" s="31" t="str">
        <x:v>Generic material, ecological, or social damage; the candidate is interpreted in its documented anchor and voice context.</x:v>
      </x:c>
      <x:c r="M139" s="31" t="str">
        <x:v>A threat, risk, harm, severity, or consequence sense in the documented source; it is not automatically an emotion.</x:v>
      </x:c>
      <x:c r="N139" s="31" t="str">
        <x:v>Generic material, ecological, or social damage; the candidate is interpreted in its documented anchor and voice context.</x:v>
      </x:c>
      <x:c r="O139" s="31" t="str">
        <x:v>STRONG</x:v>
      </x:c>
      <x:c r="P139" s="19" t="str">
        <x:v>NOT_LOCATED</x:v>
      </x:c>
      <x:c r="Q139" s="31" t="str">
        <x:v>The surface form may realize multiple senses; candidate meaning remains anchored to the report-visible source context.</x:v>
      </x:c>
      <x:c r="R139" s="31" t="str">
        <x:v>https://www.ipcc.ch/site/assets/uploads/2018/02/WGIIAR5-AnnexII_FINAL.pdf; https://api.dictionaryapi.dev/api/v2/entries/en/extreme%20weather%20events; https://websters1913.timcieplowski.com/word/events/</x:v>
      </x:c>
      <x:c r="S139" s="43" t="str">
        <x:v>2026-08-26</x:v>
      </x:c>
      <x:c r="T139" s="46" t="str">
        <x:v>RECONSTRUCTED_FROM_REPORT; Fear of Temperature_ Stratified Lexical Expansion, Voice Mapping, and Semantic-Relational Pre-Valida.pdf; p.11; project candidate FT-SEED-R1B-P-2015-15; original visible ID not available</x:v>
      </x:c>
    </x:row>
    <x:row r="140" ht="38" customHeight="1">
      <x:c r="A140" s="25" t="str">
        <x:v>FT-SEED-R1B-P-2015-16</x:v>
      </x:c>
      <x:c r="B140" s="19" t="str">
        <x:v>2015</x:v>
      </x:c>
      <x:c r="C140" s="28" t="n">
        <x:v>16</x:v>
      </x:c>
      <x:c r="D140" s="31" t="str">
        <x:v>slow onset events</x:v>
      </x:c>
      <x:c r="E140" s="31" t="str">
        <x:v>generic damage</x:v>
      </x:c>
      <x:c r="F140" s="19" t="str">
        <x:v>harm_loss_consequences</x:v>
      </x:c>
      <x:c r="G140" s="31" t="str">
        <x:v>TECHNICAL_GLOSSARY</x:v>
      </x:c>
      <x:c r="H140" s="19" t="str">
        <x:v>NO</x:v>
      </x:c>
      <x:c r="I140" s="19" t="str">
        <x:v>IPCC climate-science glossary / assessment terminology</x:v>
      </x:c>
      <x:c r="J140" s="19" t="str">
        <x:v>Component headword checked: events.</x:v>
      </x:c>
      <x:c r="K140" s="19" t="str">
        <x:v>Anchor-period research source/context; Webster 1913 stable component URL recorded but automated page retrieval was unavailable</x:v>
      </x:c>
      <x:c r="L140" s="31" t="str">
        <x:v>Generic material, ecological, or social damage; the candidate is interpreted in its documented anchor and voice context.</x:v>
      </x:c>
      <x:c r="M140" s="31" t="str">
        <x:v>A threat, risk, harm, severity, or consequence sense in the documented source; it is not automatically an emotion.</x:v>
      </x:c>
      <x:c r="N140" s="31" t="str">
        <x:v>Generic material, ecological, or social damage; the candidate is interpreted in its documented anchor and voice context.</x:v>
      </x:c>
      <x:c r="O140" s="31" t="str">
        <x:v>STRONG</x:v>
      </x:c>
      <x:c r="P140" s="19" t="str">
        <x:v>NOT_LOCATED</x:v>
      </x:c>
      <x:c r="Q140" s="31" t="str">
        <x:v>The surface form may realize multiple senses; candidate meaning remains anchored to the report-visible source context.</x:v>
      </x:c>
      <x:c r="R140" s="31" t="str">
        <x:v>https://www.ipcc.ch/site/assets/uploads/2018/02/WGIIAR5-AnnexII_FINAL.pdf; https://api.dictionaryapi.dev/api/v2/entries/en/slow%20onset%20events; https://websters1913.timcieplowski.com/word/events/</x:v>
      </x:c>
      <x:c r="S140" s="43" t="str">
        <x:v>2026-08-26</x:v>
      </x:c>
      <x:c r="T140" s="46" t="str">
        <x:v>RECONSTRUCTED_FROM_REPORT; Fear of Temperature_ Stratified Lexical Expansion, Voice Mapping, and Semantic-Relational Pre-Valida.pdf; p.11; project candidate FT-SEED-R1B-P-2015-16; original visible ID not available</x:v>
      </x:c>
    </x:row>
    <x:row r="141" ht="38" customHeight="1">
      <x:c r="A141" s="25" t="str">
        <x:v>FT-SEED-R1B-P-2015-17</x:v>
      </x:c>
      <x:c r="B141" s="19" t="str">
        <x:v>2015</x:v>
      </x:c>
      <x:c r="C141" s="28" t="n">
        <x:v>17</x:v>
      </x:c>
      <x:c r="D141" s="31" t="str">
        <x:v>risk of loss and damage</x:v>
      </x:c>
      <x:c r="E141" s="31" t="str">
        <x:v>administrative risk assessment</x:v>
      </x:c>
      <x:c r="F141" s="19" t="str">
        <x:v>risk</x:v>
      </x:c>
      <x:c r="G141" s="31" t="str">
        <x:v>TECHNICAL_GLOSSARY</x:v>
      </x:c>
      <x:c r="H141" s="19" t="str">
        <x:v>NO</x:v>
      </x:c>
      <x:c r="I141" s="19" t="str">
        <x:v>IPCC climate-science glossary / assessment terminology</x:v>
      </x:c>
      <x:c r="J141" s="19" t="str">
        <x:v>Component headword checked: damage.</x:v>
      </x:c>
      <x:c r="K141" s="19" t="str">
        <x:v>Anchor-period research source/context; Webster 1913 stable component URL recorded but automated page retrieval was unavailable</x:v>
      </x:c>
      <x:c r="L141" s="31" t="str">
        <x:v>Risk managed or assessed through institutional procedure; the candidate is interpreted in its documented anchor and voice context.</x:v>
      </x:c>
      <x:c r="M141" s="31" t="str">
        <x:v>Institutional climate-policy terminology for harms and losses associated with climate impacts, with economic and non-economic subtypes.</x:v>
      </x:c>
      <x:c r="N141" s="31" t="str">
        <x:v>Risk managed or assessed through institutional procedure; the candidate is interpreted in its documented anchor and voice context.</x:v>
      </x:c>
      <x:c r="O141" s="31" t="str">
        <x:v>STRONG</x:v>
      </x:c>
      <x:c r="P141" s="19" t="str">
        <x:v>NOT_LOCATED</x:v>
      </x:c>
      <x:c r="Q141" s="31" t="str">
        <x:v>Generic damage/loss and the UNFCCC policy term 'loss and damage' are not interchangeable.</x:v>
      </x:c>
      <x:c r="R141" s="31" t="str">
        <x:v>https://www.ipcc.ch/site/assets/uploads/2018/02/WGIIAR5-AnnexII_FINAL.pdf; https://api.dictionaryapi.dev/api/v2/entries/en/risk%20of%20loss%20and%20damage; https://websters1913.timcieplowski.com/word/damage/</x:v>
      </x:c>
      <x:c r="S141" s="43" t="str">
        <x:v>2026-08-26</x:v>
      </x:c>
      <x:c r="T141" s="46" t="str">
        <x:v>RECONSTRUCTED_FROM_REPORT; Fear of Temperature_ Stratified Lexical Expansion, Voice Mapping, and Semantic-Relational Pre-Valida.pdf; p.11; project candidate FT-SEED-R1B-P-2015-17; original visible ID not available</x:v>
      </x:c>
    </x:row>
    <x:row r="142" ht="38" customHeight="1">
      <x:c r="A142" s="25" t="str">
        <x:v>FT-SEED-R1B-P-2015-18</x:v>
      </x:c>
      <x:c r="B142" s="19" t="str">
        <x:v>2015</x:v>
      </x:c>
      <x:c r="C142" s="28" t="n">
        <x:v>18</x:v>
      </x:c>
      <x:c r="D142" s="31" t="str">
        <x:v>early warning systems</x:v>
      </x:c>
      <x:c r="E142" s="31" t="str">
        <x:v>generic damage</x:v>
      </x:c>
      <x:c r="F142" s="19" t="str">
        <x:v>harm_loss_consequences</x:v>
      </x:c>
      <x:c r="G142" s="31" t="str">
        <x:v>TECHNICAL_GLOSSARY</x:v>
      </x:c>
      <x:c r="H142" s="19" t="str">
        <x:v>NO</x:v>
      </x:c>
      <x:c r="I142" s="19" t="str">
        <x:v>IPCC climate-science glossary / assessment terminology</x:v>
      </x:c>
      <x:c r="J142" s="19" t="str">
        <x:v>Component headword checked: systems.</x:v>
      </x:c>
      <x:c r="K142" s="19" t="str">
        <x:v>Anchor-period research source/context; Webster 1913 stable component URL recorded but automated page retrieval was unavailable</x:v>
      </x:c>
      <x:c r="L142" s="31" t="str">
        <x:v>Generic material, ecological, or social damage; the candidate is interpreted in its documented anchor and voice context.</x:v>
      </x:c>
      <x:c r="M142" s="31" t="str">
        <x:v>A threat, risk, harm, severity, or consequence sense in the documented source; it is not automatically an emotion.</x:v>
      </x:c>
      <x:c r="N142" s="31" t="str">
        <x:v>Generic material, ecological, or social damage; the candidate is interpreted in its documented anchor and voice context.</x:v>
      </x:c>
      <x:c r="O142" s="31" t="str">
        <x:v>STRONG</x:v>
      </x:c>
      <x:c r="P142" s="19" t="str">
        <x:v>NOT_LOCATED</x:v>
      </x:c>
      <x:c r="Q142" s="31" t="str">
        <x:v>The surface form may realize multiple senses; candidate meaning remains anchored to the report-visible source context.</x:v>
      </x:c>
      <x:c r="R142" s="31" t="str">
        <x:v>https://www.ipcc.ch/site/assets/uploads/2018/02/WGIIAR5-AnnexII_FINAL.pdf; https://api.dictionaryapi.dev/api/v2/entries/en/early%20warning%20systems; https://websters1913.timcieplowski.com/word/systems/</x:v>
      </x:c>
      <x:c r="S142" s="43" t="str">
        <x:v>2026-08-26</x:v>
      </x:c>
      <x:c r="T142" s="46" t="str">
        <x:v>RECONSTRUCTED_FROM_REPORT; Fear of Temperature_ Stratified Lexical Expansion, Voice Mapping, and Semantic-Relational Pre-Valida.pdf; p.11; project candidate FT-SEED-R1B-P-2015-18; original visible ID not available</x:v>
      </x:c>
    </x:row>
    <x:row r="143" ht="38" customHeight="1">
      <x:c r="A143" s="25" t="str">
        <x:v>FT-SEED-R1B-P-2015-19</x:v>
      </x:c>
      <x:c r="B143" s="19" t="str">
        <x:v>2015</x:v>
      </x:c>
      <x:c r="C143" s="28" t="n">
        <x:v>19</x:v>
      </x:c>
      <x:c r="D143" s="31" t="str">
        <x:v>emergency preparedness</x:v>
      </x:c>
      <x:c r="E143" s="31" t="str">
        <x:v>emergency response category</x:v>
      </x:c>
      <x:c r="F143" s="19" t="str">
        <x:v>crisis_emergency</x:v>
      </x:c>
      <x:c r="G143" s="31" t="str">
        <x:v>NO_STANDALONE_HEADWORD</x:v>
      </x:c>
      <x:c r="H143" s="19" t="str">
        <x:v>NO</x:v>
      </x:c>
      <x:c r="I143" s="19" t="str">
        <x:v>Component lexical analysis plus anchor-source contextual meaning</x:v>
      </x:c>
      <x:c r="J143" s="19" t="str">
        <x:v>Component headword checked: preparedness.</x:v>
      </x:c>
      <x:c r="K143" s="19" t="str">
        <x:v>Anchor-period research source/context; Webster 1913 stable component URL recorded but automated page retrieval was unavailable</x:v>
      </x:c>
      <x:c r="L143" s="31" t="str">
        <x:v>Emergency preparedness or response as a governance procedure; the candidate is interpreted in its documented anchor and voice context.</x:v>
      </x:c>
      <x:c r="M143" s="31" t="str">
        <x:v>A threat, risk, harm, severity, or consequence sense in the documented source; it is not automatically an emotion.</x:v>
      </x:c>
      <x:c r="N143" s="31" t="str">
        <x:v>Emergency preparedness or response as a governance procedure; the candidate is interpreted in its documented anchor and voice context.</x:v>
      </x:c>
      <x:c r="O143" s="31" t="str">
        <x:v>STRONG</x:v>
      </x:c>
      <x:c r="P143" s="19" t="str">
        <x:v>NOT_LOCATED</x:v>
      </x:c>
      <x:c r="Q143" s="31" t="str">
        <x:v>The surface form may realize multiple senses; candidate meaning remains anchored to the report-visible source context.</x:v>
      </x:c>
      <x:c r="R143" s="31" t="str">
        <x:v>Fear of Temperature_ Stratified Lexical Expansion, Voice Mapping, and Semantic-Relational Pre-Valida.pdf#page=11; https://api.dictionaryapi.dev/api/v2/entries/en/emergency%20preparedness; https://websters1913.timcieplowski.com/word/preparedness/</x:v>
      </x:c>
      <x:c r="S143" s="43" t="str">
        <x:v>2026-08-26</x:v>
      </x:c>
      <x:c r="T143" s="46" t="str">
        <x:v>RECONSTRUCTED_FROM_REPORT; Fear of Temperature_ Stratified Lexical Expansion, Voice Mapping, and Semantic-Relational Pre-Valida.pdf; p.11; project candidate FT-SEED-R1B-P-2015-19; original visible ID not available</x:v>
      </x:c>
    </x:row>
    <x:row r="144" ht="38" customHeight="1">
      <x:c r="A144" s="25" t="str">
        <x:v>FT-SEED-R1B-P-2015-20</x:v>
      </x:c>
      <x:c r="B144" s="19" t="str">
        <x:v>2015</x:v>
      </x:c>
      <x:c r="C144" s="28" t="n">
        <x:v>20</x:v>
      </x:c>
      <x:c r="D144" s="31" t="str">
        <x:v>irreversible and permanent loss and damage</x:v>
      </x:c>
      <x:c r="E144" s="31" t="str">
        <x:v>loss and damage</x:v>
      </x:c>
      <x:c r="F144" s="19" t="str">
        <x:v>harm_loss_consequences</x:v>
      </x:c>
      <x:c r="G144" s="31" t="str">
        <x:v>NO_STANDALONE_HEADWORD</x:v>
      </x:c>
      <x:c r="H144" s="19" t="str">
        <x:v>NO</x:v>
      </x:c>
      <x:c r="I144" s="19" t="str">
        <x:v>Component lexical analysis plus anchor-source contextual meaning</x:v>
      </x:c>
      <x:c r="J144" s="19" t="str">
        <x:v>Component headword checked: damage.</x:v>
      </x:c>
      <x:c r="K144" s="19" t="str">
        <x:v>Anchor-period research source/context; Webster 1913 stable component URL recorded but automated page retrieval was unavailable</x:v>
      </x:c>
      <x:c r="L144" s="31" t="str">
        <x:v>The climate-governance domain of loss and damage; the candidate is interpreted in its documented anchor and voice context.</x:v>
      </x:c>
      <x:c r="M144" s="31" t="str">
        <x:v>Institutional climate-policy terminology for harms and losses associated with climate impacts, with economic and non-economic subtypes.</x:v>
      </x:c>
      <x:c r="N144" s="31" t="str">
        <x:v>The climate-governance domain of loss and damage; the candidate is interpreted in its documented anchor and voice context.</x:v>
      </x:c>
      <x:c r="O144" s="31" t="str">
        <x:v>STRONG</x:v>
      </x:c>
      <x:c r="P144" s="19" t="str">
        <x:v>NOT_LOCATED</x:v>
      </x:c>
      <x:c r="Q144" s="31" t="str">
        <x:v>Generic damage/loss and the UNFCCC policy term 'loss and damage' are not interchangeable.</x:v>
      </x:c>
      <x:c r="R144" s="31" t="str">
        <x:v>Fear of Temperature_ Stratified Lexical Expansion, Voice Mapping, and Semantic-Relational Pre-Valida.pdf#page=11; https://api.dictionaryapi.dev/api/v2/entries/en/irreversible%20and%20permanent%20loss%20and%20damage; https://websters1913.timcieplowski.com/word/damage/</x:v>
      </x:c>
      <x:c r="S144" s="43" t="str">
        <x:v>2026-08-26</x:v>
      </x:c>
      <x:c r="T144" s="46" t="str">
        <x:v>RECONSTRUCTED_FROM_REPORT; Fear of Temperature_ Stratified Lexical Expansion, Voice Mapping, and Semantic-Relational Pre-Valida.pdf; p.11; project candidate FT-SEED-R1B-P-2015-20; original visible ID not available</x:v>
      </x:c>
    </x:row>
    <x:row r="145" ht="38" customHeight="1">
      <x:c r="A145" s="25" t="str">
        <x:v>FT-SEED-R1B-P-2015-21</x:v>
      </x:c>
      <x:c r="B145" s="19" t="str">
        <x:v>2015</x:v>
      </x:c>
      <x:c r="C145" s="28" t="n">
        <x:v>21</x:v>
      </x:c>
      <x:c r="D145" s="31" t="str">
        <x:v>comprehensive risk assessment and management</x:v>
      </x:c>
      <x:c r="E145" s="31" t="str">
        <x:v>administrative risk assessment</x:v>
      </x:c>
      <x:c r="F145" s="19" t="str">
        <x:v>risk</x:v>
      </x:c>
      <x:c r="G145" s="31" t="str">
        <x:v>NO_STANDALONE_HEADWORD</x:v>
      </x:c>
      <x:c r="H145" s="19" t="str">
        <x:v>NO</x:v>
      </x:c>
      <x:c r="I145" s="19" t="str">
        <x:v>Component lexical analysis plus anchor-source contextual meaning</x:v>
      </x:c>
      <x:c r="J145" s="19" t="str">
        <x:v>Component headword checked: management.</x:v>
      </x:c>
      <x:c r="K145" s="19" t="str">
        <x:v>Anchor-period research source/context; Webster 1913 stable component URL recorded but automated page retrieval was unavailable</x:v>
      </x:c>
      <x:c r="L145" s="31" t="str">
        <x:v>Risk managed or assessed through institutional procedure; the candidate is interpreted in its documented anchor and voice context.</x:v>
      </x:c>
      <x:c r="M145" s="31" t="str">
        <x:v>A threat, risk, harm, severity, or consequence sense in the documented source; it is not automatically an emotion.</x:v>
      </x:c>
      <x:c r="N145" s="31" t="str">
        <x:v>Risk managed or assessed through institutional procedure; the candidate is interpreted in its documented anchor and voice context.</x:v>
      </x:c>
      <x:c r="O145" s="31" t="str">
        <x:v>STRONG</x:v>
      </x:c>
      <x:c r="P145" s="19" t="str">
        <x:v>NOT_LOCATED</x:v>
      </x:c>
      <x:c r="Q145" s="31" t="str">
        <x:v>The surface form may realize multiple senses; candidate meaning remains anchored to the report-visible source context.</x:v>
      </x:c>
      <x:c r="R145" s="31" t="str">
        <x:v>Fear of Temperature_ Stratified Lexical Expansion, Voice Mapping, and Semantic-Relational Pre-Valida.pdf#page=11; https://api.dictionaryapi.dev/api/v2/entries/en/comprehensive%20risk%20assessment%20and%20management; https://websters1913.timcieplowski.com/word/management/</x:v>
      </x:c>
      <x:c r="S145" s="43" t="str">
        <x:v>2026-08-26</x:v>
      </x:c>
      <x:c r="T145" s="46" t="str">
        <x:v>RECONSTRUCTED_FROM_REPORT; Fear of Temperature_ Stratified Lexical Expansion, Voice Mapping, and Semantic-Relational Pre-Valida.pdf; p.11; project candidate FT-SEED-R1B-P-2015-21; original visible ID not available</x:v>
      </x:c>
    </x:row>
    <x:row r="146" ht="38" customHeight="1">
      <x:c r="A146" s="25" t="str">
        <x:v>FT-SEED-R1B-P-2015-22</x:v>
      </x:c>
      <x:c r="B146" s="19" t="str">
        <x:v>2015</x:v>
      </x:c>
      <x:c r="C146" s="28" t="n">
        <x:v>22</x:v>
      </x:c>
      <x:c r="D146" s="31" t="str">
        <x:v>non-economic losses</x:v>
      </x:c>
      <x:c r="E146" s="31" t="str">
        <x:v>non-economic losses</x:v>
      </x:c>
      <x:c r="F146" s="19" t="str">
        <x:v>harm_loss_consequences</x:v>
      </x:c>
      <x:c r="G146" s="31" t="str">
        <x:v>TECHNICAL_GLOSSARY</x:v>
      </x:c>
      <x:c r="H146" s="19" t="str">
        <x:v>NO</x:v>
      </x:c>
      <x:c r="I146" s="19" t="str">
        <x:v>IPCC climate-science glossary / assessment terminology</x:v>
      </x:c>
      <x:c r="J146" s="19" t="str">
        <x:v>Component headword checked: losses.</x:v>
      </x:c>
      <x:c r="K146" s="19" t="str">
        <x:v>Anchor-period research source/context; Webster 1913 stable component URL recorded but automated page retrieval was unavailable</x:v>
      </x:c>
      <x:c r="L146" s="31" t="str">
        <x:v>Climate-related losses not readily expressed in monetary terms, including cultural, health, identity, ecosystem, and heritage harms.</x:v>
      </x:c>
      <x:c r="M146" s="31" t="str">
        <x:v>Institutional climate-policy terminology for harms and losses associated with climate impacts, with economic and non-economic subtypes.</x:v>
      </x:c>
      <x:c r="N146" s="31" t="str">
        <x:v>Climate-related losses not readily expressed in monetary terms, including cultural, health, identity, ecosystem, and heritage harms.</x:v>
      </x:c>
      <x:c r="O146" s="31" t="str">
        <x:v>STRONG</x:v>
      </x:c>
      <x:c r="P146" s="19" t="str">
        <x:v>NOT_LOCATED</x:v>
      </x:c>
      <x:c r="Q146" s="31" t="str">
        <x:v>Generic damage/loss and the UNFCCC policy term 'loss and damage' are not interchangeable.</x:v>
      </x:c>
      <x:c r="R146" s="31" t="str">
        <x:v>https://www.ipcc.ch/site/assets/uploads/2018/02/WGIIAR5-AnnexII_FINAL.pdf; https://api.dictionaryapi.dev/api/v2/entries/en/non-economic%20losses; https://websters1913.timcieplowski.com/word/losses/</x:v>
      </x:c>
      <x:c r="S146" s="43" t="str">
        <x:v>2026-08-26</x:v>
      </x:c>
      <x:c r="T146" s="46" t="str">
        <x:v>RECONSTRUCTED_FROM_REPORT; Fear of Temperature_ Stratified Lexical Expansion, Voice Mapping, and Semantic-Relational Pre-Valida.pdf; p.11; project candidate FT-SEED-R1B-P-2015-22; original visible ID not available</x:v>
      </x:c>
    </x:row>
    <x:row r="147" ht="38" customHeight="1">
      <x:c r="A147" s="25" t="str">
        <x:v>FT-SEED-R1B-P-2015-23</x:v>
      </x:c>
      <x:c r="B147" s="19" t="str">
        <x:v>2015</x:v>
      </x:c>
      <x:c r="C147" s="28" t="n">
        <x:v>23</x:v>
      </x:c>
      <x:c r="D147" s="31" t="str">
        <x:v>common concern of humankind</x:v>
      </x:c>
      <x:c r="E147" s="31" t="str">
        <x:v>common concern of humankind</x:v>
      </x:c>
      <x:c r="F147" s="19" t="str">
        <x:v>concern_alarm</x:v>
      </x:c>
      <x:c r="G147" s="31" t="str">
        <x:v>TECHNICAL_GLOSSARY</x:v>
      </x:c>
      <x:c r="H147" s="19" t="str">
        <x:v>NO</x:v>
      </x:c>
      <x:c r="I147" s="19" t="str">
        <x:v>UNFCCC Paris Agreement legal text</x:v>
      </x:c>
      <x:c r="J147" s="19" t="str">
        <x:v>Component headword checked: humankind.</x:v>
      </x:c>
      <x:c r="K147" s="19" t="str">
        <x:v>Anchor-period research source/context; Webster 1913 stable component URL recorded but automated page retrieval was unavailable</x:v>
      </x:c>
      <x:c r="L147" s="31" t="str">
        <x:v>A legal-institutional formula identifying climate change as a matter of shared international concern, not an assertion of personal emotion.</x:v>
      </x:c>
      <x:c r="M147" s="31" t="str">
        <x:v>A legal formula assigning shared international importance to climate change, not a report of an individual's emotional concern.</x:v>
      </x:c>
      <x:c r="N147" s="31" t="str">
        <x:v>Personal concern can denote felt worry, but this continuing treaty formula designates a shared legal and governance object rather than an individual's emotion.</x:v>
      </x:c>
      <x:c r="O147" s="31" t="str">
        <x:v>DIFFERENT</x:v>
      </x:c>
      <x:c r="P147" s="19" t="str">
        <x:v>NOT_LOCATED</x:v>
      </x:c>
      <x:c r="Q147" s="31" t="str">
        <x:v>Legal/institutional concern differs from personal concern and from concern as a commercial enterprise.</x:v>
      </x:c>
      <x:c r="R147" s="31" t="str">
        <x:v>https://unfccc.int/sites/default/files/english_paris_agreement.pdf; https://api.dictionaryapi.dev/api/v2/entries/en/common%20concern%20of%20humankind; https://websters1913.timcieplowski.com/word/humankind/</x:v>
      </x:c>
      <x:c r="S147" s="43" t="str">
        <x:v>2026-08-26</x:v>
      </x:c>
      <x:c r="T147" s="46" t="str">
        <x:v>RECONSTRUCTED_FROM_REPORT; Fear of Temperature_ Stratified Lexical Expansion, Voice Mapping, and Semantic-Relational Pre-Valida.pdf; p.11; project candidate FT-SEED-R1B-P-2015-23; original visible ID not available</x:v>
      </x:c>
    </x:row>
    <x:row r="148" ht="38" customHeight="1">
      <x:c r="A148" s="25" t="str">
        <x:v>FT-SEED-R1B-P-2015-24</x:v>
      </x:c>
      <x:c r="B148" s="19" t="str">
        <x:v>2015</x:v>
      </x:c>
      <x:c r="C148" s="28" t="n">
        <x:v>24</x:v>
      </x:c>
      <x:c r="D148" s="31" t="str">
        <x:v>climate justice</x:v>
      </x:c>
      <x:c r="E148" s="31" t="str">
        <x:v>generic damage</x:v>
      </x:c>
      <x:c r="F148" s="19" t="str">
        <x:v>harm_loss_consequences</x:v>
      </x:c>
      <x:c r="G148" s="31" t="str">
        <x:v>TECHNICAL_GLOSSARY</x:v>
      </x:c>
      <x:c r="H148" s="19" t="str">
        <x:v>NO</x:v>
      </x:c>
      <x:c r="I148" s="19" t="str">
        <x:v>IPCC AR6 glossary and assessment usage</x:v>
      </x:c>
      <x:c r="J148" s="19" t="str">
        <x:v>Component headword checked: justice.</x:v>
      </x:c>
      <x:c r="K148" s="19" t="str">
        <x:v>Anchor-period research source/context; Webster 1913 stable component URL recorded but automated page retrieval was unavailable</x:v>
      </x:c>
      <x:c r="L148" s="31" t="str">
        <x:v>An evaluative framework concerned with fair distribution of climate harms, responsibilities, participation, and remedies.</x:v>
      </x:c>
      <x:c r="M148" s="31" t="str">
        <x:v>A threat, risk, harm, severity, or consequence sense in the documented source; it is not automatically an emotion.</x:v>
      </x:c>
      <x:c r="N148" s="31" t="str">
        <x:v>An evaluative framework concerned with fair distribution of climate harms, responsibilities, participation, and remedies.</x:v>
      </x:c>
      <x:c r="O148" s="31" t="str">
        <x:v>STRONG</x:v>
      </x:c>
      <x:c r="P148" s="19" t="str">
        <x:v>NOT_LOCATED</x:v>
      </x:c>
      <x:c r="Q148" s="31" t="str">
        <x:v>The surface form may realize multiple senses; candidate meaning remains anchored to the report-visible source context.</x:v>
      </x:c>
      <x:c r="R148" s="31" t="str">
        <x:v>https://www.ipcc.ch/report/ar6/syr/downloads/report/IPCC_AR6_SYR_FullVolume.pdf; https://api.dictionaryapi.dev/api/v2/entries/en/climate%20justice; https://websters1913.timcieplowski.com/word/justice/</x:v>
      </x:c>
      <x:c r="S148" s="43" t="str">
        <x:v>2026-08-26</x:v>
      </x:c>
      <x:c r="T148" s="46" t="str">
        <x:v>RECONSTRUCTED_FROM_REPORT; Fear of Temperature_ Stratified Lexical Expansion, Voice Mapping, and Semantic-Relational Pre-Valida.pdf; p.11; project candidate FT-SEED-R1B-P-2015-24; original visible ID not available</x:v>
      </x:c>
    </x:row>
    <x:row r="149" ht="38" customHeight="1">
      <x:c r="A149" s="25" t="str">
        <x:v>FT-SEED-R1B-P-2015-25</x:v>
      </x:c>
      <x:c r="B149" s="19" t="str">
        <x:v>2015</x:v>
      </x:c>
      <x:c r="C149" s="28" t="n">
        <x:v>25</x:v>
      </x:c>
      <x:c r="D149" s="31" t="str">
        <x:v>very worried</x:v>
      </x:c>
      <x:c r="E149" s="31" t="str">
        <x:v>participant worry endorsement</x:v>
      </x:c>
      <x:c r="F149" s="19" t="str">
        <x:v>worry</x:v>
      </x:c>
      <x:c r="G149" s="31" t="str">
        <x:v>NO_STANDALONE_HEADWORD</x:v>
      </x:c>
      <x:c r="H149" s="19" t="str">
        <x:v>NO</x:v>
      </x:c>
      <x:c r="I149" s="19" t="str">
        <x:v>Component lexical analysis plus anchor-source contextual meaning</x:v>
      </x:c>
      <x:c r="J149" s="19" t="str">
        <x:v>Component headword checked: worried.</x:v>
      </x:c>
      <x:c r="K149" s="19" t="str">
        <x:v>Anchor-period research source/context; Webster 1913 stable component URL recorded but automated page retrieval was unavailable</x:v>
      </x:c>
      <x:c r="L149" s="31" t="str">
        <x:v>A participant selection or endorsement of a supplied worry category; the candidate is interpreted in its documented anchor and voice context.</x:v>
      </x:c>
      <x:c r="M149" s="31" t="str">
        <x:v>Survey or instrument wording used to elicit and classify participant endorsement; the response may be participant evidence, but the lexical wording is supplied.</x:v>
      </x:c>
      <x:c r="N149" s="31" t="str">
        <x:v>Contemporary worry wording may describe affect, but in the cited survey setting it is instrument-supplied and participant endorsement is elicited rather than spontaneous.</x:v>
      </x:c>
      <x:c r="O149" s="31" t="str">
        <x:v>STRONG</x:v>
      </x:c>
      <x:c r="P149" s="19" t="str">
        <x:v>NOT_LOCATED</x:v>
      </x:c>
      <x:c r="Q149" s="31" t="str">
        <x:v>Elicited endorsement, question wording, and spontaneous participant vocabulary are distinct provenance states.</x:v>
      </x:c>
      <x:c r="R149" s="31" t="str">
        <x:v>Fear of Temperature_ Stratified Lexical Expansion, Voice Mapping, and Semantic-Relational Pre-Valida.pdf#page=12; https://api.dictionaryapi.dev/api/v2/entries/en/very%20worried; https://websters1913.timcieplowski.com/word/worried/</x:v>
      </x:c>
      <x:c r="S149" s="43" t="str">
        <x:v>2026-08-26</x:v>
      </x:c>
      <x:c r="T149" s="46" t="str">
        <x:v>RECONSTRUCTED_FROM_REPORT; Fear of Temperature_ Stratified Lexical Expansion, Voice Mapping, and Semantic-Relational Pre-Valida.pdf; p.11; project candidate FT-SEED-R1B-P-2015-25; original visible ID not available</x:v>
      </x:c>
    </x:row>
    <x:row r="150" ht="38" customHeight="1">
      <x:c r="A150" s="25" t="str">
        <x:v>FT-SEED-R1B-P-2015-26</x:v>
      </x:c>
      <x:c r="B150" s="19" t="str">
        <x:v>2015</x:v>
      </x:c>
      <x:c r="C150" s="28" t="n">
        <x:v>26</x:v>
      </x:c>
      <x:c r="D150" s="31" t="str">
        <x:v>somewhat worried</x:v>
      </x:c>
      <x:c r="E150" s="31" t="str">
        <x:v>participant worry endorsement</x:v>
      </x:c>
      <x:c r="F150" s="19" t="str">
        <x:v>worry</x:v>
      </x:c>
      <x:c r="G150" s="31" t="str">
        <x:v>NO_STANDALONE_HEADWORD</x:v>
      </x:c>
      <x:c r="H150" s="19" t="str">
        <x:v>NO</x:v>
      </x:c>
      <x:c r="I150" s="19" t="str">
        <x:v>Component lexical analysis plus anchor-source contextual meaning</x:v>
      </x:c>
      <x:c r="J150" s="19" t="str">
        <x:v>Component headword checked: worried.</x:v>
      </x:c>
      <x:c r="K150" s="19" t="str">
        <x:v>Anchor-period research source/context; Webster 1913 stable component URL recorded but automated page retrieval was unavailable</x:v>
      </x:c>
      <x:c r="L150" s="31" t="str">
        <x:v>A participant selection or endorsement of a supplied worry category; the candidate is interpreted in its documented anchor and voice context.</x:v>
      </x:c>
      <x:c r="M150" s="31" t="str">
        <x:v>Survey or instrument wording used to elicit and classify participant endorsement; the response may be participant evidence, but the lexical wording is supplied.</x:v>
      </x:c>
      <x:c r="N150" s="31" t="str">
        <x:v>A participant selection or endorsement of a supplied worry category; the candidate is interpreted in its documented anchor and voice context.</x:v>
      </x:c>
      <x:c r="O150" s="31" t="str">
        <x:v>STRONG</x:v>
      </x:c>
      <x:c r="P150" s="19" t="str">
        <x:v>NOT_LOCATED</x:v>
      </x:c>
      <x:c r="Q150" s="31" t="str">
        <x:v>Elicited endorsement, question wording, and spontaneous participant vocabulary are distinct provenance states.</x:v>
      </x:c>
      <x:c r="R150" s="31" t="str">
        <x:v>Fear of Temperature_ Stratified Lexical Expansion, Voice Mapping, and Semantic-Relational Pre-Valida.pdf#page=12; https://api.dictionaryapi.dev/api/v2/entries/en/somewhat%20worried; https://websters1913.timcieplowski.com/word/worried/</x:v>
      </x:c>
      <x:c r="S150" s="43" t="str">
        <x:v>2026-08-26</x:v>
      </x:c>
      <x:c r="T150" s="46" t="str">
        <x:v>RECONSTRUCTED_FROM_REPORT; Fear of Temperature_ Stratified Lexical Expansion, Voice Mapping, and Semantic-Relational Pre-Valida.pdf; p.11; project candidate FT-SEED-R1B-P-2015-26; original visible ID not available</x:v>
      </x:c>
    </x:row>
    <x:row r="151" ht="38" customHeight="1">
      <x:c r="A151" s="25" t="str">
        <x:v>FT-SEED-R1B-P-2015-27</x:v>
      </x:c>
      <x:c r="B151" s="19" t="str">
        <x:v>2015</x:v>
      </x:c>
      <x:c r="C151" s="28" t="n">
        <x:v>27</x:v>
      </x:c>
      <x:c r="D151" s="31" t="str">
        <x:v>very serious problem</x:v>
      </x:c>
      <x:c r="E151" s="31" t="str">
        <x:v>generic damage</x:v>
      </x:c>
      <x:c r="F151" s="19" t="str">
        <x:v>harm_loss_consequences</x:v>
      </x:c>
      <x:c r="G151" s="31" t="str">
        <x:v>NO_STANDALONE_HEADWORD</x:v>
      </x:c>
      <x:c r="H151" s="19" t="str">
        <x:v>NO</x:v>
      </x:c>
      <x:c r="I151" s="19" t="str">
        <x:v>Component lexical analysis plus anchor-source contextual meaning</x:v>
      </x:c>
      <x:c r="J151" s="19" t="str">
        <x:v>Component headword checked: problem.</x:v>
      </x:c>
      <x:c r="K151" s="19" t="str">
        <x:v>Anchor-period research source/context; Webster 1913 stable component URL recorded but automated page retrieval was unavailable</x:v>
      </x:c>
      <x:c r="L151" s="31" t="str">
        <x:v>Generic material, ecological, or social damage; the candidate is interpreted in its documented anchor and voice context.</x:v>
      </x:c>
      <x:c r="M151" s="31" t="str">
        <x:v>A threat, risk, harm, severity, or consequence sense in the documented source; it is not automatically an emotion.</x:v>
      </x:c>
      <x:c r="N151" s="31" t="str">
        <x:v>Generic material, ecological, or social damage; the candidate is interpreted in its documented anchor and voice context.</x:v>
      </x:c>
      <x:c r="O151" s="31" t="str">
        <x:v>STRONG</x:v>
      </x:c>
      <x:c r="P151" s="19" t="str">
        <x:v>NOT_LOCATED</x:v>
      </x:c>
      <x:c r="Q151" s="31" t="str">
        <x:v>The surface form may realize multiple senses; candidate meaning remains anchored to the report-visible source context.</x:v>
      </x:c>
      <x:c r="R151" s="31" t="str">
        <x:v>Fear of Temperature_ Stratified Lexical Expansion, Voice Mapping, and Semantic-Relational Pre-Valida.pdf#page=11; https://api.dictionaryapi.dev/api/v2/entries/en/very%20serious%20problem; https://websters1913.timcieplowski.com/word/problem/</x:v>
      </x:c>
      <x:c r="S151" s="43" t="str">
        <x:v>2026-08-26</x:v>
      </x:c>
      <x:c r="T151" s="46" t="str">
        <x:v>RECONSTRUCTED_FROM_REPORT; Fear of Temperature_ Stratified Lexical Expansion, Voice Mapping, and Semantic-Relational Pre-Valida.pdf; p.11; project candidate FT-SEED-R1B-P-2015-27; original visible ID not available</x:v>
      </x:c>
    </x:row>
    <x:row r="152" ht="38" customHeight="1">
      <x:c r="A152" s="25" t="str">
        <x:v>FT-SEED-R1B-P-2015-28</x:v>
      </x:c>
      <x:c r="B152" s="19" t="str">
        <x:v>2015</x:v>
      </x:c>
      <x:c r="C152" s="28" t="n">
        <x:v>28</x:v>
      </x:c>
      <x:c r="D152" s="31" t="str">
        <x:v>harm them personally</x:v>
      </x:c>
      <x:c r="E152" s="31" t="str">
        <x:v>generic damage</x:v>
      </x:c>
      <x:c r="F152" s="19" t="str">
        <x:v>harm_loss_consequences</x:v>
      </x:c>
      <x:c r="G152" s="31" t="str">
        <x:v>NO_STANDALONE_HEADWORD</x:v>
      </x:c>
      <x:c r="H152" s="19" t="str">
        <x:v>NO</x:v>
      </x:c>
      <x:c r="I152" s="19" t="str">
        <x:v>Component lexical analysis plus anchor-source contextual meaning</x:v>
      </x:c>
      <x:c r="J152" s="19" t="str">
        <x:v>Component headword checked: harm.</x:v>
      </x:c>
      <x:c r="K152" s="19" t="str">
        <x:v>Anchor-period research source/context; Webster 1913 stable component URL recorded but automated page retrieval was unavailable</x:v>
      </x:c>
      <x:c r="L152" s="31" t="str">
        <x:v>Generic material, ecological, or social damage; the candidate is interpreted in its documented anchor and voice context.</x:v>
      </x:c>
      <x:c r="M152" s="31" t="str">
        <x:v>A threat, risk, harm, severity, or consequence sense in the documented source; it is not automatically an emotion.</x:v>
      </x:c>
      <x:c r="N152" s="31" t="str">
        <x:v>Generic material, ecological, or social damage; the candidate is interpreted in its documented anchor and voice context.</x:v>
      </x:c>
      <x:c r="O152" s="31" t="str">
        <x:v>STRONG</x:v>
      </x:c>
      <x:c r="P152" s="19" t="str">
        <x:v>NOT_LOCATED</x:v>
      </x:c>
      <x:c r="Q152" s="31" t="str">
        <x:v>The surface form may realize multiple senses; candidate meaning remains anchored to the report-visible source context.</x:v>
      </x:c>
      <x:c r="R152" s="31" t="str">
        <x:v>Fear of Temperature_ Stratified Lexical Expansion, Voice Mapping, and Semantic-Relational Pre-Valida.pdf#page=11; https://api.dictionaryapi.dev/api/v2/entries/en/harm%20them%20personally; https://websters1913.timcieplowski.com/word/harm/</x:v>
      </x:c>
      <x:c r="S152" s="43" t="str">
        <x:v>2026-08-26</x:v>
      </x:c>
      <x:c r="T152" s="46" t="str">
        <x:v>RECONSTRUCTED_FROM_REPORT; Fear of Temperature_ Stratified Lexical Expansion, Voice Mapping, and Semantic-Relational Pre-Valida.pdf; p.11; project candidate FT-SEED-R1B-P-2015-28; original visible ID not available</x:v>
      </x:c>
    </x:row>
    <x:row r="153" ht="38" customHeight="1">
      <x:c r="A153" s="25" t="str">
        <x:v>FT-SEED-R1B-P-2015-29</x:v>
      </x:c>
      <x:c r="B153" s="19" t="str">
        <x:v>2015</x:v>
      </x:c>
      <x:c r="C153" s="28" t="n">
        <x:v>29</x:v>
      </x:c>
      <x:c r="D153" s="31" t="str">
        <x:v>drought or water shortages</x:v>
      </x:c>
      <x:c r="E153" s="31" t="str">
        <x:v>generic damage</x:v>
      </x:c>
      <x:c r="F153" s="19" t="str">
        <x:v>harm_loss_consequences</x:v>
      </x:c>
      <x:c r="G153" s="31" t="str">
        <x:v>NO_STANDALONE_HEADWORD</x:v>
      </x:c>
      <x:c r="H153" s="19" t="str">
        <x:v>NO</x:v>
      </x:c>
      <x:c r="I153" s="19" t="str">
        <x:v>Component lexical analysis plus anchor-source contextual meaning</x:v>
      </x:c>
      <x:c r="J153" s="19" t="str">
        <x:v>Component headword checked: shortages.</x:v>
      </x:c>
      <x:c r="K153" s="19" t="str">
        <x:v>Anchor-period research source/context; Webster 1913 stable component URL recorded but automated page retrieval was unavailable</x:v>
      </x:c>
      <x:c r="L153" s="31" t="str">
        <x:v>Generic material, ecological, or social damage; the candidate is interpreted in its documented anchor and voice context.</x:v>
      </x:c>
      <x:c r="M153" s="31" t="str">
        <x:v>A threat, risk, harm, severity, or consequence sense in the documented source; it is not automatically an emotion.</x:v>
      </x:c>
      <x:c r="N153" s="31" t="str">
        <x:v>Generic material, ecological, or social damage; the candidate is interpreted in its documented anchor and voice context.</x:v>
      </x:c>
      <x:c r="O153" s="31" t="str">
        <x:v>STRONG</x:v>
      </x:c>
      <x:c r="P153" s="19" t="str">
        <x:v>NOT_LOCATED</x:v>
      </x:c>
      <x:c r="Q153" s="31" t="str">
        <x:v>The surface form may realize multiple senses; candidate meaning remains anchored to the report-visible source context.</x:v>
      </x:c>
      <x:c r="R153" s="31" t="str">
        <x:v>Fear of Temperature_ Stratified Lexical Expansion, Voice Mapping, and Semantic-Relational Pre-Valida.pdf#page=11; https://api.dictionaryapi.dev/api/v2/entries/en/drought%20or%20water%20shortages; https://websters1913.timcieplowski.com/word/shortages/</x:v>
      </x:c>
      <x:c r="S153" s="43" t="str">
        <x:v>2026-08-26</x:v>
      </x:c>
      <x:c r="T153" s="46" t="str">
        <x:v>RECONSTRUCTED_FROM_REPORT; Fear of Temperature_ Stratified Lexical Expansion, Voice Mapping, and Semantic-Relational Pre-Valida.pdf; p.11; project candidate FT-SEED-R1B-P-2015-29; original visible ID not available</x:v>
      </x:c>
    </x:row>
    <x:row r="154" ht="38" customHeight="1">
      <x:c r="A154" s="25" t="str">
        <x:v>FT-SEED-R1B-P-2015-30</x:v>
      </x:c>
      <x:c r="B154" s="19" t="str">
        <x:v>2015</x:v>
      </x:c>
      <x:c r="C154" s="28" t="n">
        <x:v>30</x:v>
      </x:c>
      <x:c r="D154" s="31" t="str">
        <x:v>We are nature defending itself</x:v>
      </x:c>
      <x:c r="E154" s="31" t="str">
        <x:v>personal concern</x:v>
      </x:c>
      <x:c r="F154" s="19" t="str">
        <x:v>concern_alarm</x:v>
      </x:c>
      <x:c r="G154" s="31" t="str">
        <x:v>NO_STANDALONE_HEADWORD</x:v>
      </x:c>
      <x:c r="H154" s="19" t="str">
        <x:v>NO</x:v>
      </x:c>
      <x:c r="I154" s="19" t="str">
        <x:v>Component lexical analysis plus anchor-source contextual meaning</x:v>
      </x:c>
      <x:c r="J154" s="19" t="str">
        <x:v>Component headword checked: defending.</x:v>
      </x:c>
      <x:c r="K154" s="19" t="str">
        <x:v>Anchor-period research source/context; Webster 1913 stable component URL recorded but automated page retrieval was unavailable</x:v>
      </x:c>
      <x:c r="L154" s="31" t="str">
        <x:v>Concern expressed or endorsed by an identifiable person about a climate or heat object; the candidate is interpreted in its documented anchor and voice context.</x:v>
      </x:c>
      <x:c r="M154" s="31" t="str">
        <x:v>The candidate's affective or evaluative sense as used by the documented speaker/instrument/research voice at the anchor.</x:v>
      </x:c>
      <x:c r="N154" s="31" t="str">
        <x:v>Concern expressed or endorsed by an identifiable person about a climate or heat object; the candidate is interpreted in its documented anchor and voice context.</x:v>
      </x:c>
      <x:c r="O154" s="31" t="str">
        <x:v>STRONG</x:v>
      </x:c>
      <x:c r="P154" s="19" t="str">
        <x:v>NOT_LOCATED</x:v>
      </x:c>
      <x:c r="Q154" s="31" t="str">
        <x:v>The surface form may realize multiple senses; candidate meaning remains anchored to the report-visible source context.</x:v>
      </x:c>
      <x:c r="R154" s="31" t="str">
        <x:v>Fear of Temperature_ Stratified Lexical Expansion, Voice Mapping, and Semantic-Relational Pre-Valida.pdf#page=11; https://api.dictionaryapi.dev/api/v2/entries/en/We%20are%20nature%20defending%20itself; https://websters1913.timcieplowski.com/word/defending/</x:v>
      </x:c>
      <x:c r="S154" s="43" t="str">
        <x:v>2026-08-26</x:v>
      </x:c>
      <x:c r="T154" s="46" t="str">
        <x:v>RECONSTRUCTED_FROM_REPORT; Fear of Temperature_ Stratified Lexical Expansion, Voice Mapping, and Semantic-Relational Pre-Valida.pdf; p.11; project candidate FT-SEED-R1B-P-2015-30; original visible ID not available</x:v>
      </x:c>
    </x:row>
    <x:row r="155" ht="38" customHeight="1">
      <x:c r="A155" s="25" t="str">
        <x:v>FT-SEED-R1B-P-2022-01</x:v>
      </x:c>
      <x:c r="B155" s="19" t="str">
        <x:v>2022</x:v>
      </x:c>
      <x:c r="C155" s="28" t="n">
        <x:v>1</x:v>
      </x:c>
      <x:c r="D155" s="31" t="str">
        <x:v>climate change</x:v>
      </x:c>
      <x:c r="E155" s="31" t="str">
        <x:v>modern climate change</x:v>
      </x:c>
      <x:c r="F155" s="19" t="str">
        <x:v>climate</x:v>
      </x:c>
      <x:c r="G155" s="31" t="str">
        <x:v>TECHNICAL_GLOSSARY</x:v>
      </x:c>
      <x:c r="H155" s="19" t="str">
        <x:v>NO</x:v>
      </x:c>
      <x:c r="I155" s="19" t="str">
        <x:v>IPCC climate-science glossary / assessment terminology</x:v>
      </x:c>
      <x:c r="J155" s="19" t="str">
        <x:v>Component headword checked: change.</x:v>
      </x:c>
      <x:c r="K155" s="19" t="str">
        <x:v>Anchor-period research source/context; Webster 1913 stable component URL recorded but automated page retrieval was unavailable</x:v>
      </x:c>
      <x:c r="L155" s="31" t="str">
        <x:v>A persistent change in the state or variability of climate; institutional definitions differ on whether human attribution is required.</x:v>
      </x:c>
      <x:c r="M155" s="31" t="str">
        <x:v>The established modern issue label for sustained climatic change, used in institutional, scientific, or public contexts depending on voice.</x:v>
      </x:c>
      <x:c r="N155" s="31" t="str">
        <x:v>A persistent change in the state or variability of climate; institutional definitions differ on whether human attribution is required.</x:v>
      </x:c>
      <x:c r="O155" s="31" t="str">
        <x:v>STRONG</x:v>
      </x:c>
      <x:c r="P155" s="19" t="str">
        <x:v>NOT_LOCATED</x:v>
      </x:c>
      <x:c r="Q155" s="31" t="str">
        <x:v>The modern issue label must still be distinguished from generic change and historical climatic variability.</x:v>
      </x:c>
      <x:c r="R155" s="31" t="str">
        <x:v>https://www.ipcc.ch/site/assets/uploads/2018/02/WGIIAR5-AnnexII_FINAL.pdf; https://api.dictionaryapi.dev/api/v2/entries/en/climate%20change; https://websters1913.timcieplowski.com/word/change/</x:v>
      </x:c>
      <x:c r="S155" s="43" t="str">
        <x:v>2026-08-26</x:v>
      </x:c>
      <x:c r="T155" s="46" t="str">
        <x:v>RECONSTRUCTED_FROM_REPORT; Fear of Temperature_ Stratified Lexical Expansion, Voice Mapping, and Semantic-Relational Pre-Valida.pdf; p.12; project candidate FT-SEED-R1B-P-2022-01; original visible ID not available</x:v>
      </x:c>
    </x:row>
    <x:row r="156" ht="38" customHeight="1">
      <x:c r="A156" s="25" t="str">
        <x:v>FT-SEED-R1B-P-2022-02</x:v>
      </x:c>
      <x:c r="B156" s="19" t="str">
        <x:v>2022</x:v>
      </x:c>
      <x:c r="C156" s="28" t="n">
        <x:v>2</x:v>
      </x:c>
      <x:c r="D156" s="31" t="str">
        <x:v>global warming</x:v>
      </x:c>
      <x:c r="E156" s="31" t="str">
        <x:v>global warming as issue label</x:v>
      </x:c>
      <x:c r="F156" s="19" t="str">
        <x:v>warming</x:v>
      </x:c>
      <x:c r="G156" s="31" t="str">
        <x:v>TECHNICAL_GLOSSARY</x:v>
      </x:c>
      <x:c r="H156" s="19" t="str">
        <x:v>NO</x:v>
      </x:c>
      <x:c r="I156" s="19" t="str">
        <x:v>IPCC climate-science glossary / assessment terminology</x:v>
      </x:c>
      <x:c r="J156" s="19" t="str">
        <x:v>Component headword checked: warming.</x:v>
      </x:c>
      <x:c r="K156" s="19" t="str">
        <x:v>Anchor-period research source/context; Webster 1913 stable component URL recorded but automated page retrieval was unavailable</x:v>
      </x:c>
      <x:c r="L156" s="31" t="str">
        <x:v>The long-term rise in global mean surface temperature, commonly used as an established issue label in modern climate discourse.</x:v>
      </x:c>
      <x:c r="M156" s="31" t="str">
        <x:v>A physical temperature, warming, heat, or measurement sense in the documented anchor context.</x:v>
      </x:c>
      <x:c r="N156" s="31" t="str">
        <x:v>The long-term rise in global mean surface temperature, commonly used as an established issue label in modern climate discourse.</x:v>
      </x:c>
      <x:c r="O156" s="31" t="str">
        <x:v>STRONG</x:v>
      </x:c>
      <x:c r="P156" s="19" t="str">
        <x:v>NOT_LOCATED</x:v>
      </x:c>
      <x:c r="Q156" s="31" t="str">
        <x:v>The surface form may realize multiple senses; candidate meaning remains anchored to the report-visible source context.</x:v>
      </x:c>
      <x:c r="R156" s="31" t="str">
        <x:v>https://www.ipcc.ch/site/assets/uploads/2018/02/WGIIAR5-AnnexII_FINAL.pdf; https://api.dictionaryapi.dev/api/v2/entries/en/global%20warming; https://websters1913.timcieplowski.com/word/warming/</x:v>
      </x:c>
      <x:c r="S156" s="43" t="str">
        <x:v>2026-08-26</x:v>
      </x:c>
      <x:c r="T156" s="46" t="str">
        <x:v>RECONSTRUCTED_FROM_REPORT; Fear of Temperature_ Stratified Lexical Expansion, Voice Mapping, and Semantic-Relational Pre-Valida.pdf; p.12; project candidate FT-SEED-R1B-P-2022-02; original visible ID not available</x:v>
      </x:c>
    </x:row>
    <x:row r="157" ht="38" customHeight="1">
      <x:c r="A157" s="25" t="str">
        <x:v>FT-SEED-R1B-P-2022-03</x:v>
      </x:c>
      <x:c r="B157" s="19" t="str">
        <x:v>2022</x:v>
      </x:c>
      <x:c r="C157" s="28" t="n">
        <x:v>3</x:v>
      </x:c>
      <x:c r="D157" s="31" t="str">
        <x:v>very worried</x:v>
      </x:c>
      <x:c r="E157" s="31" t="str">
        <x:v>participant worry endorsement</x:v>
      </x:c>
      <x:c r="F157" s="19" t="str">
        <x:v>worry</x:v>
      </x:c>
      <x:c r="G157" s="31" t="str">
        <x:v>NO_STANDALONE_HEADWORD</x:v>
      </x:c>
      <x:c r="H157" s="19" t="str">
        <x:v>NO</x:v>
      </x:c>
      <x:c r="I157" s="19" t="str">
        <x:v>Component lexical analysis plus anchor-source contextual meaning</x:v>
      </x:c>
      <x:c r="J157" s="19" t="str">
        <x:v>Component headword checked: worried.</x:v>
      </x:c>
      <x:c r="K157" s="19" t="str">
        <x:v>Anchor-period research source/context; Webster 1913 stable component URL recorded but automated page retrieval was unavailable</x:v>
      </x:c>
      <x:c r="L157" s="31" t="str">
        <x:v>A participant selection or endorsement of a supplied worry category; the candidate is interpreted in its documented anchor and voice context.</x:v>
      </x:c>
      <x:c r="M157" s="31" t="str">
        <x:v>Survey or instrument wording used to elicit and classify participant endorsement; the response may be participant evidence, but the lexical wording is supplied.</x:v>
      </x:c>
      <x:c r="N157" s="31" t="str">
        <x:v>Contemporary worry wording may describe affect, but in the cited survey setting it is instrument-supplied and participant endorsement is elicited rather than spontaneous.</x:v>
      </x:c>
      <x:c r="O157" s="31" t="str">
        <x:v>STRONG</x:v>
      </x:c>
      <x:c r="P157" s="19" t="str">
        <x:v>NOT_LOCATED</x:v>
      </x:c>
      <x:c r="Q157" s="31" t="str">
        <x:v>Elicited endorsement, question wording, and spontaneous participant vocabulary are distinct provenance states.</x:v>
      </x:c>
      <x:c r="R157" s="31" t="str">
        <x:v>Fear of Temperature_ Stratified Lexical Expansion, Voice Mapping, and Semantic-Relational Pre-Valida.pdf#page=12; https://api.dictionaryapi.dev/api/v2/entries/en/very%20worried; https://websters1913.timcieplowski.com/word/worried/</x:v>
      </x:c>
      <x:c r="S157" s="43" t="str">
        <x:v>2026-08-26</x:v>
      </x:c>
      <x:c r="T157" s="46" t="str">
        <x:v>RECONSTRUCTED_FROM_REPORT; Fear of Temperature_ Stratified Lexical Expansion, Voice Mapping, and Semantic-Relational Pre-Valida.pdf; p.12; project candidate FT-SEED-R1B-P-2022-03; original visible ID not available</x:v>
      </x:c>
    </x:row>
    <x:row r="158" ht="38" customHeight="1">
      <x:c r="A158" s="25" t="str">
        <x:v>FT-SEED-R1B-P-2022-04</x:v>
      </x:c>
      <x:c r="B158" s="19" t="str">
        <x:v>2022</x:v>
      </x:c>
      <x:c r="C158" s="28" t="n">
        <x:v>4</x:v>
      </x:c>
      <x:c r="D158" s="31" t="str">
        <x:v>somewhat worried</x:v>
      </x:c>
      <x:c r="E158" s="31" t="str">
        <x:v>participant worry endorsement</x:v>
      </x:c>
      <x:c r="F158" s="19" t="str">
        <x:v>worry</x:v>
      </x:c>
      <x:c r="G158" s="31" t="str">
        <x:v>NO_STANDALONE_HEADWORD</x:v>
      </x:c>
      <x:c r="H158" s="19" t="str">
        <x:v>NO</x:v>
      </x:c>
      <x:c r="I158" s="19" t="str">
        <x:v>Component lexical analysis plus anchor-source contextual meaning</x:v>
      </x:c>
      <x:c r="J158" s="19" t="str">
        <x:v>Component headword checked: worried.</x:v>
      </x:c>
      <x:c r="K158" s="19" t="str">
        <x:v>Anchor-period research source/context; Webster 1913 stable component URL recorded but automated page retrieval was unavailable</x:v>
      </x:c>
      <x:c r="L158" s="31" t="str">
        <x:v>A participant selection or endorsement of a supplied worry category; the candidate is interpreted in its documented anchor and voice context.</x:v>
      </x:c>
      <x:c r="M158" s="31" t="str">
        <x:v>Survey or instrument wording used to elicit and classify participant endorsement; the response may be participant evidence, but the lexical wording is supplied.</x:v>
      </x:c>
      <x:c r="N158" s="31" t="str">
        <x:v>A participant selection or endorsement of a supplied worry category; the candidate is interpreted in its documented anchor and voice context.</x:v>
      </x:c>
      <x:c r="O158" s="31" t="str">
        <x:v>STRONG</x:v>
      </x:c>
      <x:c r="P158" s="19" t="str">
        <x:v>NOT_LOCATED</x:v>
      </x:c>
      <x:c r="Q158" s="31" t="str">
        <x:v>Elicited endorsement, question wording, and spontaneous participant vocabulary are distinct provenance states.</x:v>
      </x:c>
      <x:c r="R158" s="31" t="str">
        <x:v>Fear of Temperature_ Stratified Lexical Expansion, Voice Mapping, and Semantic-Relational Pre-Valida.pdf#page=12; https://api.dictionaryapi.dev/api/v2/entries/en/somewhat%20worried; https://websters1913.timcieplowski.com/word/worried/</x:v>
      </x:c>
      <x:c r="S158" s="43" t="str">
        <x:v>2026-08-26</x:v>
      </x:c>
      <x:c r="T158" s="46" t="str">
        <x:v>RECONSTRUCTED_FROM_REPORT; Fear of Temperature_ Stratified Lexical Expansion, Voice Mapping, and Semantic-Relational Pre-Valida.pdf; p.12; project candidate FT-SEED-R1B-P-2022-04; original visible ID not available</x:v>
      </x:c>
    </x:row>
    <x:row r="159" ht="38" customHeight="1">
      <x:c r="A159" s="25" t="str">
        <x:v>FT-SEED-R1B-P-2022-05</x:v>
      </x:c>
      <x:c r="B159" s="19" t="str">
        <x:v>2022</x:v>
      </x:c>
      <x:c r="C159" s="28" t="n">
        <x:v>5</x:v>
      </x:c>
      <x:c r="D159" s="31" t="str">
        <x:v>afraid</x:v>
      </x:c>
      <x:c r="E159" s="31" t="str">
        <x:v>participant afraid endorsement</x:v>
      </x:c>
      <x:c r="F159" s="19" t="str">
        <x:v>fear_afraid</x:v>
      </x:c>
      <x:c r="G159" s="31" t="str">
        <x:v>DIRECT_HEADWORD</x:v>
      </x:c>
      <x:c r="H159" s="19" t="str">
        <x:v>YES</x:v>
      </x:c>
      <x:c r="I159" s="19" t="str">
        <x:v>Webster's Revised Unabridged Dictionary (1913 public-domain headword index)</x:v>
      </x:c>
      <x:c r="J159" s="19" t="str">
        <x:v>Component headword checked: afraid.</x:v>
      </x:c>
      <x:c r="K159" s="19" t="str">
        <x:v>Webster's Revised Unabridged Dictionary (1913 public-domain edition)</x:v>
      </x:c>
      <x:c r="L159" s="31" t="str">
        <x:v>Participant endorsement of a supplied afraid category; the candidate is interpreted in its documented anchor and voice context.</x:v>
      </x:c>
      <x:c r="M159" s="31" t="str">
        <x:v>The candidate's affective or evaluative sense as used by the documented speaker/instrument/research voice at the anchor.</x:v>
      </x:c>
      <x:c r="N159" s="31" t="str">
        <x:v>Participant endorsement of a supplied afraid category; the candidate is interpreted in its documented anchor and voice context.</x:v>
      </x:c>
      <x:c r="O159" s="31" t="str">
        <x:v>STRONG</x:v>
      </x:c>
      <x:c r="P159" s="19" t="str">
        <x:v>NOT_LOCATED</x:v>
      </x:c>
      <x:c r="Q159" s="31" t="str">
        <x:v>The surface form may realize multiple senses; candidate meaning remains anchored to the report-visible source context.</x:v>
      </x:c>
      <x:c r="R159" s="31" t="str">
        <x:v>https://websters1913.timcieplowski.com/word/afraid/; https://api.dictionaryapi.dev/api/v2/entries/en/afraid</x:v>
      </x:c>
      <x:c r="S159" s="43" t="str">
        <x:v>2026-08-26</x:v>
      </x:c>
      <x:c r="T159" s="46" t="str">
        <x:v>RECONSTRUCTED_FROM_REPORT; Fear of Temperature_ Stratified Lexical Expansion, Voice Mapping, and Semantic-Relational Pre-Valida.pdf; p.12; project candidate FT-SEED-R1B-P-2022-05; original visible ID not available</x:v>
      </x:c>
    </x:row>
    <x:row r="160" ht="38" customHeight="1">
      <x:c r="A160" s="25" t="str">
        <x:v>FT-SEED-R1B-P-2022-06</x:v>
      </x:c>
      <x:c r="B160" s="19" t="str">
        <x:v>2022</x:v>
      </x:c>
      <x:c r="C160" s="28" t="n">
        <x:v>6</x:v>
      </x:c>
      <x:c r="D160" s="31" t="str">
        <x:v>anxious</x:v>
      </x:c>
      <x:c r="E160" s="31" t="str">
        <x:v>anxious affect</x:v>
      </x:c>
      <x:c r="F160" s="19" t="str">
        <x:v>anxiety</x:v>
      </x:c>
      <x:c r="G160" s="31" t="str">
        <x:v>DIRECT_HEADWORD</x:v>
      </x:c>
      <x:c r="H160" s="19" t="str">
        <x:v>YES</x:v>
      </x:c>
      <x:c r="I160" s="19" t="str">
        <x:v>Webster's Revised Unabridged Dictionary (1913 public-domain headword index)</x:v>
      </x:c>
      <x:c r="J160" s="19" t="str">
        <x:v>Component headword checked: anxious.</x:v>
      </x:c>
      <x:c r="K160" s="19" t="str">
        <x:v>Anchor-period research source/context; Webster 1913 stable component URL recorded but automated page retrieval was unavailable</x:v>
      </x:c>
      <x:c r="L160" s="31" t="str">
        <x:v>Anxious feeling directly expressed or endorsed by a participant; the candidate is interpreted in its documented anchor and voice context.</x:v>
      </x:c>
      <x:c r="M160" s="31" t="str">
        <x:v>The candidate's affective or evaluative sense as used by the documented speaker/instrument/research voice at the anchor.</x:v>
      </x:c>
      <x:c r="N160" s="31" t="str">
        <x:v>Anxious feeling directly expressed or endorsed by a participant; the candidate is interpreted in its documented anchor and voice context.</x:v>
      </x:c>
      <x:c r="O160" s="31" t="str">
        <x:v>STRONG</x:v>
      </x:c>
      <x:c r="P160" s="19" t="str">
        <x:v>NOT_LOCATED</x:v>
      </x:c>
      <x:c r="Q160" s="31" t="str">
        <x:v>The surface form may realize multiple senses; candidate meaning remains anchored to the report-visible source context.</x:v>
      </x:c>
      <x:c r="R160" s="31" t="str">
        <x:v>https://websters1913.timcieplowski.com/word/anxious/; https://api.dictionaryapi.dev/api/v2/entries/en/anxious</x:v>
      </x:c>
      <x:c r="S160" s="43" t="str">
        <x:v>2026-08-26</x:v>
      </x:c>
      <x:c r="T160" s="46" t="str">
        <x:v>RECONSTRUCTED_FROM_REPORT; Fear of Temperature_ Stratified Lexical Expansion, Voice Mapping, and Semantic-Relational Pre-Valida.pdf; p.12; project candidate FT-SEED-R1B-P-2022-06; original visible ID not available</x:v>
      </x:c>
    </x:row>
    <x:row r="161" ht="38" customHeight="1">
      <x:c r="A161" s="25" t="str">
        <x:v>FT-SEED-R1B-P-2022-07</x:v>
      </x:c>
      <x:c r="B161" s="19" t="str">
        <x:v>2022</x:v>
      </x:c>
      <x:c r="C161" s="28" t="n">
        <x:v>7</x:v>
      </x:c>
      <x:c r="D161" s="31" t="str">
        <x:v>hopeless</x:v>
      </x:c>
      <x:c r="E161" s="31" t="str">
        <x:v>depressed affect</x:v>
      </x:c>
      <x:c r="F161" s="19" t="str">
        <x:v>distress_depression</x:v>
      </x:c>
      <x:c r="G161" s="31" t="str">
        <x:v>DIRECT_HEADWORD</x:v>
      </x:c>
      <x:c r="H161" s="19" t="str">
        <x:v>YES</x:v>
      </x:c>
      <x:c r="I161" s="19" t="str">
        <x:v>Webster's Revised Unabridged Dictionary (1913 public-domain headword index)</x:v>
      </x:c>
      <x:c r="J161" s="19" t="str">
        <x:v>Component headword checked: hopeless.</x:v>
      </x:c>
      <x:c r="K161" s="19" t="str">
        <x:v>Anchor-period research source/context; Webster 1913 stable component URL recorded but automated page retrieval was unavailable</x:v>
      </x:c>
      <x:c r="L161" s="31" t="str">
        <x:v>Depressed affect directly expressed or instrument-endorsed in a climate context; the candidate is interpreted in its documented anchor and voice context.</x:v>
      </x:c>
      <x:c r="M161" s="31" t="str">
        <x:v>The candidate's affective or evaluative sense as used by the documented speaker/instrument/research voice at the anchor.</x:v>
      </x:c>
      <x:c r="N161" s="31" t="str">
        <x:v>Depressed affect directly expressed or instrument-endorsed in a climate context; the candidate is interpreted in its documented anchor and voice context.</x:v>
      </x:c>
      <x:c r="O161" s="31" t="str">
        <x:v>STRONG</x:v>
      </x:c>
      <x:c r="P161" s="19" t="str">
        <x:v>NOT_LOCATED</x:v>
      </x:c>
      <x:c r="Q161" s="31" t="str">
        <x:v>The surface form may realize multiple senses; candidate meaning remains anchored to the report-visible source context.</x:v>
      </x:c>
      <x:c r="R161" s="31" t="str">
        <x:v>https://websters1913.timcieplowski.com/word/hopeless/; https://api.dictionaryapi.dev/api/v2/entries/en/hopeless</x:v>
      </x:c>
      <x:c r="S161" s="43" t="str">
        <x:v>2026-08-26</x:v>
      </x:c>
      <x:c r="T161" s="46" t="str">
        <x:v>RECONSTRUCTED_FROM_REPORT; Fear of Temperature_ Stratified Lexical Expansion, Voice Mapping, and Semantic-Relational Pre-Valida.pdf; p.12; project candidate FT-SEED-R1B-P-2022-07; original visible ID not available</x:v>
      </x:c>
    </x:row>
    <x:row r="162" ht="38" customHeight="1">
      <x:c r="A162" s="25" t="str">
        <x:v>FT-SEED-R1B-P-2022-08</x:v>
      </x:c>
      <x:c r="B162" s="19" t="str">
        <x:v>2022</x:v>
      </x:c>
      <x:c r="C162" s="28" t="n">
        <x:v>8</x:v>
      </x:c>
      <x:c r="D162" s="31" t="str">
        <x:v>sad</x:v>
      </x:c>
      <x:c r="E162" s="31" t="str">
        <x:v>depressed affect</x:v>
      </x:c>
      <x:c r="F162" s="19" t="str">
        <x:v>distress_depression</x:v>
      </x:c>
      <x:c r="G162" s="31" t="str">
        <x:v>DIRECT_HEADWORD</x:v>
      </x:c>
      <x:c r="H162" s="19" t="str">
        <x:v>YES</x:v>
      </x:c>
      <x:c r="I162" s="19" t="str">
        <x:v>Webster's Revised Unabridged Dictionary (1913 public-domain headword index)</x:v>
      </x:c>
      <x:c r="J162" s="19" t="str">
        <x:v>Component headword checked: sad.</x:v>
      </x:c>
      <x:c r="K162" s="19" t="str">
        <x:v>Anchor-period research source/context; Webster 1913 stable component URL recorded but automated page retrieval was unavailable</x:v>
      </x:c>
      <x:c r="L162" s="31" t="str">
        <x:v>Depressed affect directly expressed or instrument-endorsed in a climate context; the candidate is interpreted in its documented anchor and voice context.</x:v>
      </x:c>
      <x:c r="M162" s="31" t="str">
        <x:v>The candidate's affective or evaluative sense as used by the documented speaker/instrument/research voice at the anchor.</x:v>
      </x:c>
      <x:c r="N162" s="31" t="str">
        <x:v>Depressed affect directly expressed or instrument-endorsed in a climate context; the candidate is interpreted in its documented anchor and voice context.</x:v>
      </x:c>
      <x:c r="O162" s="31" t="str">
        <x:v>STRONG</x:v>
      </x:c>
      <x:c r="P162" s="19" t="str">
        <x:v>NOT_LOCATED</x:v>
      </x:c>
      <x:c r="Q162" s="31" t="str">
        <x:v>The surface form may realize multiple senses; candidate meaning remains anchored to the report-visible source context.</x:v>
      </x:c>
      <x:c r="R162" s="31" t="str">
        <x:v>https://websters1913.timcieplowski.com/word/sad/; https://api.dictionaryapi.dev/api/v2/entries/en/sad</x:v>
      </x:c>
      <x:c r="S162" s="43" t="str">
        <x:v>2026-08-26</x:v>
      </x:c>
      <x:c r="T162" s="46" t="str">
        <x:v>RECONSTRUCTED_FROM_REPORT; Fear of Temperature_ Stratified Lexical Expansion, Voice Mapping, and Semantic-Relational Pre-Valida.pdf; p.12; project candidate FT-SEED-R1B-P-2022-08; original visible ID not available</x:v>
      </x:c>
    </x:row>
    <x:row r="163" ht="38" customHeight="1">
      <x:c r="A163" s="25" t="str">
        <x:v>FT-SEED-R1B-P-2022-09</x:v>
      </x:c>
      <x:c r="B163" s="19" t="str">
        <x:v>2022</x:v>
      </x:c>
      <x:c r="C163" s="28" t="n">
        <x:v>9</x:v>
      </x:c>
      <x:c r="D163" s="31" t="str">
        <x:v>angry</x:v>
      </x:c>
      <x:c r="E163" s="31" t="str">
        <x:v>depressed affect</x:v>
      </x:c>
      <x:c r="F163" s="19" t="str">
        <x:v>distress_depression</x:v>
      </x:c>
      <x:c r="G163" s="31" t="str">
        <x:v>DIRECT_HEADWORD</x:v>
      </x:c>
      <x:c r="H163" s="19" t="str">
        <x:v>YES</x:v>
      </x:c>
      <x:c r="I163" s="19" t="str">
        <x:v>Webster's Revised Unabridged Dictionary (1913 public-domain headword index)</x:v>
      </x:c>
      <x:c r="J163" s="19" t="str">
        <x:v>Component headword checked: angry.</x:v>
      </x:c>
      <x:c r="K163" s="19" t="str">
        <x:v>Anchor-period research source/context; Webster 1913 stable component URL recorded but automated page retrieval was unavailable</x:v>
      </x:c>
      <x:c r="L163" s="31" t="str">
        <x:v>Depressed affect directly expressed or instrument-endorsed in a climate context; the candidate is interpreted in its documented anchor and voice context.</x:v>
      </x:c>
      <x:c r="M163" s="31" t="str">
        <x:v>The candidate's affective or evaluative sense as used by the documented speaker/instrument/research voice at the anchor.</x:v>
      </x:c>
      <x:c r="N163" s="31" t="str">
        <x:v>Depressed affect directly expressed or instrument-endorsed in a climate context; the candidate is interpreted in its documented anchor and voice context.</x:v>
      </x:c>
      <x:c r="O163" s="31" t="str">
        <x:v>STRONG</x:v>
      </x:c>
      <x:c r="P163" s="19" t="str">
        <x:v>NOT_LOCATED</x:v>
      </x:c>
      <x:c r="Q163" s="31" t="str">
        <x:v>The surface form may realize multiple senses; candidate meaning remains anchored to the report-visible source context.</x:v>
      </x:c>
      <x:c r="R163" s="31" t="str">
        <x:v>https://websters1913.timcieplowski.com/word/angry/; https://api.dictionaryapi.dev/api/v2/entries/en/angry</x:v>
      </x:c>
      <x:c r="S163" s="43" t="str">
        <x:v>2026-08-26</x:v>
      </x:c>
      <x:c r="T163" s="46" t="str">
        <x:v>RECONSTRUCTED_FROM_REPORT; Fear of Temperature_ Stratified Lexical Expansion, Voice Mapping, and Semantic-Relational Pre-Valida.pdf; p.13; project candidate FT-SEED-R1B-P-2022-09; original visible ID not available</x:v>
      </x:c>
    </x:row>
    <x:row r="164" ht="38" customHeight="1">
      <x:c r="A164" s="25" t="str">
        <x:v>FT-SEED-R1B-P-2022-10</x:v>
      </x:c>
      <x:c r="B164" s="19" t="str">
        <x:v>2022</x:v>
      </x:c>
      <x:c r="C164" s="28" t="n">
        <x:v>10</x:v>
      </x:c>
      <x:c r="D164" s="31" t="str">
        <x:v>frustrated</x:v>
      </x:c>
      <x:c r="E164" s="31" t="str">
        <x:v>depressed affect</x:v>
      </x:c>
      <x:c r="F164" s="19" t="str">
        <x:v>distress_depression</x:v>
      </x:c>
      <x:c r="G164" s="31" t="str">
        <x:v>DIRECT_HEADWORD</x:v>
      </x:c>
      <x:c r="H164" s="19" t="str">
        <x:v>YES</x:v>
      </x:c>
      <x:c r="I164" s="19" t="str">
        <x:v>Webster's Revised Unabridged Dictionary (1913 public-domain headword index)</x:v>
      </x:c>
      <x:c r="J164" s="19" t="str">
        <x:v>Component headword checked: frustrated.</x:v>
      </x:c>
      <x:c r="K164" s="19" t="str">
        <x:v>Anchor-period research source/context; Webster 1913 stable component URL recorded but automated page retrieval was unavailable</x:v>
      </x:c>
      <x:c r="L164" s="31" t="str">
        <x:v>Depressed affect directly expressed or instrument-endorsed in a climate context; the candidate is interpreted in its documented anchor and voice context.</x:v>
      </x:c>
      <x:c r="M164" s="31" t="str">
        <x:v>The candidate's affective or evaluative sense as used by the documented speaker/instrument/research voice at the anchor.</x:v>
      </x:c>
      <x:c r="N164" s="31" t="str">
        <x:v>Depressed affect directly expressed or instrument-endorsed in a climate context; the candidate is interpreted in its documented anchor and voice context.</x:v>
      </x:c>
      <x:c r="O164" s="31" t="str">
        <x:v>STRONG</x:v>
      </x:c>
      <x:c r="P164" s="19" t="str">
        <x:v>NOT_LOCATED</x:v>
      </x:c>
      <x:c r="Q164" s="31" t="str">
        <x:v>The surface form may realize multiple senses; candidate meaning remains anchored to the report-visible source context.</x:v>
      </x:c>
      <x:c r="R164" s="31" t="str">
        <x:v>https://websters1913.timcieplowski.com/word/frustrated/; https://api.dictionaryapi.dev/api/v2/entries/en/frustrated</x:v>
      </x:c>
      <x:c r="S164" s="43" t="str">
        <x:v>2026-08-26</x:v>
      </x:c>
      <x:c r="T164" s="46" t="str">
        <x:v>RECONSTRUCTED_FROM_REPORT; Fear of Temperature_ Stratified Lexical Expansion, Voice Mapping, and Semantic-Relational Pre-Valida.pdf; p.13; project candidate FT-SEED-R1B-P-2022-10; original visible ID not available</x:v>
      </x:c>
    </x:row>
    <x:row r="165" ht="38" customHeight="1">
      <x:c r="A165" s="25" t="str">
        <x:v>FT-SEED-R1B-P-2022-11</x:v>
      </x:c>
      <x:c r="B165" s="19" t="str">
        <x:v>2022</x:v>
      </x:c>
      <x:c r="C165" s="28" t="n">
        <x:v>11</x:v>
      </x:c>
      <x:c r="D165" s="31" t="str">
        <x:v>hopeful</x:v>
      </x:c>
      <x:c r="E165" s="31" t="str">
        <x:v>personal concern</x:v>
      </x:c>
      <x:c r="F165" s="19" t="str">
        <x:v>concern_alarm</x:v>
      </x:c>
      <x:c r="G165" s="31" t="str">
        <x:v>DIRECT_HEADWORD</x:v>
      </x:c>
      <x:c r="H165" s="19" t="str">
        <x:v>YES</x:v>
      </x:c>
      <x:c r="I165" s="19" t="str">
        <x:v>Webster's Revised Unabridged Dictionary (1913 public-domain headword index)</x:v>
      </x:c>
      <x:c r="J165" s="19" t="str">
        <x:v>Component headword checked: hopeful.</x:v>
      </x:c>
      <x:c r="K165" s="19" t="str">
        <x:v>Anchor-period research source/context; Webster 1913 stable component URL recorded but automated page retrieval was unavailable</x:v>
      </x:c>
      <x:c r="L165" s="31" t="str">
        <x:v>Concern expressed or endorsed by an identifiable person about a climate or heat object; the candidate is interpreted in its documented anchor and voice context.</x:v>
      </x:c>
      <x:c r="M165" s="31" t="str">
        <x:v>The candidate's affective or evaluative sense as used by the documented speaker/instrument/research voice at the anchor.</x:v>
      </x:c>
      <x:c r="N165" s="31" t="str">
        <x:v>Concern expressed or endorsed by an identifiable person about a climate or heat object; the candidate is interpreted in its documented anchor and voice context.</x:v>
      </x:c>
      <x:c r="O165" s="31" t="str">
        <x:v>STRONG</x:v>
      </x:c>
      <x:c r="P165" s="19" t="str">
        <x:v>NOT_LOCATED</x:v>
      </x:c>
      <x:c r="Q165" s="31" t="str">
        <x:v>The surface form may realize multiple senses; candidate meaning remains anchored to the report-visible source context.</x:v>
      </x:c>
      <x:c r="R165" s="31" t="str">
        <x:v>https://websters1913.timcieplowski.com/word/hopeful/; https://api.dictionaryapi.dev/api/v2/entries/en/hopeful</x:v>
      </x:c>
      <x:c r="S165" s="43" t="str">
        <x:v>2026-08-26</x:v>
      </x:c>
      <x:c r="T165" s="46" t="str">
        <x:v>RECONSTRUCTED_FROM_REPORT; Fear of Temperature_ Stratified Lexical Expansion, Voice Mapping, and Semantic-Relational Pre-Valida.pdf; p.12; project candidate FT-SEED-R1B-P-2022-11; original visible ID not available</x:v>
      </x:c>
    </x:row>
    <x:row r="166" ht="38" customHeight="1">
      <x:c r="A166" s="25" t="str">
        <x:v>FT-SEED-R1B-P-2022-12</x:v>
      </x:c>
      <x:c r="B166" s="19" t="str">
        <x:v>2022</x:v>
      </x:c>
      <x:c r="C166" s="28" t="n">
        <x:v>12</x:v>
      </x:c>
      <x:c r="D166" s="31" t="str">
        <x:v>disgusted</x:v>
      </x:c>
      <x:c r="E166" s="31" t="str">
        <x:v>depressed affect</x:v>
      </x:c>
      <x:c r="F166" s="19" t="str">
        <x:v>distress_depression</x:v>
      </x:c>
      <x:c r="G166" s="31" t="str">
        <x:v>DIRECT_HEADWORD</x:v>
      </x:c>
      <x:c r="H166" s="19" t="str">
        <x:v>YES</x:v>
      </x:c>
      <x:c r="I166" s="19" t="str">
        <x:v>Webster's Revised Unabridged Dictionary (1913 public-domain headword index)</x:v>
      </x:c>
      <x:c r="J166" s="19" t="str">
        <x:v>Component headword checked: disgusted.</x:v>
      </x:c>
      <x:c r="K166" s="19" t="str">
        <x:v>Anchor-period research source/context; Webster 1913 stable component URL recorded but automated page retrieval was unavailable</x:v>
      </x:c>
      <x:c r="L166" s="31" t="str">
        <x:v>Depressed affect directly expressed or instrument-endorsed in a climate context; the candidate is interpreted in its documented anchor and voice context.</x:v>
      </x:c>
      <x:c r="M166" s="31" t="str">
        <x:v>The candidate's affective or evaluative sense as used by the documented speaker/instrument/research voice at the anchor.</x:v>
      </x:c>
      <x:c r="N166" s="31" t="str">
        <x:v>Depressed affect directly expressed or instrument-endorsed in a climate context; the candidate is interpreted in its documented anchor and voice context.</x:v>
      </x:c>
      <x:c r="O166" s="31" t="str">
        <x:v>STRONG</x:v>
      </x:c>
      <x:c r="P166" s="19" t="str">
        <x:v>NOT_LOCATED</x:v>
      </x:c>
      <x:c r="Q166" s="31" t="str">
        <x:v>The surface form may realize multiple senses; candidate meaning remains anchored to the report-visible source context.</x:v>
      </x:c>
      <x:c r="R166" s="31" t="str">
        <x:v>https://websters1913.timcieplowski.com/word/disgusted/; https://api.dictionaryapi.dev/api/v2/entries/en/disgusted</x:v>
      </x:c>
      <x:c r="S166" s="43" t="str">
        <x:v>2026-08-26</x:v>
      </x:c>
      <x:c r="T166" s="46" t="str">
        <x:v>RECONSTRUCTED_FROM_REPORT; Fear of Temperature_ Stratified Lexical Expansion, Voice Mapping, and Semantic-Relational Pre-Valida.pdf; p.12; project candidate FT-SEED-R1B-P-2022-12; original visible ID not available</x:v>
      </x:c>
    </x:row>
    <x:row r="167" ht="38" customHeight="1">
      <x:c r="A167" s="25" t="str">
        <x:v>FT-SEED-R1B-P-2022-13</x:v>
      </x:c>
      <x:c r="B167" s="19" t="str">
        <x:v>2022</x:v>
      </x:c>
      <x:c r="C167" s="28" t="n">
        <x:v>13</x:v>
      </x:c>
      <x:c r="D167" s="31" t="str">
        <x:v>outraged</x:v>
      </x:c>
      <x:c r="E167" s="31" t="str">
        <x:v>depressed affect</x:v>
      </x:c>
      <x:c r="F167" s="19" t="str">
        <x:v>distress_depression</x:v>
      </x:c>
      <x:c r="G167" s="31" t="str">
        <x:v>DIRECT_HEADWORD</x:v>
      </x:c>
      <x:c r="H167" s="19" t="str">
        <x:v>YES</x:v>
      </x:c>
      <x:c r="I167" s="19" t="str">
        <x:v>Webster's Revised Unabridged Dictionary (1913 public-domain headword index)</x:v>
      </x:c>
      <x:c r="J167" s="19" t="str">
        <x:v>Component headword checked: outraged.</x:v>
      </x:c>
      <x:c r="K167" s="19" t="str">
        <x:v>Anchor-period research source/context; Webster 1913 stable component URL recorded but automated page retrieval was unavailable</x:v>
      </x:c>
      <x:c r="L167" s="31" t="str">
        <x:v>Depressed affect directly expressed or instrument-endorsed in a climate context; the candidate is interpreted in its documented anchor and voice context.</x:v>
      </x:c>
      <x:c r="M167" s="31" t="str">
        <x:v>The candidate's affective or evaluative sense as used by the documented speaker/instrument/research voice at the anchor.</x:v>
      </x:c>
      <x:c r="N167" s="31" t="str">
        <x:v>Depressed affect directly expressed or instrument-endorsed in a climate context; the candidate is interpreted in its documented anchor and voice context.</x:v>
      </x:c>
      <x:c r="O167" s="31" t="str">
        <x:v>STRONG</x:v>
      </x:c>
      <x:c r="P167" s="19" t="str">
        <x:v>NOT_LOCATED</x:v>
      </x:c>
      <x:c r="Q167" s="31" t="str">
        <x:v>The surface form may realize multiple senses; candidate meaning remains anchored to the report-visible source context.</x:v>
      </x:c>
      <x:c r="R167" s="31" t="str">
        <x:v>https://websters1913.timcieplowski.com/word/outraged/; https://api.dictionaryapi.dev/api/v2/entries/en/outraged</x:v>
      </x:c>
      <x:c r="S167" s="43" t="str">
        <x:v>2026-08-26</x:v>
      </x:c>
      <x:c r="T167" s="46" t="str">
        <x:v>RECONSTRUCTED_FROM_REPORT; Fear of Temperature_ Stratified Lexical Expansion, Voice Mapping, and Semantic-Relational Pre-Valida.pdf; p.12; project candidate FT-SEED-R1B-P-2022-13; original visible ID not available</x:v>
      </x:c>
    </x:row>
    <x:row r="168" ht="38" customHeight="1">
      <x:c r="A168" s="25" t="str">
        <x:v>FT-SEED-R1B-P-2022-14</x:v>
      </x:c>
      <x:c r="B168" s="19" t="str">
        <x:v>2022</x:v>
      </x:c>
      <x:c r="C168" s="28" t="n">
        <x:v>14</x:v>
      </x:c>
      <x:c r="D168" s="31" t="str">
        <x:v>depressed</x:v>
      </x:c>
      <x:c r="E168" s="31" t="str">
        <x:v>depressed affect</x:v>
      </x:c>
      <x:c r="F168" s="19" t="str">
        <x:v>distress_depression</x:v>
      </x:c>
      <x:c r="G168" s="31" t="str">
        <x:v>DIRECT_HEADWORD</x:v>
      </x:c>
      <x:c r="H168" s="19" t="str">
        <x:v>YES</x:v>
      </x:c>
      <x:c r="I168" s="19" t="str">
        <x:v>Webster's Revised Unabridged Dictionary (1913 public-domain headword index)</x:v>
      </x:c>
      <x:c r="J168" s="19" t="str">
        <x:v>Component headword checked: depressed.</x:v>
      </x:c>
      <x:c r="K168" s="19" t="str">
        <x:v>Anchor-period research source/context; Webster 1913 stable component URL recorded but automated page retrieval was unavailable</x:v>
      </x:c>
      <x:c r="L168" s="31" t="str">
        <x:v>Depressed affect directly expressed or instrument-endorsed in a climate context; the candidate is interpreted in its documented anchor and voice context.</x:v>
      </x:c>
      <x:c r="M168" s="31" t="str">
        <x:v>The candidate's affective or evaluative sense as used by the documented speaker/instrument/research voice at the anchor.</x:v>
      </x:c>
      <x:c r="N168" s="31" t="str">
        <x:v>Depressed affect directly expressed or instrument-endorsed in a climate context; the candidate is interpreted in its documented anchor and voice context.</x:v>
      </x:c>
      <x:c r="O168" s="31" t="str">
        <x:v>STRONG</x:v>
      </x:c>
      <x:c r="P168" s="19" t="str">
        <x:v>NOT_LOCATED</x:v>
      </x:c>
      <x:c r="Q168" s="31" t="str">
        <x:v>The surface form may realize multiple senses; candidate meaning remains anchored to the report-visible source context.</x:v>
      </x:c>
      <x:c r="R168" s="31" t="str">
        <x:v>https://websters1913.timcieplowski.com/word/depressed/; https://api.dictionaryapi.dev/api/v2/entries/en/depressed</x:v>
      </x:c>
      <x:c r="S168" s="43" t="str">
        <x:v>2026-08-26</x:v>
      </x:c>
      <x:c r="T168" s="46" t="str">
        <x:v>RECONSTRUCTED_FROM_REPORT; Fear of Temperature_ Stratified Lexical Expansion, Voice Mapping, and Semantic-Relational Pre-Valida.pdf; p.12; project candidate FT-SEED-R1B-P-2022-14; original visible ID not available</x:v>
      </x:c>
    </x:row>
    <x:row r="169" ht="38" customHeight="1">
      <x:c r="A169" s="25" t="str">
        <x:v>FT-SEED-R1B-P-2022-15</x:v>
      </x:c>
      <x:c r="B169" s="19" t="str">
        <x:v>2022</x:v>
      </x:c>
      <x:c r="C169" s="28" t="n">
        <x:v>15</x:v>
      </x:c>
      <x:c r="D169" s="31" t="str">
        <x:v>symptoms of anxiety</x:v>
      </x:c>
      <x:c r="E169" s="31" t="str">
        <x:v>anxiety symptom measure</x:v>
      </x:c>
      <x:c r="F169" s="19" t="str">
        <x:v>anxiety</x:v>
      </x:c>
      <x:c r="G169" s="31" t="str">
        <x:v>NO_STANDALONE_HEADWORD</x:v>
      </x:c>
      <x:c r="H169" s="19" t="str">
        <x:v>NO</x:v>
      </x:c>
      <x:c r="I169" s="19" t="str">
        <x:v>Component lexical analysis plus anchor-source contextual meaning</x:v>
      </x:c>
      <x:c r="J169" s="19" t="str">
        <x:v>Component headword checked: anxiety.</x:v>
      </x:c>
      <x:c r="K169" s="19" t="str">
        <x:v>Anchor-period research source/context; Webster 1913 stable component URL recorded but automated page retrieval was unavailable</x:v>
      </x:c>
      <x:c r="L169" s="31" t="str">
        <x:v>Anxiety operationalised as a symptom or health measure; the candidate is interpreted in its documented anchor and voice context.</x:v>
      </x:c>
      <x:c r="M169" s="31" t="str">
        <x:v>The candidate's affective or evaluative sense as used by the documented speaker/instrument/research voice at the anchor.</x:v>
      </x:c>
      <x:c r="N169" s="31" t="str">
        <x:v>Anxiety operationalised as a symptom or health measure; the candidate is interpreted in its documented anchor and voice context.</x:v>
      </x:c>
      <x:c r="O169" s="31" t="str">
        <x:v>STRONG</x:v>
      </x:c>
      <x:c r="P169" s="19" t="str">
        <x:v>NOT_LOCATED</x:v>
      </x:c>
      <x:c r="Q169" s="31" t="str">
        <x:v>The surface form may realize multiple senses; candidate meaning remains anchored to the report-visible source context.</x:v>
      </x:c>
      <x:c r="R169" s="31" t="str">
        <x:v>Fear of Temperature_ Stratified Lexical Expansion, Voice Mapping, and Semantic-Relational Pre-Valida.pdf#page=12; https://api.dictionaryapi.dev/api/v2/entries/en/symptoms%20of%20anxiety; https://websters1913.timcieplowski.com/word/anxiety/</x:v>
      </x:c>
      <x:c r="S169" s="43" t="str">
        <x:v>2026-08-26</x:v>
      </x:c>
      <x:c r="T169" s="46" t="str">
        <x:v>RECONSTRUCTED_FROM_REPORT; Fear of Temperature_ Stratified Lexical Expansion, Voice Mapping, and Semantic-Relational Pre-Valida.pdf; p.12; project candidate FT-SEED-R1B-P-2022-15; original visible ID not available</x:v>
      </x:c>
    </x:row>
    <x:row r="170" ht="38" customHeight="1">
      <x:c r="A170" s="25" t="str">
        <x:v>FT-SEED-R1B-P-2022-16</x:v>
      </x:c>
      <x:c r="B170" s="19" t="str">
        <x:v>2022</x:v>
      </x:c>
      <x:c r="C170" s="28" t="n">
        <x:v>16</x:v>
      </x:c>
      <x:c r="D170" s="31" t="str">
        <x:v>climate anxiety</x:v>
      </x:c>
      <x:c r="E170" s="31" t="str">
        <x:v>climate anxiety research construct</x:v>
      </x:c>
      <x:c r="F170" s="19" t="str">
        <x:v>anxiety</x:v>
      </x:c>
      <x:c r="G170" s="31" t="str">
        <x:v>TECHNICAL_GLOSSARY</x:v>
      </x:c>
      <x:c r="H170" s="19" t="str">
        <x:v>NO</x:v>
      </x:c>
      <x:c r="I170" s="19" t="str">
        <x:v>American Psychological Association / ecoAmerica mental-health terminology</x:v>
      </x:c>
      <x:c r="J170" s="19" t="str">
        <x:v>Component headword checked: anxiety.</x:v>
      </x:c>
      <x:c r="K170" s="19" t="str">
        <x:v>Anchor-period research source/context; Webster 1913 stable component URL recorded but automated page retrieval was unavailable</x:v>
      </x:c>
      <x:c r="L170" s="31" t="str">
        <x:v>An apprehensive or distress-related response associated with climate change; in the 2022 evidence it is primarily a research construct unless participant self-use is separately shown.</x:v>
      </x:c>
      <x:c r="M170" s="31" t="str">
        <x:v>A 2022 research construct for anxiety or distress related to climate change; lay self-labelling requires independent source evidence.</x:v>
      </x:c>
      <x:c r="N170" s="31" t="str">
        <x:v>Current usage can refer to climate-related apprehension or distress, but researcher construct, instrument wording and participant self-description remain distinct evidence states.</x:v>
      </x:c>
      <x:c r="O170" s="31" t="str">
        <x:v>PARTIAL</x:v>
      </x:c>
      <x:c r="P170" s="19" t="str">
        <x:v>NOT_LOCATED</x:v>
      </x:c>
      <x:c r="Q170" s="31" t="str">
        <x:v>Researcher-coded construct, instrument wording, symptoms, and participant self-use must remain distinct.</x:v>
      </x:c>
      <x:c r="R170" s="31" t="str">
        <x:v>https://www.apa.org/news/press/releases/2021/11/mental-health-effects-climate-change; https://api.dictionaryapi.dev/api/v2/entries/en/climate%20anxiety; https://websters1913.timcieplowski.com/word/anxiety/</x:v>
      </x:c>
      <x:c r="S170" s="43" t="str">
        <x:v>2026-08-26</x:v>
      </x:c>
      <x:c r="T170" s="46" t="str">
        <x:v>RECONSTRUCTED_FROM_REPORT; Fear of Temperature_ Stratified Lexical Expansion, Voice Mapping, and Semantic-Relational Pre-Valida.pdf; p.12; project candidate FT-SEED-R1B-P-2022-16; original visible ID not available</x:v>
      </x:c>
    </x:row>
    <x:row r="171" ht="38" customHeight="1">
      <x:c r="A171" s="25" t="str">
        <x:v>FT-SEED-R1B-P-2022-17</x:v>
      </x:c>
      <x:c r="B171" s="19" t="str">
        <x:v>2022</x:v>
      </x:c>
      <x:c r="C171" s="28" t="n">
        <x:v>17</x:v>
      </x:c>
      <x:c r="D171" s="31" t="str">
        <x:v>eco-anxiety</x:v>
      </x:c>
      <x:c r="E171" s="31" t="str">
        <x:v>eco-anxiety research construct</x:v>
      </x:c>
      <x:c r="F171" s="19" t="str">
        <x:v>anxiety</x:v>
      </x:c>
      <x:c r="G171" s="31" t="str">
        <x:v>TECHNICAL_GLOSSARY</x:v>
      </x:c>
      <x:c r="H171" s="19" t="str">
        <x:v>NO</x:v>
      </x:c>
      <x:c r="I171" s="19" t="str">
        <x:v>American Psychological Association / ecoAmerica mental-health terminology</x:v>
      </x:c>
      <x:c r="J171" s="19" t="str">
        <x:v>Component headword checked: eco-anxiety.</x:v>
      </x:c>
      <x:c r="K171" s="19" t="str">
        <x:v>Anchor-period research source/context; Webster 1913 stable component URL recorded but automated page retrieval was unavailable</x:v>
      </x:c>
      <x:c r="L171" s="31" t="str">
        <x:v>Persistent worry or distress associated with environmental and ecological threats; provenance is required to distinguish clinical/research labelling from self-description.</x:v>
      </x:c>
      <x:c r="M171" s="31" t="str">
        <x:v>The candidate's affective or evaluative sense as used by the documented speaker/instrument/research voice at the anchor.</x:v>
      </x:c>
      <x:c r="N171" s="31" t="str">
        <x:v>Persistent worry or distress associated with environmental and ecological threats; provenance is required to distinguish clinical/research labelling from self-description.</x:v>
      </x:c>
      <x:c r="O171" s="31" t="str">
        <x:v>STRONG</x:v>
      </x:c>
      <x:c r="P171" s="19" t="str">
        <x:v>NOT_LOCATED</x:v>
      </x:c>
      <x:c r="Q171" s="31" t="str">
        <x:v>The surface form may realize multiple senses; candidate meaning remains anchored to the report-visible source context.</x:v>
      </x:c>
      <x:c r="R171" s="31" t="str">
        <x:v>https://www.apa.org/news/press/releases/2021/11/mental-health-effects-climate-change; https://api.dictionaryapi.dev/api/v2/entries/en/eco-anxiety; https://websters1913.timcieplowski.com/word/eco-anxiety/</x:v>
      </x:c>
      <x:c r="S171" s="43" t="str">
        <x:v>2026-08-26</x:v>
      </x:c>
      <x:c r="T171" s="46" t="str">
        <x:v>RECONSTRUCTED_FROM_REPORT; Fear of Temperature_ Stratified Lexical Expansion, Voice Mapping, and Semantic-Relational Pre-Valida.pdf; p.12; project candidate FT-SEED-R1B-P-2022-17; original visible ID not available</x:v>
      </x:c>
    </x:row>
    <x:row r="172" ht="38" customHeight="1">
      <x:c r="A172" s="25" t="str">
        <x:v>FT-SEED-R1B-P-2022-18</x:v>
      </x:c>
      <x:c r="B172" s="19" t="str">
        <x:v>2022</x:v>
      </x:c>
      <x:c r="C172" s="28" t="n">
        <x:v>18</x:v>
      </x:c>
      <x:c r="D172" s="31" t="str">
        <x:v>psychological distress</x:v>
      </x:c>
      <x:c r="E172" s="31" t="str">
        <x:v>psychological distress</x:v>
      </x:c>
      <x:c r="F172" s="19" t="str">
        <x:v>distress_depression</x:v>
      </x:c>
      <x:c r="G172" s="31" t="str">
        <x:v>TECHNICAL_GLOSSARY</x:v>
      </x:c>
      <x:c r="H172" s="19" t="str">
        <x:v>NO</x:v>
      </x:c>
      <x:c r="I172" s="19" t="str">
        <x:v>World Health Organization mental-health terminology</x:v>
      </x:c>
      <x:c r="J172" s="19" t="str">
        <x:v>Component headword checked: distress.</x:v>
      </x:c>
      <x:c r="K172" s="19" t="str">
        <x:v>Anchor-period research source/context; Webster 1913 stable component URL recorded but automated page retrieval was unavailable</x:v>
      </x:c>
      <x:c r="L172" s="31" t="str">
        <x:v>Modern psychological distress as a research, health, or participant category; the candidate is interpreted in its documented anchor and voice context.</x:v>
      </x:c>
      <x:c r="M172" s="31" t="str">
        <x:v>The candidate's affective or evaluative sense as used by the documented speaker/instrument/research voice at the anchor.</x:v>
      </x:c>
      <x:c r="N172" s="31" t="str">
        <x:v>Modern psychological distress as a research, health, or participant category; the candidate is interpreted in its documented anchor and voice context.</x:v>
      </x:c>
      <x:c r="O172" s="31" t="str">
        <x:v>STRONG</x:v>
      </x:c>
      <x:c r="P172" s="19" t="str">
        <x:v>NOT_LOCATED</x:v>
      </x:c>
      <x:c r="Q172" s="31" t="str">
        <x:v>The surface form may realize multiple senses; candidate meaning remains anchored to the report-visible source context.</x:v>
      </x:c>
      <x:c r="R172" s="31" t="str">
        <x:v>https://www.who.int/news-room/fact-sheets/detail/climate-change-and-health; https://api.dictionaryapi.dev/api/v2/entries/en/psychological%20distress; https://websters1913.timcieplowski.com/word/distress/</x:v>
      </x:c>
      <x:c r="S172" s="43" t="str">
        <x:v>2026-08-26</x:v>
      </x:c>
      <x:c r="T172" s="46" t="str">
        <x:v>RECONSTRUCTED_FROM_REPORT; Fear of Temperature_ Stratified Lexical Expansion, Voice Mapping, and Semantic-Relational Pre-Valida.pdf; p.12; project candidate FT-SEED-R1B-P-2022-18; original visible ID not available</x:v>
      </x:c>
    </x:row>
    <x:row r="173" ht="38" customHeight="1">
      <x:c r="A173" s="25" t="str">
        <x:v>FT-SEED-R1B-P-2022-19</x:v>
      </x:c>
      <x:c r="B173" s="19" t="str">
        <x:v>2022</x:v>
      </x:c>
      <x:c r="C173" s="28" t="n">
        <x:v>19</x:v>
      </x:c>
      <x:c r="D173" s="31" t="str">
        <x:v>distress</x:v>
      </x:c>
      <x:c r="E173" s="31" t="str">
        <x:v>psychological distress</x:v>
      </x:c>
      <x:c r="F173" s="19" t="str">
        <x:v>distress_depression</x:v>
      </x:c>
      <x:c r="G173" s="31" t="str">
        <x:v>DIRECT_HEADWORD</x:v>
      </x:c>
      <x:c r="H173" s="19" t="str">
        <x:v>YES</x:v>
      </x:c>
      <x:c r="I173" s="19" t="str">
        <x:v>Webster's Revised Unabridged Dictionary (1913 public-domain headword index)</x:v>
      </x:c>
      <x:c r="J173" s="19" t="str">
        <x:v>Component headword checked: distress.</x:v>
      </x:c>
      <x:c r="K173" s="19" t="str">
        <x:v>Anchor-period research source/context; Webster 1913 stable component URL recorded but automated page retrieval was unavailable</x:v>
      </x:c>
      <x:c r="L173" s="31" t="str">
        <x:v>Modern psychological distress as a research, health, or participant category; the candidate is interpreted in its documented anchor and voice context.</x:v>
      </x:c>
      <x:c r="M173" s="31" t="str">
        <x:v>The candidate's affective or evaluative sense as used by the documented speaker/instrument/research voice at the anchor.</x:v>
      </x:c>
      <x:c r="N173" s="31" t="str">
        <x:v>Modern psychological distress as a research, health, or participant category; the candidate is interpreted in its documented anchor and voice context.</x:v>
      </x:c>
      <x:c r="O173" s="31" t="str">
        <x:v>STRONG</x:v>
      </x:c>
      <x:c r="P173" s="19" t="str">
        <x:v>NOT_LOCATED</x:v>
      </x:c>
      <x:c r="Q173" s="31" t="str">
        <x:v>The surface form may realize multiple senses; candidate meaning remains anchored to the report-visible source context.</x:v>
      </x:c>
      <x:c r="R173" s="31" t="str">
        <x:v>https://websters1913.timcieplowski.com/word/distress/; https://api.dictionaryapi.dev/api/v2/entries/en/distress</x:v>
      </x:c>
      <x:c r="S173" s="43" t="str">
        <x:v>2026-08-26</x:v>
      </x:c>
      <x:c r="T173" s="46" t="str">
        <x:v>RECONSTRUCTED_FROM_REPORT; Fear of Temperature_ Stratified Lexical Expansion, Voice Mapping, and Semantic-Relational Pre-Valida.pdf; p.13; project candidate FT-SEED-R1B-P-2022-19; original visible ID not available</x:v>
      </x:c>
    </x:row>
    <x:row r="174" ht="38" customHeight="1">
      <x:c r="A174" s="25" t="str">
        <x:v>FT-SEED-R1B-P-2022-20</x:v>
      </x:c>
      <x:c r="B174" s="19" t="str">
        <x:v>2022</x:v>
      </x:c>
      <x:c r="C174" s="28" t="n">
        <x:v>20</x:v>
      </x:c>
      <x:c r="D174" s="31" t="str">
        <x:v>powerlessness</x:v>
      </x:c>
      <x:c r="E174" s="31" t="str">
        <x:v>depressed affect</x:v>
      </x:c>
      <x:c r="F174" s="19" t="str">
        <x:v>distress_depression</x:v>
      </x:c>
      <x:c r="G174" s="31" t="str">
        <x:v>DIRECT_HEADWORD</x:v>
      </x:c>
      <x:c r="H174" s="19" t="str">
        <x:v>YES</x:v>
      </x:c>
      <x:c r="I174" s="19" t="str">
        <x:v>Webster's Revised Unabridged Dictionary (1913 public-domain headword index)</x:v>
      </x:c>
      <x:c r="J174" s="19" t="str">
        <x:v>Component headword checked: powerlessness.</x:v>
      </x:c>
      <x:c r="K174" s="19" t="str">
        <x:v>Anchor-period research source/context; Webster 1913 stable component URL recorded but automated page retrieval was unavailable</x:v>
      </x:c>
      <x:c r="L174" s="31" t="str">
        <x:v>Depressed affect directly expressed or instrument-endorsed in a climate context; the candidate is interpreted in its documented anchor and voice context.</x:v>
      </x:c>
      <x:c r="M174" s="31" t="str">
        <x:v>The candidate's affective or evaluative sense as used by the documented speaker/instrument/research voice at the anchor.</x:v>
      </x:c>
      <x:c r="N174" s="31" t="str">
        <x:v>Depressed affect directly expressed or instrument-endorsed in a climate context; the candidate is interpreted in its documented anchor and voice context.</x:v>
      </x:c>
      <x:c r="O174" s="31" t="str">
        <x:v>STRONG</x:v>
      </x:c>
      <x:c r="P174" s="19" t="str">
        <x:v>NOT_LOCATED</x:v>
      </x:c>
      <x:c r="Q174" s="31" t="str">
        <x:v>The surface form may realize multiple senses; candidate meaning remains anchored to the report-visible source context.</x:v>
      </x:c>
      <x:c r="R174" s="31" t="str">
        <x:v>https://websters1913.timcieplowski.com/word/powerlessness/; https://api.dictionaryapi.dev/api/v2/entries/en/powerlessness</x:v>
      </x:c>
      <x:c r="S174" s="43" t="str">
        <x:v>2026-08-26</x:v>
      </x:c>
      <x:c r="T174" s="46" t="str">
        <x:v>RECONSTRUCTED_FROM_REPORT; Fear of Temperature_ Stratified Lexical Expansion, Voice Mapping, and Semantic-Relational Pre-Valida.pdf; p.13; project candidate FT-SEED-R1B-P-2022-20; original visible ID not available</x:v>
      </x:c>
    </x:row>
    <x:row r="175" ht="38" customHeight="1">
      <x:c r="A175" s="25" t="str">
        <x:v>FT-SEED-R1B-P-2022-21</x:v>
      </x:c>
      <x:c r="B175" s="19" t="str">
        <x:v>2022</x:v>
      </x:c>
      <x:c r="C175" s="28" t="n">
        <x:v>21</x:v>
      </x:c>
      <x:c r="D175" s="31" t="str">
        <x:v>guilt</x:v>
      </x:c>
      <x:c r="E175" s="31" t="str">
        <x:v>depressed affect</x:v>
      </x:c>
      <x:c r="F175" s="19" t="str">
        <x:v>distress_depression</x:v>
      </x:c>
      <x:c r="G175" s="31" t="str">
        <x:v>DIRECT_HEADWORD</x:v>
      </x:c>
      <x:c r="H175" s="19" t="str">
        <x:v>YES</x:v>
      </x:c>
      <x:c r="I175" s="19" t="str">
        <x:v>Webster's Revised Unabridged Dictionary (1913 public-domain headword index)</x:v>
      </x:c>
      <x:c r="J175" s="19" t="str">
        <x:v>Component headword checked: guilt.</x:v>
      </x:c>
      <x:c r="K175" s="19" t="str">
        <x:v>Anchor-period research source/context; Webster 1913 stable component URL recorded but automated page retrieval was unavailable</x:v>
      </x:c>
      <x:c r="L175" s="31" t="str">
        <x:v>Depressed affect directly expressed or instrument-endorsed in a climate context; the candidate is interpreted in its documented anchor and voice context.</x:v>
      </x:c>
      <x:c r="M175" s="31" t="str">
        <x:v>The candidate's affective or evaluative sense as used by the documented speaker/instrument/research voice at the anchor.</x:v>
      </x:c>
      <x:c r="N175" s="31" t="str">
        <x:v>Depressed affect directly expressed or instrument-endorsed in a climate context; the candidate is interpreted in its documented anchor and voice context.</x:v>
      </x:c>
      <x:c r="O175" s="31" t="str">
        <x:v>STRONG</x:v>
      </x:c>
      <x:c r="P175" s="19" t="str">
        <x:v>NOT_LOCATED</x:v>
      </x:c>
      <x:c r="Q175" s="31" t="str">
        <x:v>The surface form may realize multiple senses; candidate meaning remains anchored to the report-visible source context.</x:v>
      </x:c>
      <x:c r="R175" s="31" t="str">
        <x:v>https://websters1913.timcieplowski.com/word/guilt/; https://api.dictionaryapi.dev/api/v2/entries/en/guilt</x:v>
      </x:c>
      <x:c r="S175" s="43" t="str">
        <x:v>2026-08-26</x:v>
      </x:c>
      <x:c r="T175" s="46" t="str">
        <x:v>RECONSTRUCTED_FROM_REPORT; Fear of Temperature_ Stratified Lexical Expansion, Voice Mapping, and Semantic-Relational Pre-Valida.pdf; p.12; project candidate FT-SEED-R1B-P-2022-21; original visible ID not available</x:v>
      </x:c>
    </x:row>
    <x:row r="176" ht="38" customHeight="1">
      <x:c r="A176" s="25" t="str">
        <x:v>FT-SEED-R1B-P-2022-22</x:v>
      </x:c>
      <x:c r="B176" s="19" t="str">
        <x:v>2022</x:v>
      </x:c>
      <x:c r="C176" s="28" t="n">
        <x:v>22</x:v>
      </x:c>
      <x:c r="D176" s="31" t="str">
        <x:v>heatwaves</x:v>
      </x:c>
      <x:c r="E176" s="31" t="str">
        <x:v>heatwave / weather event</x:v>
      </x:c>
      <x:c r="F176" s="19" t="str">
        <x:v>heat</x:v>
      </x:c>
      <x:c r="G176" s="31" t="str">
        <x:v>DIRECT_HEADWORD</x:v>
      </x:c>
      <x:c r="H176" s="19" t="str">
        <x:v>YES</x:v>
      </x:c>
      <x:c r="I176" s="19" t="str">
        <x:v>Webster's Revised Unabridged Dictionary (1913 public-domain headword index)</x:v>
      </x:c>
      <x:c r="J176" s="19" t="str">
        <x:v>Component headword checked: heatwaves.</x:v>
      </x:c>
      <x:c r="K176" s="19" t="str">
        <x:v>Anchor-period research source/context; Webster 1913 stable component URL recorded but automated page retrieval was unavailable</x:v>
      </x:c>
      <x:c r="L176" s="31" t="str">
        <x:v>A bounded hot-weather or heatwave event; the candidate is interpreted in its documented anchor and voice context.</x:v>
      </x:c>
      <x:c r="M176" s="31" t="str">
        <x:v>A physical temperature, warming, heat, or measurement sense in the documented anchor context.</x:v>
      </x:c>
      <x:c r="N176" s="31" t="str">
        <x:v>A bounded hot-weather or heatwave event; the candidate is interpreted in its documented anchor and voice context.</x:v>
      </x:c>
      <x:c r="O176" s="31" t="str">
        <x:v>STRONG</x:v>
      </x:c>
      <x:c r="P176" s="19" t="str">
        <x:v>NOT_LOCATED</x:v>
      </x:c>
      <x:c r="Q176" s="31" t="str">
        <x:v>The surface form may realize multiple senses; candidate meaning remains anchored to the report-visible source context.</x:v>
      </x:c>
      <x:c r="R176" s="31" t="str">
        <x:v>https://websters1913.timcieplowski.com/word/heatwaves/; https://api.dictionaryapi.dev/api/v2/entries/en/heatwaves</x:v>
      </x:c>
      <x:c r="S176" s="43" t="str">
        <x:v>2026-08-26</x:v>
      </x:c>
      <x:c r="T176" s="46" t="str">
        <x:v>RECONSTRUCTED_FROM_REPORT; Fear of Temperature_ Stratified Lexical Expansion, Voice Mapping, and Semantic-Relational Pre-Valida.pdf; p.12; project candidate FT-SEED-R1B-P-2022-22; original visible ID not available</x:v>
      </x:c>
    </x:row>
    <x:row r="177" ht="38" customHeight="1">
      <x:c r="A177" s="25" t="str">
        <x:v>FT-SEED-R1B-P-2022-23</x:v>
      </x:c>
      <x:c r="B177" s="19" t="str">
        <x:v>2022</x:v>
      </x:c>
      <x:c r="C177" s="28" t="n">
        <x:v>23</x:v>
      </x:c>
      <x:c r="D177" s="31" t="str">
        <x:v>heat-related mortality</x:v>
      </x:c>
      <x:c r="E177" s="31" t="str">
        <x:v>extreme-heat hazard</x:v>
      </x:c>
      <x:c r="F177" s="19" t="str">
        <x:v>heat</x:v>
      </x:c>
      <x:c r="G177" s="31" t="str">
        <x:v>TECHNICAL_GLOSSARY</x:v>
      </x:c>
      <x:c r="H177" s="19" t="str">
        <x:v>NO</x:v>
      </x:c>
      <x:c r="I177" s="19" t="str">
        <x:v>IPCC climate-science glossary / assessment terminology</x:v>
      </x:c>
      <x:c r="J177" s="19" t="str">
        <x:v>Component headword checked: mortality.</x:v>
      </x:c>
      <x:c r="K177" s="19" t="str">
        <x:v>Anchor-period research source/context; Webster 1913 stable component URL recorded but automated page retrieval was unavailable</x:v>
      </x:c>
      <x:c r="L177" s="31" t="str">
        <x:v>Deaths attributable to, or materially associated with, exposure to high ambient temperatures.</x:v>
      </x:c>
      <x:c r="M177" s="31" t="str">
        <x:v>A threat, risk, harm, severity, or consequence sense in the documented source; it is not automatically an emotion.</x:v>
      </x:c>
      <x:c r="N177" s="31" t="str">
        <x:v>Deaths attributable to, or materially associated with, exposure to high ambient temperatures.</x:v>
      </x:c>
      <x:c r="O177" s="31" t="str">
        <x:v>STRONG</x:v>
      </x:c>
      <x:c r="P177" s="19" t="str">
        <x:v>NOT_LOCATED</x:v>
      </x:c>
      <x:c r="Q177" s="31" t="str">
        <x:v>The surface form may realize multiple senses; candidate meaning remains anchored to the report-visible source context.</x:v>
      </x:c>
      <x:c r="R177" s="31" t="str">
        <x:v>https://www.ipcc.ch/site/assets/uploads/2018/02/WGIIAR5-AnnexII_FINAL.pdf; https://api.dictionaryapi.dev/api/v2/entries/en/heat-related%20mortality; https://websters1913.timcieplowski.com/word/mortality/</x:v>
      </x:c>
      <x:c r="S177" s="43" t="str">
        <x:v>2026-08-26</x:v>
      </x:c>
      <x:c r="T177" s="46" t="str">
        <x:v>RECONSTRUCTED_FROM_REPORT; Fear of Temperature_ Stratified Lexical Expansion, Voice Mapping, and Semantic-Relational Pre-Valida.pdf; p.12; project candidate FT-SEED-R1B-P-2022-23; original visible ID not available</x:v>
      </x:c>
    </x:row>
    <x:row r="178" ht="38" customHeight="1">
      <x:c r="A178" s="25" t="str">
        <x:v>FT-SEED-R1B-P-2022-24</x:v>
      </x:c>
      <x:c r="B178" s="19" t="str">
        <x:v>2022</x:v>
      </x:c>
      <x:c r="C178" s="28" t="n">
        <x:v>24</x:v>
      </x:c>
      <x:c r="D178" s="31" t="str">
        <x:v>mental health challenges</x:v>
      </x:c>
      <x:c r="E178" s="31" t="str">
        <x:v>generic damage</x:v>
      </x:c>
      <x:c r="F178" s="19" t="str">
        <x:v>harm_loss_consequences</x:v>
      </x:c>
      <x:c r="G178" s="31" t="str">
        <x:v>NO_STANDALONE_HEADWORD</x:v>
      </x:c>
      <x:c r="H178" s="19" t="str">
        <x:v>NO</x:v>
      </x:c>
      <x:c r="I178" s="19" t="str">
        <x:v>Component lexical analysis plus anchor-source contextual meaning</x:v>
      </x:c>
      <x:c r="J178" s="19" t="str">
        <x:v>Component headword checked: challenges.</x:v>
      </x:c>
      <x:c r="K178" s="19" t="str">
        <x:v>Anchor-period research source/context; Webster 1913 stable component URL recorded but automated page retrieval was unavailable</x:v>
      </x:c>
      <x:c r="L178" s="31" t="str">
        <x:v>Generic material, ecological, or social damage; the candidate is interpreted in its documented anchor and voice context.</x:v>
      </x:c>
      <x:c r="M178" s="31" t="str">
        <x:v>A threat, risk, harm, severity, or consequence sense in the documented source; it is not automatically an emotion.</x:v>
      </x:c>
      <x:c r="N178" s="31" t="str">
        <x:v>Generic material, ecological, or social damage; the candidate is interpreted in its documented anchor and voice context.</x:v>
      </x:c>
      <x:c r="O178" s="31" t="str">
        <x:v>STRONG</x:v>
      </x:c>
      <x:c r="P178" s="19" t="str">
        <x:v>NOT_LOCATED</x:v>
      </x:c>
      <x:c r="Q178" s="31" t="str">
        <x:v>The surface form may realize multiple senses; candidate meaning remains anchored to the report-visible source context.</x:v>
      </x:c>
      <x:c r="R178" s="31" t="str">
        <x:v>Fear of Temperature_ Stratified Lexical Expansion, Voice Mapping, and Semantic-Relational Pre-Valida.pdf#page=12; https://api.dictionaryapi.dev/api/v2/entries/en/mental%20health%20challenges; https://websters1913.timcieplowski.com/word/challenges/</x:v>
      </x:c>
      <x:c r="S178" s="43" t="str">
        <x:v>2026-08-26</x:v>
      </x:c>
      <x:c r="T178" s="46" t="str">
        <x:v>RECONSTRUCTED_FROM_REPORT; Fear of Temperature_ Stratified Lexical Expansion, Voice Mapping, and Semantic-Relational Pre-Valida.pdf; p.12; project candidate FT-SEED-R1B-P-2022-24; original visible ID not available</x:v>
      </x:c>
    </x:row>
    <x:row r="179" ht="38" customHeight="1">
      <x:c r="A179" s="25" t="str">
        <x:v>FT-SEED-R1B-P-2022-25</x:v>
      </x:c>
      <x:c r="B179" s="19" t="str">
        <x:v>2022</x:v>
      </x:c>
      <x:c r="C179" s="28" t="n">
        <x:v>25</x:v>
      </x:c>
      <x:c r="D179" s="31" t="str">
        <x:v>anxiety and stress</x:v>
      </x:c>
      <x:c r="E179" s="31" t="str">
        <x:v>anxiety symptom measure</x:v>
      </x:c>
      <x:c r="F179" s="19" t="str">
        <x:v>anxiety</x:v>
      </x:c>
      <x:c r="G179" s="31" t="str">
        <x:v>NO_STANDALONE_HEADWORD</x:v>
      </x:c>
      <x:c r="H179" s="19" t="str">
        <x:v>NO</x:v>
      </x:c>
      <x:c r="I179" s="19" t="str">
        <x:v>Component lexical analysis plus anchor-source contextual meaning</x:v>
      </x:c>
      <x:c r="J179" s="19" t="str">
        <x:v>Component headword checked: stress.</x:v>
      </x:c>
      <x:c r="K179" s="19" t="str">
        <x:v>Anchor-period research source/context; Webster 1913 stable component URL recorded but automated page retrieval was unavailable</x:v>
      </x:c>
      <x:c r="L179" s="31" t="str">
        <x:v>Anxiety operationalised as a symptom or health measure; the candidate is interpreted in its documented anchor and voice context.</x:v>
      </x:c>
      <x:c r="M179" s="31" t="str">
        <x:v>The candidate's affective or evaluative sense as used by the documented speaker/instrument/research voice at the anchor.</x:v>
      </x:c>
      <x:c r="N179" s="31" t="str">
        <x:v>Anxiety operationalised as a symptom or health measure; the candidate is interpreted in its documented anchor and voice context.</x:v>
      </x:c>
      <x:c r="O179" s="31" t="str">
        <x:v>STRONG</x:v>
      </x:c>
      <x:c r="P179" s="19" t="str">
        <x:v>NOT_LOCATED</x:v>
      </x:c>
      <x:c r="Q179" s="31" t="str">
        <x:v>The surface form may realize multiple senses; candidate meaning remains anchored to the report-visible source context.</x:v>
      </x:c>
      <x:c r="R179" s="31" t="str">
        <x:v>Fear of Temperature_ Stratified Lexical Expansion, Voice Mapping, and Semantic-Relational Pre-Valida.pdf#page=12; https://api.dictionaryapi.dev/api/v2/entries/en/anxiety%20and%20stress; https://websters1913.timcieplowski.com/word/stress/</x:v>
      </x:c>
      <x:c r="S179" s="43" t="str">
        <x:v>2026-08-26</x:v>
      </x:c>
      <x:c r="T179" s="46" t="str">
        <x:v>RECONSTRUCTED_FROM_REPORT; Fear of Temperature_ Stratified Lexical Expansion, Voice Mapping, and Semantic-Relational Pre-Valida.pdf; p.12; project candidate FT-SEED-R1B-P-2022-25; original visible ID not available</x:v>
      </x:c>
    </x:row>
    <x:row r="180" ht="38" customHeight="1">
      <x:c r="A180" s="25" t="str">
        <x:v>FT-SEED-R1B-P-2022-26</x:v>
      </x:c>
      <x:c r="B180" s="19" t="str">
        <x:v>2022</x:v>
      </x:c>
      <x:c r="C180" s="28" t="n">
        <x:v>26</x:v>
      </x:c>
      <x:c r="D180" s="31" t="str">
        <x:v>ill health</x:v>
      </x:c>
      <x:c r="E180" s="31" t="str">
        <x:v>generic damage</x:v>
      </x:c>
      <x:c r="F180" s="19" t="str">
        <x:v>harm_loss_consequences</x:v>
      </x:c>
      <x:c r="G180" s="31" t="str">
        <x:v>NO_STANDALONE_HEADWORD</x:v>
      </x:c>
      <x:c r="H180" s="19" t="str">
        <x:v>NO</x:v>
      </x:c>
      <x:c r="I180" s="19" t="str">
        <x:v>Component lexical analysis plus anchor-source contextual meaning</x:v>
      </x:c>
      <x:c r="J180" s="19" t="str">
        <x:v>Component headword checked: health.</x:v>
      </x:c>
      <x:c r="K180" s="19" t="str">
        <x:v>Anchor-period research source/context; Webster 1913 stable component URL recorded but automated page retrieval was unavailable</x:v>
      </x:c>
      <x:c r="L180" s="31" t="str">
        <x:v>Generic material, ecological, or social damage; the candidate is interpreted in its documented anchor and voice context.</x:v>
      </x:c>
      <x:c r="M180" s="31" t="str">
        <x:v>A threat, risk, harm, severity, or consequence sense in the documented source; it is not automatically an emotion.</x:v>
      </x:c>
      <x:c r="N180" s="31" t="str">
        <x:v>Generic material, ecological, or social damage; the candidate is interpreted in its documented anchor and voice context.</x:v>
      </x:c>
      <x:c r="O180" s="31" t="str">
        <x:v>STRONG</x:v>
      </x:c>
      <x:c r="P180" s="19" t="str">
        <x:v>NOT_LOCATED</x:v>
      </x:c>
      <x:c r="Q180" s="31" t="str">
        <x:v>The surface form may realize multiple senses; candidate meaning remains anchored to the report-visible source context.</x:v>
      </x:c>
      <x:c r="R180" s="31" t="str">
        <x:v>Fear of Temperature_ Stratified Lexical Expansion, Voice Mapping, and Semantic-Relational Pre-Valida.pdf#page=12; https://api.dictionaryapi.dev/api/v2/entries/en/ill%20health; https://websters1913.timcieplowski.com/word/health/</x:v>
      </x:c>
      <x:c r="S180" s="43" t="str">
        <x:v>2026-08-26</x:v>
      </x:c>
      <x:c r="T180" s="46" t="str">
        <x:v>RECONSTRUCTED_FROM_REPORT; Fear of Temperature_ Stratified Lexical Expansion, Voice Mapping, and Semantic-Relational Pre-Valida.pdf; p.12; project candidate FT-SEED-R1B-P-2022-26; original visible ID not available</x:v>
      </x:c>
    </x:row>
    <x:row r="181" ht="38" customHeight="1">
      <x:c r="A181" s="25" t="str">
        <x:v>FT-SEED-R1B-P-2022-27</x:v>
      </x:c>
      <x:c r="B181" s="19" t="str">
        <x:v>2022</x:v>
      </x:c>
      <x:c r="C181" s="28" t="n">
        <x:v>27</x:v>
      </x:c>
      <x:c r="D181" s="31" t="str">
        <x:v>premature deaths</x:v>
      </x:c>
      <x:c r="E181" s="31" t="str">
        <x:v>mortality</x:v>
      </x:c>
      <x:c r="F181" s="19" t="str">
        <x:v>harm_loss_consequences</x:v>
      </x:c>
      <x:c r="G181" s="31" t="str">
        <x:v>NO_STANDALONE_HEADWORD</x:v>
      </x:c>
      <x:c r="H181" s="19" t="str">
        <x:v>NO</x:v>
      </x:c>
      <x:c r="I181" s="19" t="str">
        <x:v>Component lexical analysis plus anchor-source contextual meaning</x:v>
      </x:c>
      <x:c r="J181" s="19" t="str">
        <x:v>Component headword checked: deaths.</x:v>
      </x:c>
      <x:c r="K181" s="19" t="str">
        <x:v>Anchor-period research source/context; Webster 1913 stable component URL recorded but automated page retrieval was unavailable</x:v>
      </x:c>
      <x:c r="L181" s="31" t="str">
        <x:v>Death or mortality attributed to heat or climate consequences; the candidate is interpreted in its documented anchor and voice context.</x:v>
      </x:c>
      <x:c r="M181" s="31" t="str">
        <x:v>A threat, risk, harm, severity, or consequence sense in the documented source; it is not automatically an emotion.</x:v>
      </x:c>
      <x:c r="N181" s="31" t="str">
        <x:v>Death or mortality attributed to heat or climate consequences; the candidate is interpreted in its documented anchor and voice context.</x:v>
      </x:c>
      <x:c r="O181" s="31" t="str">
        <x:v>STRONG</x:v>
      </x:c>
      <x:c r="P181" s="19" t="str">
        <x:v>NOT_LOCATED</x:v>
      </x:c>
      <x:c r="Q181" s="31" t="str">
        <x:v>The surface form may realize multiple senses; candidate meaning remains anchored to the report-visible source context.</x:v>
      </x:c>
      <x:c r="R181" s="31" t="str">
        <x:v>Fear of Temperature_ Stratified Lexical Expansion, Voice Mapping, and Semantic-Relational Pre-Valida.pdf#page=12; https://api.dictionaryapi.dev/api/v2/entries/en/premature%20deaths; https://websters1913.timcieplowski.com/word/deaths/</x:v>
      </x:c>
      <x:c r="S181" s="43" t="str">
        <x:v>2026-08-26</x:v>
      </x:c>
      <x:c r="T181" s="46" t="str">
        <x:v>RECONSTRUCTED_FROM_REPORT; Fear of Temperature_ Stratified Lexical Expansion, Voice Mapping, and Semantic-Relational Pre-Valida.pdf; p.12; project candidate FT-SEED-R1B-P-2022-27; original visible ID not available</x:v>
      </x:c>
    </x:row>
    <x:row r="182" ht="38" customHeight="1">
      <x:c r="A182" s="25" t="str">
        <x:v>FT-SEED-R1B-P-2022-28</x:v>
      </x:c>
      <x:c r="B182" s="19" t="str">
        <x:v>2022</x:v>
      </x:c>
      <x:c r="C182" s="28" t="n">
        <x:v>28</x:v>
      </x:c>
      <x:c r="D182" s="31" t="str">
        <x:v>very serious threat</x:v>
      </x:c>
      <x:c r="E182" s="31" t="str">
        <x:v>institutional climate threat</x:v>
      </x:c>
      <x:c r="F182" s="19" t="str">
        <x:v>danger_threat</x:v>
      </x:c>
      <x:c r="G182" s="31" t="str">
        <x:v>NO_STANDALONE_HEADWORD</x:v>
      </x:c>
      <x:c r="H182" s="19" t="str">
        <x:v>NO</x:v>
      </x:c>
      <x:c r="I182" s="19" t="str">
        <x:v>Component lexical analysis plus anchor-source contextual meaning</x:v>
      </x:c>
      <x:c r="J182" s="19" t="str">
        <x:v>Component headword checked: threat.</x:v>
      </x:c>
      <x:c r="K182" s="19" t="str">
        <x:v>Anchor-period research source/context; Webster 1913 stable component URL recorded but automated page retrieval was unavailable</x:v>
      </x:c>
      <x:c r="L182" s="31" t="str">
        <x:v>Climate change framed as an institutional threat; the candidate is interpreted in its documented anchor and voice context.</x:v>
      </x:c>
      <x:c r="M182" s="31" t="str">
        <x:v>A threat, risk, harm, severity, or consequence sense in the documented source; it is not automatically an emotion.</x:v>
      </x:c>
      <x:c r="N182" s="31" t="str">
        <x:v>Climate change framed as an institutional threat; the candidate is interpreted in its documented anchor and voice context.</x:v>
      </x:c>
      <x:c r="O182" s="31" t="str">
        <x:v>STRONG</x:v>
      </x:c>
      <x:c r="P182" s="19" t="str">
        <x:v>NOT_LOCATED</x:v>
      </x:c>
      <x:c r="Q182" s="31" t="str">
        <x:v>The surface form may realize multiple senses; candidate meaning remains anchored to the report-visible source context.</x:v>
      </x:c>
      <x:c r="R182" s="31" t="str">
        <x:v>Fear of Temperature_ Stratified Lexical Expansion, Voice Mapping, and Semantic-Relational Pre-Valida.pdf#page=12; https://api.dictionaryapi.dev/api/v2/entries/en/very%20serious%20threat; https://websters1913.timcieplowski.com/word/threat/</x:v>
      </x:c>
      <x:c r="S182" s="43" t="str">
        <x:v>2026-08-26</x:v>
      </x:c>
      <x:c r="T182" s="46" t="str">
        <x:v>RECONSTRUCTED_FROM_REPORT; Fear of Temperature_ Stratified Lexical Expansion, Voice Mapping, and Semantic-Relational Pre-Valida.pdf; p.12; project candidate FT-SEED-R1B-P-2022-28; original visible ID not available</x:v>
      </x:c>
    </x:row>
    <x:row r="183" ht="38" customHeight="1">
      <x:c r="A183" s="25" t="str">
        <x:v>FT-SEED-R1B-P-2022-29</x:v>
      </x:c>
      <x:c r="B183" s="19" t="str">
        <x:v>2022</x:v>
      </x:c>
      <x:c r="C183" s="28" t="n">
        <x:v>29</x:v>
      </x:c>
      <x:c r="D183" s="31" t="str">
        <x:v>harm future generations</x:v>
      </x:c>
      <x:c r="E183" s="31" t="str">
        <x:v>future-generation harm</x:v>
      </x:c>
      <x:c r="F183" s="19" t="str">
        <x:v>harm_loss_consequences</x:v>
      </x:c>
      <x:c r="G183" s="31" t="str">
        <x:v>NO_STANDALONE_HEADWORD</x:v>
      </x:c>
      <x:c r="H183" s="19" t="str">
        <x:v>NO</x:v>
      </x:c>
      <x:c r="I183" s="19" t="str">
        <x:v>Component lexical analysis plus anchor-source contextual meaning</x:v>
      </x:c>
      <x:c r="J183" s="19" t="str">
        <x:v>Component headword checked: generations.</x:v>
      </x:c>
      <x:c r="K183" s="19" t="str">
        <x:v>Anchor-period research source/context; Webster 1913 stable component URL recorded but automated page retrieval was unavailable</x:v>
      </x:c>
      <x:c r="L183" s="31" t="str">
        <x:v>Harm or loss explicitly attributed to future generations; the candidate is interpreted in its documented anchor and voice context.</x:v>
      </x:c>
      <x:c r="M183" s="31" t="str">
        <x:v>A threat, risk, harm, severity, or consequence sense in the documented source; it is not automatically an emotion.</x:v>
      </x:c>
      <x:c r="N183" s="31" t="str">
        <x:v>Harm or loss explicitly attributed to future generations; the candidate is interpreted in its documented anchor and voice context.</x:v>
      </x:c>
      <x:c r="O183" s="31" t="str">
        <x:v>STRONG</x:v>
      </x:c>
      <x:c r="P183" s="19" t="str">
        <x:v>NOT_LOCATED</x:v>
      </x:c>
      <x:c r="Q183" s="31" t="str">
        <x:v>The surface form may realize multiple senses; candidate meaning remains anchored to the report-visible source context.</x:v>
      </x:c>
      <x:c r="R183" s="31" t="str">
        <x:v>Fear of Temperature_ Stratified Lexical Expansion, Voice Mapping, and Semantic-Relational Pre-Valida.pdf#page=13; https://api.dictionaryapi.dev/api/v2/entries/en/harm%20future%20generations; https://websters1913.timcieplowski.com/word/generations/</x:v>
      </x:c>
      <x:c r="S183" s="43" t="str">
        <x:v>2026-08-26</x:v>
      </x:c>
      <x:c r="T183" s="46" t="str">
        <x:v>RECONSTRUCTED_FROM_REPORT; Fear of Temperature_ Stratified Lexical Expansion, Voice Mapping, and Semantic-Relational Pre-Valida.pdf; p.13; project candidate FT-SEED-R1B-P-2022-29; original visible ID not available</x:v>
      </x:c>
    </x:row>
    <x:row r="184" ht="38" customHeight="1">
      <x:c r="A184" s="26" t="str">
        <x:v>FT-SEED-R1B-P-2022-30</x:v>
      </x:c>
      <x:c r="B184" s="22" t="str">
        <x:v>2022</x:v>
      </x:c>
      <x:c r="C184" s="29" t="n">
        <x:v>30</x:v>
      </x:c>
      <x:c r="D184" s="32" t="str">
        <x:v>climate crisis</x:v>
      </x:c>
      <x:c r="E184" s="32" t="str">
        <x:v>climate crisis issue label</x:v>
      </x:c>
      <x:c r="F184" s="22" t="str">
        <x:v>crisis_emergency</x:v>
      </x:c>
      <x:c r="G184" s="32" t="str">
        <x:v>TECHNICAL_GLOSSARY</x:v>
      </x:c>
      <x:c r="H184" s="22" t="str">
        <x:v>NO</x:v>
      </x:c>
      <x:c r="I184" s="22" t="str">
        <x:v>IPCC climate-science glossary / assessment terminology</x:v>
      </x:c>
      <x:c r="J184" s="22" t="str">
        <x:v>Component headword checked: crisis.</x:v>
      </x:c>
      <x:c r="K184" s="22" t="str">
        <x:v>Anchor-period research source/context; Webster 1913 stable component URL recorded but automated page retrieval was unavailable</x:v>
      </x:c>
      <x:c r="L184" s="32" t="str">
        <x:v>Climate crisis used as an established issue label; the candidate is interpreted in its documented anchor and voice context.</x:v>
      </x:c>
      <x:c r="M184" s="32" t="str">
        <x:v>A threat, risk, harm, severity, or consequence sense in the documented source; it is not automatically an emotion.</x:v>
      </x:c>
      <x:c r="N184" s="32" t="str">
        <x:v>Climate crisis used as an established issue label; the candidate is interpreted in its documented anchor and voice context.</x:v>
      </x:c>
      <x:c r="O184" s="32" t="str">
        <x:v>STRONG</x:v>
      </x:c>
      <x:c r="P184" s="22" t="str">
        <x:v>NOT_LOCATED</x:v>
      </x:c>
      <x:c r="Q184" s="32" t="str">
        <x:v>The surface form may realize multiple senses; candidate meaning remains anchored to the report-visible source context.</x:v>
      </x:c>
      <x:c r="R184" s="32" t="str">
        <x:v>https://www.ipcc.ch/site/assets/uploads/2018/02/WGIIAR5-AnnexII_FINAL.pdf; https://api.dictionaryapi.dev/api/v2/entries/en/climate%20crisis; https://websters1913.timcieplowski.com/word/crisis/</x:v>
      </x:c>
      <x:c r="S184" s="44" t="str">
        <x:v>2026-08-26</x:v>
      </x:c>
      <x:c r="T184" s="47" t="str">
        <x:v>RECONSTRUCTED_FROM_REPORT; Fear of Temperature_ Stratified Lexical Expansion, Voice Mapping, and Semantic-Relational Pre-Valida.pdf; p.13; project candidate FT-SEED-R1B-P-2022-30; original visible ID not available</x:v>
      </x:c>
    </x:row>
  </x:sheetData>
  <x:mergeCells>
    <x:mergeCell ref="A1:T1"/>
    <x:mergeCell ref="A2:T2"/>
  </x:mergeCells>
  <x:conditionalFormatting sqref="G5:G184">
    <x:cfRule type="containsText" dxfId="132" priority="1" operator="containsText" text="FULLY"/>
    <x:cfRule type="containsText" dxfId="133" priority="2" operator="containsText" text="SUCCESS"/>
    <x:cfRule type="containsText" dxfId="134" priority="3" operator="containsText" text="DIRECT_HEADWORD"/>
    <x:cfRule type="containsText" dxfId="135" priority="4" operator="containsText" text="TECHNICAL_GLOSSARY"/>
    <x:cfRule type="containsText" dxfId="136" priority="5" operator="containsText" text="ZERO"/>
    <x:cfRule type="containsText" dxfId="137" priority="6" operator="containsText" text="UNRESOLVED"/>
    <x:cfRule type="containsText" dxfId="138" priority="7" operator="containsText" text="PENDING"/>
    <x:cfRule type="containsText" dxfId="139" priority="8" operator="containsText" text="NOT_EXPOSED"/>
    <x:cfRule type="containsText" dxfId="140" priority="9" operator="containsText" text="NOT_ANNOTATED"/>
    <x:cfRule type="containsText" dxfId="141" priority="10" operator="containsText" text="NOT_LOCATED"/>
    <x:cfRule type="containsText" dxfId="142" priority="11" operator="containsText" text="NOT_APPLICABLE"/>
  </x:conditionalFormatting>
  <x:conditionalFormatting sqref="O5:O184">
    <x:cfRule type="containsText" dxfId="143" priority="12" operator="containsText" text="FULLY"/>
    <x:cfRule type="containsText" dxfId="144" priority="13" operator="containsText" text="SUCCESS"/>
    <x:cfRule type="containsText" dxfId="145" priority="14" operator="containsText" text="DIRECT_HEADWORD"/>
    <x:cfRule type="containsText" dxfId="146" priority="15" operator="containsText" text="TECHNICAL_GLOSSARY"/>
    <x:cfRule type="containsText" dxfId="147" priority="16" operator="containsText" text="ZERO"/>
    <x:cfRule type="containsText" dxfId="148" priority="17" operator="containsText" text="UNRESOLVED"/>
    <x:cfRule type="containsText" dxfId="149" priority="18" operator="containsText" text="PENDING"/>
    <x:cfRule type="containsText" dxfId="150" priority="19" operator="containsText" text="NOT_EXPOSED"/>
    <x:cfRule type="containsText" dxfId="151" priority="20" operator="containsText" text="NOT_ANNOTATED"/>
    <x:cfRule type="containsText" dxfId="152" priority="21" operator="containsText" text="NOT_LOCATED"/>
    <x:cfRule type="containsText" dxfId="153" priority="22" operator="containsText" text="NOT_APPLICABLE"/>
  </x:conditionalFormatting>
  <x:pageMargins left="0.7" right="0.7" top="0.75" bottom="0.75" header="0.3" footer="0.3"/>
  <x:tableParts count="1">
    <x:tablePart xmlns:r="http://schemas.openxmlformats.org/officeDocument/2006/relationships" r:id="Rdea873dd3f114b3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7" hidden="0" customWidth="1"/>
    <x:col min="4" max="4" width="26" hidden="0" customWidth="1"/>
    <x:col min="5" max="5" width="16" hidden="0" customWidth="1"/>
    <x:col min="6" max="6" width="17" hidden="0" customWidth="1"/>
    <x:col min="7" max="7" width="26" hidden="0" customWidth="1"/>
    <x:col min="8" max="8" width="16" hidden="0" customWidth="1"/>
    <x:col min="9" max="9" width="23" hidden="0" customWidth="1"/>
    <x:col min="10" max="10" width="17" hidden="0" customWidth="1"/>
    <x:col min="11" max="11" width="17" hidden="0" customWidth="1"/>
    <x:col min="12" max="12" width="17" hidden="0" customWidth="1"/>
    <x:col min="13" max="13" width="23" hidden="0" customWidth="1"/>
    <x:col min="14" max="14" width="21" hidden="0" customWidth="1"/>
    <x:col min="15" max="15" width="38" hidden="0" customWidth="1"/>
    <x:col min="16" max="16" width="42" hidden="0" customWidth="1"/>
    <x:col min="17" max="17" width="16" hidden="0" customWidth="1"/>
    <x:col min="18" max="18" width="16" hidden="0" customWidth="1"/>
  </x:cols>
  <x:sheetData>
    <x:row r="1" ht="38" customHeight="1">
      <x:c r="A1" s="3" t="str">
        <x:v>Bounded and Reproducible Search Coverage - 180 Candidates</x:v>
      </x:c>
      <x:c r="B1" s="3" t="str">
        <x:v>Bounded and Reproducible Search Coverage - 180 Candidates</x:v>
      </x:c>
      <x:c r="C1" s="3" t="str">
        <x:v>Bounded and Reproducible Search Coverage - 180 Candidates</x:v>
      </x:c>
      <x:c r="D1" s="3" t="str">
        <x:v>Bounded and Reproducible Search Coverage - 180 Candidates</x:v>
      </x:c>
      <x:c r="E1" s="3" t="str">
        <x:v>Bounded and Reproducible Search Coverage - 180 Candidates</x:v>
      </x:c>
      <x:c r="F1" s="3" t="str">
        <x:v>Bounded and Reproducible Search Coverage - 180 Candidates</x:v>
      </x:c>
      <x:c r="G1" s="3" t="str">
        <x:v>Bounded and Reproducible Search Coverage - 180 Candidates</x:v>
      </x:c>
      <x:c r="H1" s="3" t="str">
        <x:v>Bounded and Reproducible Search Coverage - 180 Candidates</x:v>
      </x:c>
      <x:c r="I1" s="3" t="str">
        <x:v>Bounded and Reproducible Search Coverage - 180 Candidates</x:v>
      </x:c>
      <x:c r="J1" s="3" t="str">
        <x:v>Bounded and Reproducible Search Coverage - 180 Candidates</x:v>
      </x:c>
      <x:c r="K1" s="3" t="str">
        <x:v>Bounded and Reproducible Search Coverage - 180 Candidates</x:v>
      </x:c>
      <x:c r="L1" s="3" t="str">
        <x:v>Bounded and Reproducible Search Coverage - 180 Candidates</x:v>
      </x:c>
      <x:c r="M1" s="3" t="str">
        <x:v>Bounded and Reproducible Search Coverage - 180 Candidates</x:v>
      </x:c>
      <x:c r="N1" s="3" t="str">
        <x:v>Bounded and Reproducible Search Coverage - 180 Candidates</x:v>
      </x:c>
      <x:c r="O1" s="3" t="str">
        <x:v>Bounded and Reproducible Search Coverage - 180 Candidates</x:v>
      </x:c>
      <x:c r="P1" s="3" t="str">
        <x:v>Bounded and Reproducible Search Coverage - 180 Candidates</x:v>
      </x:c>
      <x:c r="Q1" s="3" t="str">
        <x:v>Bounded and Reproducible Search Coverage - 180 Candidates</x:v>
      </x:c>
      <x:c r="R1" s="3" t="str">
        <x:v>Bounded and Reproducible Search Coverage - 180 Candidates</x:v>
      </x:c>
    </x:row>
    <x:row r="2" ht="31" customHeight="1">
      <x:c r="A2" s="7" t="str">
        <x:v>Primary metric: Internet Archive Advanced Search API numFound at retrieval time. It is a discovery-result count, not lexical prevalence. Strict/contextual counts use supported date filters; ordinary Google web estimates are excluded.</x:v>
      </x:c>
      <x:c r="B2" s="7" t="str">
        <x:v>Primary metric: Internet Archive Advanced Search API numFound at retrieval time. It is a discovery-result count, not lexical prevalence. Strict/contextual counts use supported date filters; ordinary Google web estimates are excluded.</x:v>
      </x:c>
      <x:c r="C2" s="7" t="str">
        <x:v>Primary metric: Internet Archive Advanced Search API numFound at retrieval time. It is a discovery-result count, not lexical prevalence. Strict/contextual counts use supported date filters; ordinary Google web estimates are excluded.</x:v>
      </x:c>
      <x:c r="D2" s="7" t="str">
        <x:v>Primary metric: Internet Archive Advanced Search API numFound at retrieval time. It is a discovery-result count, not lexical prevalence. Strict/contextual counts use supported date filters; ordinary Google web estimates are excluded.</x:v>
      </x:c>
      <x:c r="E2" s="7" t="str">
        <x:v>Primary metric: Internet Archive Advanced Search API numFound at retrieval time. It is a discovery-result count, not lexical prevalence. Strict/contextual counts use supported date filters; ordinary Google web estimates are excluded.</x:v>
      </x:c>
      <x:c r="F2" s="7" t="str">
        <x:v>Primary metric: Internet Archive Advanced Search API numFound at retrieval time. It is a discovery-result count, not lexical prevalence. Strict/contextual counts use supported date filters; ordinary Google web estimates are excluded.</x:v>
      </x:c>
      <x:c r="G2" s="7" t="str">
        <x:v>Primary metric: Internet Archive Advanced Search API numFound at retrieval time. It is a discovery-result count, not lexical prevalence. Strict/contextual counts use supported date filters; ordinary Google web estimates are excluded.</x:v>
      </x:c>
      <x:c r="H2" s="7" t="str">
        <x:v>Primary metric: Internet Archive Advanced Search API numFound at retrieval time. It is a discovery-result count, not lexical prevalence. Strict/contextual counts use supported date filters; ordinary Google web estimates are excluded.</x:v>
      </x:c>
      <x:c r="I2" s="7" t="str">
        <x:v>Primary metric: Internet Archive Advanced Search API numFound at retrieval time. It is a discovery-result count, not lexical prevalence. Strict/contextual counts use supported date filters; ordinary Google web estimates are excluded.</x:v>
      </x:c>
      <x:c r="J2" s="7" t="str">
        <x:v>Primary metric: Internet Archive Advanced Search API numFound at retrieval time. It is a discovery-result count, not lexical prevalence. Strict/contextual counts use supported date filters; ordinary Google web estimates are excluded.</x:v>
      </x:c>
      <x:c r="K2" s="7" t="str">
        <x:v>Primary metric: Internet Archive Advanced Search API numFound at retrieval time. It is a discovery-result count, not lexical prevalence. Strict/contextual counts use supported date filters; ordinary Google web estimates are excluded.</x:v>
      </x:c>
      <x:c r="L2" s="7" t="str">
        <x:v>Primary metric: Internet Archive Advanced Search API numFound at retrieval time. It is a discovery-result count, not lexical prevalence. Strict/contextual counts use supported date filters; ordinary Google web estimates are excluded.</x:v>
      </x:c>
      <x:c r="M2" s="7" t="str">
        <x:v>Primary metric: Internet Archive Advanced Search API numFound at retrieval time. It is a discovery-result count, not lexical prevalence. Strict/contextual counts use supported date filters; ordinary Google web estimates are excluded.</x:v>
      </x:c>
      <x:c r="N2" s="7" t="str">
        <x:v>Primary metric: Internet Archive Advanced Search API numFound at retrieval time. It is a discovery-result count, not lexical prevalence. Strict/contextual counts use supported date filters; ordinary Google web estimates are excluded.</x:v>
      </x:c>
      <x:c r="O2" s="7" t="str">
        <x:v>Primary metric: Internet Archive Advanced Search API numFound at retrieval time. It is a discovery-result count, not lexical prevalence. Strict/contextual counts use supported date filters; ordinary Google web estimates are excluded.</x:v>
      </x:c>
      <x:c r="P2" s="7" t="str">
        <x:v>Primary metric: Internet Archive Advanced Search API numFound at retrieval time. It is a discovery-result count, not lexical prevalence. Strict/contextual counts use supported date filters; ordinary Google web estimates are excluded.</x:v>
      </x:c>
      <x:c r="Q2" s="7" t="str">
        <x:v>Primary metric: Internet Archive Advanced Search API numFound at retrieval time. It is a discovery-result count, not lexical prevalence. Strict/contextual counts use supported date filters; ordinary Google web estimates are excluded.</x:v>
      </x:c>
      <x:c r="R2" s="7" t="str">
        <x:v>Primary metric: Internet Archive Advanced Search API numFound at retrieval time. It is a discovery-result count, not lexical prevalence. Strict/contextual counts use supported date filters; ordinary Google web estimates are excluded.</x:v>
      </x:c>
    </x:row>
    <x:row r="4" ht="42" customHeight="1">
      <x:c r="A4" s="14" t="str">
        <x:v>Candidate ID</x:v>
      </x:c>
      <x:c r="B4" s="14" t="str">
        <x:v>Anchor</x:v>
      </x:c>
      <x:c r="C4" s="14" t="str">
        <x:v>Rank</x:v>
      </x:c>
      <x:c r="D4" s="14" t="str">
        <x:v>Surface Form</x:v>
      </x:c>
      <x:c r="E4" s="14" t="str">
        <x:v>Search Source</x:v>
      </x:c>
      <x:c r="F4" s="14" t="str">
        <x:v>Count Meaning</x:v>
      </x:c>
      <x:c r="G4" s="14" t="str">
        <x:v>Query String</x:v>
      </x:c>
      <x:c r="H4" s="14" t="str">
        <x:v>Query Type</x:v>
      </x:c>
      <x:c r="I4" s="14" t="str">
        <x:v>Exactness</x:v>
      </x:c>
      <x:c r="J4" s="14" t="str">
        <x:v>Full-Corpus Result Count</x:v>
      </x:c>
      <x:c r="K4" s="14" t="str">
        <x:v>Strict-Window Result Count</x:v>
      </x:c>
      <x:c r="L4" s="14" t="str">
        <x:v>Contextual-Window Result Count</x:v>
      </x:c>
      <x:c r="M4" s="14" t="str">
        <x:v>Search Status</x:v>
      </x:c>
      <x:c r="N4" s="14" t="str">
        <x:v>Retrieval Timestamp</x:v>
      </x:c>
      <x:c r="O4" s="14" t="str">
        <x:v>API / Interface</x:v>
      </x:c>
      <x:c r="P4" s="14" t="str">
        <x:v>Notes</x:v>
      </x:c>
      <x:c r="Q4" s="14" t="str">
        <x:v>Secondary Source</x:v>
      </x:c>
      <x:c r="R4" s="14" t="str">
        <x:v>Secondary All-Period Count</x:v>
      </x:c>
    </x:row>
    <x:row r="5" ht="34" customHeight="1">
      <x:c r="A5" s="24" t="str">
        <x:v>FT-SEED-R1B-P-1842-01</x:v>
      </x:c>
      <x:c r="B5" s="16" t="str">
        <x:v>1842</x:v>
      </x:c>
      <x:c r="C5" s="27" t="n">
        <x:v>1</x:v>
      </x:c>
      <x:c r="D5" s="30" t="str">
        <x:v>temperature</x:v>
      </x:c>
      <x:c r="E5" s="16" t="str">
        <x:v>INTERNET_ARCHIVE_METADATA_TEXT_ITEM_COUNT</x:v>
      </x:c>
      <x:c r="F5" s="27" t="str">
        <x:v>INTERNET_ARCHIVE_ADVANCEDSEARCH_NUMFOUND</x:v>
      </x:c>
      <x:c r="G5" s="30" t="str">
        <x:v>"temperature" AND mediatype:texts</x:v>
      </x:c>
      <x:c r="H5" s="16" t="str">
        <x:v>PHRASE_METADATA_SEARCH</x:v>
      </x:c>
      <x:c r="I5" s="30" t="str">
        <x:v>EXACT_PHRASE</x:v>
      </x:c>
      <x:c r="J5" s="27" t="n">
        <x:v>193717</x:v>
      </x:c>
      <x:c r="K5" s="27" t="n">
        <x:v>6</x:v>
      </x:c>
      <x:c r="L5" s="27" t="n">
        <x:v>60</x:v>
      </x:c>
      <x:c r="M5" s="30" t="str">
        <x:v>COMPLETED_NONZERO</x:v>
      </x:c>
      <x:c r="N5" s="42" t="str">
        <x:v>2026-08-26</x:v>
      </x:c>
      <x:c r="O5" s="30" t="str">
        <x:v>https://archive.org/advancedsearch.php</x:v>
      </x:c>
      <x:c r="P5" s="30" t="str">
        <x:v>Metadata text-item count; not a full-text lexical frequency. Secondary metric: NOT_RUN_OPENALEX_DAILY_BUDGET_EXHAUSTED: shared provider response retained; no count fabricated.</x:v>
      </x:c>
      <x:c r="Q5" s="16" t="str">
        <x:v>OPENALEX_WORK_COUNT</x:v>
      </x:c>
      <x:c r="R5" s="17" t="str">
        <x:v>NOT_APPLICABLE</x:v>
      </x:c>
    </x:row>
    <x:row r="6" ht="34" customHeight="1">
      <x:c r="A6" s="25" t="str">
        <x:v>FT-SEED-R1B-P-1842-02</x:v>
      </x:c>
      <x:c r="B6" s="19" t="str">
        <x:v>1842</x:v>
      </x:c>
      <x:c r="C6" s="28" t="n">
        <x:v>2</x:v>
      </x:c>
      <x:c r="D6" s="31" t="str">
        <x:v>mean temperature</x:v>
      </x:c>
      <x:c r="E6" s="19" t="str">
        <x:v>INTERNET_ARCHIVE_METADATA_TEXT_ITEM_COUNT</x:v>
      </x:c>
      <x:c r="F6" s="28" t="str">
        <x:v>INTERNET_ARCHIVE_ADVANCEDSEARCH_NUMFOUND</x:v>
      </x:c>
      <x:c r="G6" s="31" t="str">
        <x:v>"mean temperature" AND mediatype:texts</x:v>
      </x:c>
      <x:c r="H6" s="19" t="str">
        <x:v>PHRASE_METADATA_SEARCH</x:v>
      </x:c>
      <x:c r="I6" s="31" t="str">
        <x:v>EXACT_PHRASE</x:v>
      </x:c>
      <x:c r="J6" s="28" t="n">
        <x:v>664</x:v>
      </x:c>
      <x:c r="K6" s="28" t="n">
        <x:v>0</x:v>
      </x:c>
      <x:c r="L6" s="28" t="n">
        <x:v>4</x:v>
      </x:c>
      <x:c r="M6" s="31" t="str">
        <x:v>COMPLETED_NONZERO</x:v>
      </x:c>
      <x:c r="N6" s="43" t="str">
        <x:v>2026-08-26</x:v>
      </x:c>
      <x:c r="O6" s="31" t="str">
        <x:v>https://archive.org/advancedsearch.php</x:v>
      </x:c>
      <x:c r="P6" s="31" t="str">
        <x:v>Metadata text-item count; not a full-text lexical frequency. Secondary metric: NOT_RUN_OPENALEX_DAILY_BUDGET_EXHAUSTED: shared provider response retained; no count fabricated.</x:v>
      </x:c>
      <x:c r="Q6" s="19" t="str">
        <x:v>OPENALEX_WORK_COUNT</x:v>
      </x:c>
      <x:c r="R6" s="20" t="str">
        <x:v>NOT_APPLICABLE</x:v>
      </x:c>
    </x:row>
    <x:row r="7" ht="34" customHeight="1">
      <x:c r="A7" s="25" t="str">
        <x:v>FT-SEED-R1B-P-1842-03</x:v>
      </x:c>
      <x:c r="B7" s="19" t="str">
        <x:v>1842</x:v>
      </x:c>
      <x:c r="C7" s="28" t="n">
        <x:v>3</x:v>
      </x:c>
      <x:c r="D7" s="31" t="str">
        <x:v>temperature of the air in shade</x:v>
      </x:c>
      <x:c r="E7" s="19" t="str">
        <x:v>INTERNET_ARCHIVE_METADATA_TEXT_ITEM_COUNT</x:v>
      </x:c>
      <x:c r="F7" s="28" t="str">
        <x:v>INTERNET_ARCHIVE_ADVANCEDSEARCH_NUMFOUND</x:v>
      </x:c>
      <x:c r="G7" s="31" t="str">
        <x:v>"temperature of the air in shade" AND mediatype:texts</x:v>
      </x:c>
      <x:c r="H7" s="19" t="str">
        <x:v>PHRASE_METADATA_SEARCH</x:v>
      </x:c>
      <x:c r="I7" s="31" t="str">
        <x:v>EXACT_PHRASE</x:v>
      </x:c>
      <x:c r="J7" s="28" t="n">
        <x:v>0</x:v>
      </x:c>
      <x:c r="K7" s="28" t="n">
        <x:v>0</x:v>
      </x:c>
      <x:c r="L7" s="28" t="n">
        <x:v>0</x:v>
      </x:c>
      <x:c r="M7" s="31" t="str">
        <x:v>COMPLETED_ZERO</x:v>
      </x:c>
      <x:c r="N7" s="43" t="str">
        <x:v>2026-08-26</x:v>
      </x:c>
      <x:c r="O7" s="31" t="str">
        <x:v>https://archive.org/advancedsearch.php</x:v>
      </x:c>
      <x:c r="P7" s="31" t="str">
        <x:v>Metadata text-item count; not a full-text lexical frequency. Secondary metric: NOT_RUN_OPENALEX_DAILY_BUDGET_EXHAUSTED: shared provider response retained; no count fabricated.</x:v>
      </x:c>
      <x:c r="Q7" s="19" t="str">
        <x:v>OPENALEX_WORK_COUNT</x:v>
      </x:c>
      <x:c r="R7" s="20" t="str">
        <x:v>NOT_APPLICABLE</x:v>
      </x:c>
    </x:row>
    <x:row r="8" ht="34" customHeight="1">
      <x:c r="A8" s="25" t="str">
        <x:v>FT-SEED-R1B-P-1842-04</x:v>
      </x:c>
      <x:c r="B8" s="19" t="str">
        <x:v>1842</x:v>
      </x:c>
      <x:c r="C8" s="28" t="n">
        <x:v>4</x:v>
      </x:c>
      <x:c r="D8" s="31" t="str">
        <x:v>maximum temperature</x:v>
      </x:c>
      <x:c r="E8" s="19" t="str">
        <x:v>INTERNET_ARCHIVE_METADATA_TEXT_ITEM_COUNT</x:v>
      </x:c>
      <x:c r="F8" s="28" t="str">
        <x:v>INTERNET_ARCHIVE_ADVANCEDSEARCH_NUMFOUND</x:v>
      </x:c>
      <x:c r="G8" s="31" t="str">
        <x:v>"maximum temperature" AND mediatype:texts</x:v>
      </x:c>
      <x:c r="H8" s="19" t="str">
        <x:v>PHRASE_METADATA_SEARCH</x:v>
      </x:c>
      <x:c r="I8" s="31" t="str">
        <x:v>EXACT_PHRASE</x:v>
      </x:c>
      <x:c r="J8" s="28" t="n">
        <x:v>1464</x:v>
      </x:c>
      <x:c r="K8" s="28" t="n">
        <x:v>0</x:v>
      </x:c>
      <x:c r="L8" s="28" t="n">
        <x:v>0</x:v>
      </x:c>
      <x:c r="M8" s="31" t="str">
        <x:v>COMPLETED_NONZERO</x:v>
      </x:c>
      <x:c r="N8" s="43" t="str">
        <x:v>2026-08-26</x:v>
      </x:c>
      <x:c r="O8" s="31" t="str">
        <x:v>https://archive.org/advancedsearch.php</x:v>
      </x:c>
      <x:c r="P8" s="31" t="str">
        <x:v>Metadata text-item count; not a full-text lexical frequency. Secondary metric: NOT_RUN_OPENALEX_DAILY_BUDGET_EXHAUSTED: shared provider response retained; no count fabricated.</x:v>
      </x:c>
      <x:c r="Q8" s="19" t="str">
        <x:v>OPENALEX_WORK_COUNT</x:v>
      </x:c>
      <x:c r="R8" s="20" t="str">
        <x:v>NOT_APPLICABLE</x:v>
      </x:c>
    </x:row>
    <x:row r="9" ht="34" customHeight="1">
      <x:c r="A9" s="25" t="str">
        <x:v>FT-SEED-R1B-P-1842-05</x:v>
      </x:c>
      <x:c r="B9" s="19" t="str">
        <x:v>1842</x:v>
      </x:c>
      <x:c r="C9" s="28" t="n">
        <x:v>5</x:v>
      </x:c>
      <x:c r="D9" s="31" t="str">
        <x:v>minimum temperature</x:v>
      </x:c>
      <x:c r="E9" s="19" t="str">
        <x:v>INTERNET_ARCHIVE_METADATA_TEXT_ITEM_COUNT</x:v>
      </x:c>
      <x:c r="F9" s="28" t="str">
        <x:v>INTERNET_ARCHIVE_ADVANCEDSEARCH_NUMFOUND</x:v>
      </x:c>
      <x:c r="G9" s="31" t="str">
        <x:v>"minimum temperature" AND mediatype:texts</x:v>
      </x:c>
      <x:c r="H9" s="19" t="str">
        <x:v>PHRASE_METADATA_SEARCH</x:v>
      </x:c>
      <x:c r="I9" s="31" t="str">
        <x:v>EXACT_PHRASE</x:v>
      </x:c>
      <x:c r="J9" s="28" t="n">
        <x:v>460</x:v>
      </x:c>
      <x:c r="K9" s="28" t="n">
        <x:v>0</x:v>
      </x:c>
      <x:c r="L9" s="28" t="n">
        <x:v>0</x:v>
      </x:c>
      <x:c r="M9" s="31" t="str">
        <x:v>COMPLETED_NONZERO</x:v>
      </x:c>
      <x:c r="N9" s="43" t="str">
        <x:v>2026-08-26</x:v>
      </x:c>
      <x:c r="O9" s="31" t="str">
        <x:v>https://archive.org/advancedsearch.php</x:v>
      </x:c>
      <x:c r="P9" s="31" t="str">
        <x:v>Metadata text-item count; not a full-text lexical frequency. Secondary metric: NOT_RUN_OPENALEX_DAILY_BUDGET_EXHAUSTED: shared provider response retained; no count fabricated.</x:v>
      </x:c>
      <x:c r="Q9" s="19" t="str">
        <x:v>OPENALEX_WORK_COUNT</x:v>
      </x:c>
      <x:c r="R9" s="20" t="str">
        <x:v>NOT_APPLICABLE</x:v>
      </x:c>
    </x:row>
    <x:row r="10" ht="34" customHeight="1">
      <x:c r="A10" s="25" t="str">
        <x:v>FT-SEED-R1B-P-1842-06</x:v>
      </x:c>
      <x:c r="B10" s="19" t="str">
        <x:v>1842</x:v>
      </x:c>
      <x:c r="C10" s="28" t="n">
        <x:v>6</x:v>
      </x:c>
      <x:c r="D10" s="31" t="str">
        <x:v>mean temperature of sea at surface</x:v>
      </x:c>
      <x:c r="E10" s="19" t="str">
        <x:v>INTERNET_ARCHIVE_METADATA_TEXT_ITEM_COUNT</x:v>
      </x:c>
      <x:c r="F10" s="28" t="str">
        <x:v>INTERNET_ARCHIVE_ADVANCEDSEARCH_NUMFOUND</x:v>
      </x:c>
      <x:c r="G10" s="31" t="str">
        <x:v>"mean temperature of sea at surface" AND mediatype:texts</x:v>
      </x:c>
      <x:c r="H10" s="19" t="str">
        <x:v>PHRASE_METADATA_SEARCH</x:v>
      </x:c>
      <x:c r="I10" s="31" t="str">
        <x:v>EXACT_PHRASE</x:v>
      </x:c>
      <x:c r="J10" s="28" t="n">
        <x:v>0</x:v>
      </x:c>
      <x:c r="K10" s="28" t="n">
        <x:v>0</x:v>
      </x:c>
      <x:c r="L10" s="28" t="n">
        <x:v>0</x:v>
      </x:c>
      <x:c r="M10" s="31" t="str">
        <x:v>COMPLETED_ZERO</x:v>
      </x:c>
      <x:c r="N10" s="43" t="str">
        <x:v>2026-08-26</x:v>
      </x:c>
      <x:c r="O10" s="31" t="str">
        <x:v>https://archive.org/advancedsearch.php</x:v>
      </x:c>
      <x:c r="P10" s="31" t="str">
        <x:v>Metadata text-item count; not a full-text lexical frequency. Secondary metric: NOT_RUN_OPENALEX_DAILY_BUDGET_EXHAUSTED: shared provider response retained; no count fabricated.</x:v>
      </x:c>
      <x:c r="Q10" s="19" t="str">
        <x:v>OPENALEX_WORK_COUNT</x:v>
      </x:c>
      <x:c r="R10" s="20" t="str">
        <x:v>NOT_APPLICABLE</x:v>
      </x:c>
    </x:row>
    <x:row r="11" ht="34" customHeight="1">
      <x:c r="A11" s="25" t="str">
        <x:v>FT-SEED-R1B-P-1842-07</x:v>
      </x:c>
      <x:c r="B11" s="19" t="str">
        <x:v>1842</x:v>
      </x:c>
      <x:c r="C11" s="28" t="n">
        <x:v>7</x:v>
      </x:c>
      <x:c r="D11" s="31" t="str">
        <x:v>dew point</x:v>
      </x:c>
      <x:c r="E11" s="19" t="str">
        <x:v>INTERNET_ARCHIVE_METADATA_TEXT_ITEM_COUNT</x:v>
      </x:c>
      <x:c r="F11" s="28" t="str">
        <x:v>INTERNET_ARCHIVE_ADVANCEDSEARCH_NUMFOUND</x:v>
      </x:c>
      <x:c r="G11" s="31" t="str">
        <x:v>"dew point" AND mediatype:texts</x:v>
      </x:c>
      <x:c r="H11" s="19" t="str">
        <x:v>PHRASE_METADATA_SEARCH</x:v>
      </x:c>
      <x:c r="I11" s="31" t="str">
        <x:v>EXACT_PHRASE</x:v>
      </x:c>
      <x:c r="J11" s="28" t="n">
        <x:v>1217</x:v>
      </x:c>
      <x:c r="K11" s="28" t="n">
        <x:v>0</x:v>
      </x:c>
      <x:c r="L11" s="28" t="n">
        <x:v>2</x:v>
      </x:c>
      <x:c r="M11" s="31" t="str">
        <x:v>COMPLETED_NONZERO</x:v>
      </x:c>
      <x:c r="N11" s="43" t="str">
        <x:v>2026-08-26</x:v>
      </x:c>
      <x:c r="O11" s="31" t="str">
        <x:v>https://archive.org/advancedsearch.php</x:v>
      </x:c>
      <x:c r="P11" s="31" t="str">
        <x:v>Metadata text-item count; not a full-text lexical frequency. Secondary metric: NOT_RUN_OPENALEX_DAILY_BUDGET_EXHAUSTED: shared provider response retained; no count fabricated.</x:v>
      </x:c>
      <x:c r="Q11" s="19" t="str">
        <x:v>OPENALEX_WORK_COUNT</x:v>
      </x:c>
      <x:c r="R11" s="20" t="str">
        <x:v>NOT_APPLICABLE</x:v>
      </x:c>
    </x:row>
    <x:row r="12" ht="34" customHeight="1">
      <x:c r="A12" s="25" t="str">
        <x:v>FT-SEED-R1B-P-1842-08</x:v>
      </x:c>
      <x:c r="B12" s="19" t="str">
        <x:v>1842</x:v>
      </x:c>
      <x:c r="C12" s="28" t="n">
        <x:v>8</x:v>
      </x:c>
      <x:c r="D12" s="31" t="str">
        <x:v>standard thermometer</x:v>
      </x:c>
      <x:c r="E12" s="19" t="str">
        <x:v>INTERNET_ARCHIVE_METADATA_TEXT_ITEM_COUNT</x:v>
      </x:c>
      <x:c r="F12" s="28" t="str">
        <x:v>INTERNET_ARCHIVE_ADVANCEDSEARCH_NUMFOUND</x:v>
      </x:c>
      <x:c r="G12" s="31" t="str">
        <x:v>"standard thermometer" AND mediatype:texts</x:v>
      </x:c>
      <x:c r="H12" s="19" t="str">
        <x:v>PHRASE_METADATA_SEARCH</x:v>
      </x:c>
      <x:c r="I12" s="31" t="str">
        <x:v>EXACT_PHRASE</x:v>
      </x:c>
      <x:c r="J12" s="28" t="n">
        <x:v>2</x:v>
      </x:c>
      <x:c r="K12" s="28" t="n">
        <x:v>0</x:v>
      </x:c>
      <x:c r="L12" s="28" t="n">
        <x:v>0</x:v>
      </x:c>
      <x:c r="M12" s="31" t="str">
        <x:v>COMPLETED_NONZERO</x:v>
      </x:c>
      <x:c r="N12" s="43" t="str">
        <x:v>2026-08-26</x:v>
      </x:c>
      <x:c r="O12" s="31" t="str">
        <x:v>https://archive.org/advancedsearch.php</x:v>
      </x:c>
      <x:c r="P12" s="31" t="str">
        <x:v>Metadata text-item count; not a full-text lexical frequency. Secondary metric: NOT_RUN_OPENALEX_DAILY_BUDGET_EXHAUSTED: shared provider response retained; no count fabricated.</x:v>
      </x:c>
      <x:c r="Q12" s="19" t="str">
        <x:v>OPENALEX_WORK_COUNT</x:v>
      </x:c>
      <x:c r="R12" s="20" t="str">
        <x:v>NOT_APPLICABLE</x:v>
      </x:c>
    </x:row>
    <x:row r="13" ht="34" customHeight="1">
      <x:c r="A13" s="25" t="str">
        <x:v>FT-SEED-R1B-P-1842-09</x:v>
      </x:c>
      <x:c r="B13" s="19" t="str">
        <x:v>1842</x:v>
      </x:c>
      <x:c r="C13" s="28" t="n">
        <x:v>9</x:v>
      </x:c>
      <x:c r="D13" s="31" t="str">
        <x:v>attached thermometer</x:v>
      </x:c>
      <x:c r="E13" s="19" t="str">
        <x:v>INTERNET_ARCHIVE_METADATA_TEXT_ITEM_COUNT</x:v>
      </x:c>
      <x:c r="F13" s="28" t="str">
        <x:v>INTERNET_ARCHIVE_ADVANCEDSEARCH_NUMFOUND</x:v>
      </x:c>
      <x:c r="G13" s="31" t="str">
        <x:v>"attached thermometer" AND mediatype:texts</x:v>
      </x:c>
      <x:c r="H13" s="19" t="str">
        <x:v>PHRASE_METADATA_SEARCH</x:v>
      </x:c>
      <x:c r="I13" s="31" t="str">
        <x:v>EXACT_PHRASE</x:v>
      </x:c>
      <x:c r="J13" s="28" t="n">
        <x:v>0</x:v>
      </x:c>
      <x:c r="K13" s="28" t="n">
        <x:v>0</x:v>
      </x:c>
      <x:c r="L13" s="28" t="n">
        <x:v>0</x:v>
      </x:c>
      <x:c r="M13" s="31" t="str">
        <x:v>COMPLETED_ZERO</x:v>
      </x:c>
      <x:c r="N13" s="43" t="str">
        <x:v>2026-08-26</x:v>
      </x:c>
      <x:c r="O13" s="31" t="str">
        <x:v>https://archive.org/advancedsearch.php</x:v>
      </x:c>
      <x:c r="P13" s="31" t="str">
        <x:v>Metadata text-item count; not a full-text lexical frequency. Secondary metric: Scholarly work discoverability count over OpenAlex search fields; not a corpus word frequency.</x:v>
      </x:c>
      <x:c r="Q13" s="19" t="str">
        <x:v>OPENALEX_WORK_COUNT</x:v>
      </x:c>
      <x:c r="R13" s="20" t="str">
        <x:v>96</x:v>
      </x:c>
    </x:row>
    <x:row r="14" ht="34" customHeight="1">
      <x:c r="A14" s="25" t="str">
        <x:v>FT-SEED-R1B-P-1842-10</x:v>
      </x:c>
      <x:c r="B14" s="19" t="str">
        <x:v>1842</x:v>
      </x:c>
      <x:c r="C14" s="28" t="n">
        <x:v>10</x:v>
      </x:c>
      <x:c r="D14" s="31" t="str">
        <x:v>dry bulb thermometer</x:v>
      </x:c>
      <x:c r="E14" s="19" t="str">
        <x:v>INTERNET_ARCHIVE_METADATA_TEXT_ITEM_COUNT</x:v>
      </x:c>
      <x:c r="F14" s="28" t="str">
        <x:v>INTERNET_ARCHIVE_ADVANCEDSEARCH_NUMFOUND</x:v>
      </x:c>
      <x:c r="G14" s="31" t="str">
        <x:v>"dry bulb thermometer" AND mediatype:texts</x:v>
      </x:c>
      <x:c r="H14" s="19" t="str">
        <x:v>PHRASE_METADATA_SEARCH</x:v>
      </x:c>
      <x:c r="I14" s="31" t="str">
        <x:v>EXACT_PHRASE</x:v>
      </x:c>
      <x:c r="J14" s="28" t="n">
        <x:v>2</x:v>
      </x:c>
      <x:c r="K14" s="28" t="n">
        <x:v>0</x:v>
      </x:c>
      <x:c r="L14" s="28" t="n">
        <x:v>0</x:v>
      </x:c>
      <x:c r="M14" s="31" t="str">
        <x:v>COMPLETED_NONZERO</x:v>
      </x:c>
      <x:c r="N14" s="43" t="str">
        <x:v>2026-08-26</x:v>
      </x:c>
      <x:c r="O14" s="31" t="str">
        <x:v>https://archive.org/advancedsearch.php</x:v>
      </x:c>
      <x:c r="P14" s="31" t="str">
        <x:v>Metadata text-item count; not a full-text lexical frequency. Secondary metric: NOT_RUN_OPENALEX_DAILY_BUDGET_EXHAUSTED: shared provider response retained; no count fabricated.</x:v>
      </x:c>
      <x:c r="Q14" s="19" t="str">
        <x:v>OPENALEX_WORK_COUNT</x:v>
      </x:c>
      <x:c r="R14" s="20" t="str">
        <x:v>NOT_APPLICABLE</x:v>
      </x:c>
    </x:row>
    <x:row r="15" ht="34" customHeight="1">
      <x:c r="A15" s="25" t="str">
        <x:v>FT-SEED-R1B-P-1842-11</x:v>
      </x:c>
      <x:c r="B15" s="19" t="str">
        <x:v>1842</x:v>
      </x:c>
      <x:c r="C15" s="28" t="n">
        <x:v>11</x:v>
      </x:c>
      <x:c r="D15" s="31" t="str">
        <x:v>wet bulb thermometer</x:v>
      </x:c>
      <x:c r="E15" s="19" t="str">
        <x:v>INTERNET_ARCHIVE_METADATA_TEXT_ITEM_COUNT</x:v>
      </x:c>
      <x:c r="F15" s="28" t="str">
        <x:v>INTERNET_ARCHIVE_ADVANCEDSEARCH_NUMFOUND</x:v>
      </x:c>
      <x:c r="G15" s="31" t="str">
        <x:v>"wet bulb thermometer" AND mediatype:texts</x:v>
      </x:c>
      <x:c r="H15" s="19" t="str">
        <x:v>PHRASE_METADATA_SEARCH</x:v>
      </x:c>
      <x:c r="I15" s="31" t="str">
        <x:v>EXACT_PHRASE</x:v>
      </x:c>
      <x:c r="J15" s="28" t="n">
        <x:v>7</x:v>
      </x:c>
      <x:c r="K15" s="28" t="n">
        <x:v>0</x:v>
      </x:c>
      <x:c r="L15" s="28" t="n">
        <x:v>0</x:v>
      </x:c>
      <x:c r="M15" s="31" t="str">
        <x:v>COMPLETED_NONZERO</x:v>
      </x:c>
      <x:c r="N15" s="43" t="str">
        <x:v>2026-08-26</x:v>
      </x:c>
      <x:c r="O15" s="31" t="str">
        <x:v>https://archive.org/advancedsearch.php</x:v>
      </x:c>
      <x:c r="P15" s="31" t="str">
        <x:v>Metadata text-item count; not a full-text lexical frequency. Secondary metric: NOT_RUN_OPENALEX_DAILY_BUDGET_EXHAUSTED: shared provider response retained; no count fabricated.</x:v>
      </x:c>
      <x:c r="Q15" s="19" t="str">
        <x:v>OPENALEX_WORK_COUNT</x:v>
      </x:c>
      <x:c r="R15" s="20" t="str">
        <x:v>NOT_APPLICABLE</x:v>
      </x:c>
    </x:row>
    <x:row r="16" ht="34" customHeight="1">
      <x:c r="A16" s="25" t="str">
        <x:v>FT-SEED-R1B-P-1842-12</x:v>
      </x:c>
      <x:c r="B16" s="19" t="str">
        <x:v>1842</x:v>
      </x:c>
      <x:c r="C16" s="28" t="n">
        <x:v>12</x:v>
      </x:c>
      <x:c r="D16" s="31" t="str">
        <x:v>meteorological observations</x:v>
      </x:c>
      <x:c r="E16" s="19" t="str">
        <x:v>INTERNET_ARCHIVE_METADATA_TEXT_ITEM_COUNT</x:v>
      </x:c>
      <x:c r="F16" s="28" t="str">
        <x:v>INTERNET_ARCHIVE_ADVANCEDSEARCH_NUMFOUND</x:v>
      </x:c>
      <x:c r="G16" s="31" t="str">
        <x:v>"meteorological observations" AND mediatype:texts</x:v>
      </x:c>
      <x:c r="H16" s="19" t="str">
        <x:v>PHRASE_METADATA_SEARCH</x:v>
      </x:c>
      <x:c r="I16" s="31" t="str">
        <x:v>EXACT_PHRASE</x:v>
      </x:c>
      <x:c r="J16" s="28" t="n">
        <x:v>1458</x:v>
      </x:c>
      <x:c r="K16" s="28" t="n">
        <x:v>14</x:v>
      </x:c>
      <x:c r="L16" s="28" t="n">
        <x:v>94</x:v>
      </x:c>
      <x:c r="M16" s="31" t="str">
        <x:v>COMPLETED_NONZERO</x:v>
      </x:c>
      <x:c r="N16" s="43" t="str">
        <x:v>2026-08-26</x:v>
      </x:c>
      <x:c r="O16" s="31" t="str">
        <x:v>https://archive.org/advancedsearch.php</x:v>
      </x:c>
      <x:c r="P16" s="31" t="str">
        <x:v>Metadata text-item count; not a full-text lexical frequency. Secondary metric: NOT_RUN_OPENALEX_DAILY_BUDGET_EXHAUSTED: shared provider response retained; no count fabricated.</x:v>
      </x:c>
      <x:c r="Q16" s="19" t="str">
        <x:v>OPENALEX_WORK_COUNT</x:v>
      </x:c>
      <x:c r="R16" s="20" t="str">
        <x:v>NOT_APPLICABLE</x:v>
      </x:c>
    </x:row>
    <x:row r="17" ht="34" customHeight="1">
      <x:c r="A17" s="25" t="str">
        <x:v>FT-SEED-R1B-P-1842-13</x:v>
      </x:c>
      <x:c r="B17" s="19" t="str">
        <x:v>1842</x:v>
      </x:c>
      <x:c r="C17" s="28" t="n">
        <x:v>13</x:v>
      </x:c>
      <x:c r="D17" s="31" t="str">
        <x:v>meteorological journal</x:v>
      </x:c>
      <x:c r="E17" s="19" t="str">
        <x:v>INTERNET_ARCHIVE_METADATA_TEXT_ITEM_COUNT</x:v>
      </x:c>
      <x:c r="F17" s="28" t="str">
        <x:v>INTERNET_ARCHIVE_ADVANCEDSEARCH_NUMFOUND</x:v>
      </x:c>
      <x:c r="G17" s="31" t="str">
        <x:v>"meteorological journal" AND mediatype:texts</x:v>
      </x:c>
      <x:c r="H17" s="19" t="str">
        <x:v>PHRASE_METADATA_SEARCH</x:v>
      </x:c>
      <x:c r="I17" s="31" t="str">
        <x:v>EXACT_PHRASE</x:v>
      </x:c>
      <x:c r="J17" s="28" t="n">
        <x:v>411</x:v>
      </x:c>
      <x:c r="K17" s="28" t="n">
        <x:v>3</x:v>
      </x:c>
      <x:c r="L17" s="28" t="n">
        <x:v>19</x:v>
      </x:c>
      <x:c r="M17" s="31" t="str">
        <x:v>COMPLETED_NONZERO</x:v>
      </x:c>
      <x:c r="N17" s="43" t="str">
        <x:v>2026-08-26</x:v>
      </x:c>
      <x:c r="O17" s="31" t="str">
        <x:v>https://archive.org/advancedsearch.php</x:v>
      </x:c>
      <x:c r="P17" s="31" t="str">
        <x:v>Metadata text-item count; not a full-text lexical frequency. Secondary metric: NOT_RUN_OPENALEX_DAILY_BUDGET_EXHAUSTED: shared provider response retained; no count fabricated.</x:v>
      </x:c>
      <x:c r="Q17" s="19" t="str">
        <x:v>OPENALEX_WORK_COUNT</x:v>
      </x:c>
      <x:c r="R17" s="20" t="str">
        <x:v>NOT_APPLICABLE</x:v>
      </x:c>
    </x:row>
    <x:row r="18" ht="34" customHeight="1">
      <x:c r="A18" s="25" t="str">
        <x:v>FT-SEED-R1B-P-1842-14</x:v>
      </x:c>
      <x:c r="B18" s="19" t="str">
        <x:v>1842</x:v>
      </x:c>
      <x:c r="C18" s="28" t="n">
        <x:v>14</x:v>
      </x:c>
      <x:c r="D18" s="31" t="str">
        <x:v>weather</x:v>
      </x:c>
      <x:c r="E18" s="19" t="str">
        <x:v>INTERNET_ARCHIVE_METADATA_TEXT_ITEM_COUNT</x:v>
      </x:c>
      <x:c r="F18" s="28" t="str">
        <x:v>INTERNET_ARCHIVE_ADVANCEDSEARCH_NUMFOUND</x:v>
      </x:c>
      <x:c r="G18" s="31" t="str">
        <x:v>"weather" AND mediatype:texts</x:v>
      </x:c>
      <x:c r="H18" s="19" t="str">
        <x:v>PHRASE_METADATA_SEARCH</x:v>
      </x:c>
      <x:c r="I18" s="31" t="str">
        <x:v>EXACT_PHRASE</x:v>
      </x:c>
      <x:c r="J18" s="28" t="n">
        <x:v>67834</x:v>
      </x:c>
      <x:c r="K18" s="28" t="n">
        <x:v>18</x:v>
      </x:c>
      <x:c r="L18" s="28" t="n">
        <x:v>123</x:v>
      </x:c>
      <x:c r="M18" s="31" t="str">
        <x:v>COMPLETED_NONZERO</x:v>
      </x:c>
      <x:c r="N18" s="43" t="str">
        <x:v>2026-08-26</x:v>
      </x:c>
      <x:c r="O18" s="31" t="str">
        <x:v>https://archive.org/advancedsearch.php</x:v>
      </x:c>
      <x:c r="P18" s="31" t="str">
        <x:v>Metadata text-item count; not a full-text lexical frequency. Secondary metric: NOT_RUN_OPENALEX_DAILY_BUDGET_EXHAUSTED: shared provider response retained; no count fabricated.</x:v>
      </x:c>
      <x:c r="Q18" s="19" t="str">
        <x:v>OPENALEX_WORK_COUNT</x:v>
      </x:c>
      <x:c r="R18" s="20" t="str">
        <x:v>NOT_APPLICABLE</x:v>
      </x:c>
    </x:row>
    <x:row r="19" ht="34" customHeight="1">
      <x:c r="A19" s="25" t="str">
        <x:v>FT-SEED-R1B-P-1842-15</x:v>
      </x:c>
      <x:c r="B19" s="19" t="str">
        <x:v>1842</x:v>
      </x:c>
      <x:c r="C19" s="28" t="n">
        <x:v>15</x:v>
      </x:c>
      <x:c r="D19" s="31" t="str">
        <x:v>climate</x:v>
      </x:c>
      <x:c r="E19" s="19" t="str">
        <x:v>INTERNET_ARCHIVE_METADATA_TEXT_ITEM_COUNT</x:v>
      </x:c>
      <x:c r="F19" s="28" t="str">
        <x:v>INTERNET_ARCHIVE_ADVANCEDSEARCH_NUMFOUND</x:v>
      </x:c>
      <x:c r="G19" s="31" t="str">
        <x:v>"climate" AND mediatype:texts</x:v>
      </x:c>
      <x:c r="H19" s="19" t="str">
        <x:v>PHRASE_METADATA_SEARCH</x:v>
      </x:c>
      <x:c r="I19" s="31" t="str">
        <x:v>EXACT_PHRASE</x:v>
      </x:c>
      <x:c r="J19" s="28" t="n">
        <x:v>76386</x:v>
      </x:c>
      <x:c r="K19" s="28" t="n">
        <x:v>21</x:v>
      </x:c>
      <x:c r="L19" s="28" t="n">
        <x:v>140</x:v>
      </x:c>
      <x:c r="M19" s="31" t="str">
        <x:v>COMPLETED_NONZERO</x:v>
      </x:c>
      <x:c r="N19" s="43" t="str">
        <x:v>2026-08-26</x:v>
      </x:c>
      <x:c r="O19" s="31" t="str">
        <x:v>https://archive.org/advancedsearch.php</x:v>
      </x:c>
      <x:c r="P19" s="31" t="str">
        <x:v>Metadata text-item count; not a full-text lexical frequency. Secondary metric: Scholarly work discoverability count over OpenAlex search fields; not a corpus word frequency.</x:v>
      </x:c>
      <x:c r="Q19" s="19" t="str">
        <x:v>OPENALEX_WORK_COUNT</x:v>
      </x:c>
      <x:c r="R19" s="20" t="str">
        <x:v>5536434</x:v>
      </x:c>
    </x:row>
    <x:row r="20" ht="34" customHeight="1">
      <x:c r="A20" s="25" t="str">
        <x:v>FT-SEED-R1B-P-1842-16</x:v>
      </x:c>
      <x:c r="B20" s="19" t="str">
        <x:v>1842</x:v>
      </x:c>
      <x:c r="C20" s="28" t="n">
        <x:v>16</x:v>
      </x:c>
      <x:c r="D20" s="31" t="str">
        <x:v>sun's heat</x:v>
      </x:c>
      <x:c r="E20" s="19" t="str">
        <x:v>INTERNET_ARCHIVE_METADATA_TEXT_ITEM_COUNT</x:v>
      </x:c>
      <x:c r="F20" s="28" t="str">
        <x:v>INTERNET_ARCHIVE_ADVANCEDSEARCH_NUMFOUND</x:v>
      </x:c>
      <x:c r="G20" s="31" t="str">
        <x:v>"sun's heat" AND mediatype:texts</x:v>
      </x:c>
      <x:c r="H20" s="19" t="str">
        <x:v>PHRASE_METADATA_SEARCH</x:v>
      </x:c>
      <x:c r="I20" s="31" t="str">
        <x:v>EXACT_PHRASE</x:v>
      </x:c>
      <x:c r="J20" s="28" t="n">
        <x:v>42</x:v>
      </x:c>
      <x:c r="K20" s="28" t="n">
        <x:v>0</x:v>
      </x:c>
      <x:c r="L20" s="28" t="n">
        <x:v>0</x:v>
      </x:c>
      <x:c r="M20" s="31" t="str">
        <x:v>COMPLETED_NONZERO</x:v>
      </x:c>
      <x:c r="N20" s="43" t="str">
        <x:v>2026-08-26</x:v>
      </x:c>
      <x:c r="O20" s="31" t="str">
        <x:v>https://archive.org/advancedsearch.php</x:v>
      </x:c>
      <x:c r="P20" s="31" t="str">
        <x:v>Metadata text-item count; not a full-text lexical frequency. Secondary metric: NOT_RUN_OPENALEX_DAILY_BUDGET_EXHAUSTED: shared provider response retained; no count fabricated.</x:v>
      </x:c>
      <x:c r="Q20" s="19" t="str">
        <x:v>OPENALEX_WORK_COUNT</x:v>
      </x:c>
      <x:c r="R20" s="20" t="str">
        <x:v>NOT_APPLICABLE</x:v>
      </x:c>
    </x:row>
    <x:row r="21" ht="34" customHeight="1">
      <x:c r="A21" s="25" t="str">
        <x:v>FT-SEED-R1B-P-1842-17</x:v>
      </x:c>
      <x:c r="B21" s="19" t="str">
        <x:v>1842</x:v>
      </x:c>
      <x:c r="C21" s="28" t="n">
        <x:v>17</x:v>
      </x:c>
      <x:c r="D21" s="31" t="str">
        <x:v>radiation of the heat</x:v>
      </x:c>
      <x:c r="E21" s="19" t="str">
        <x:v>INTERNET_ARCHIVE_METADATA_TEXT_ITEM_COUNT</x:v>
      </x:c>
      <x:c r="F21" s="28" t="str">
        <x:v>INTERNET_ARCHIVE_ADVANCEDSEARCH_NUMFOUND</x:v>
      </x:c>
      <x:c r="G21" s="31" t="str">
        <x:v>"radiation of the heat" AND mediatype:texts</x:v>
      </x:c>
      <x:c r="H21" s="19" t="str">
        <x:v>PHRASE_METADATA_SEARCH</x:v>
      </x:c>
      <x:c r="I21" s="31" t="str">
        <x:v>EXACT_PHRASE</x:v>
      </x:c>
      <x:c r="J21" s="28" t="n">
        <x:v>1</x:v>
      </x:c>
      <x:c r="K21" s="28" t="n">
        <x:v>0</x:v>
      </x:c>
      <x:c r="L21" s="28" t="n">
        <x:v>0</x:v>
      </x:c>
      <x:c r="M21" s="31" t="str">
        <x:v>COMPLETED_NONZERO</x:v>
      </x:c>
      <x:c r="N21" s="43" t="str">
        <x:v>2026-08-26</x:v>
      </x:c>
      <x:c r="O21" s="31" t="str">
        <x:v>https://archive.org/advancedsearch.php</x:v>
      </x:c>
      <x:c r="P21" s="31" t="str">
        <x:v>Metadata text-item count; not a full-text lexical frequency. Secondary metric: NOT_RUN_OPENALEX_DAILY_BUDGET_EXHAUSTED: shared provider response retained; no count fabricated.</x:v>
      </x:c>
      <x:c r="Q21" s="19" t="str">
        <x:v>OPENALEX_WORK_COUNT</x:v>
      </x:c>
      <x:c r="R21" s="20" t="str">
        <x:v>NOT_APPLICABLE</x:v>
      </x:c>
    </x:row>
    <x:row r="22" ht="34" customHeight="1">
      <x:c r="A22" s="25" t="str">
        <x:v>FT-SEED-R1B-P-1842-18</x:v>
      </x:c>
      <x:c r="B22" s="19" t="str">
        <x:v>1842</x:v>
      </x:c>
      <x:c r="C22" s="28" t="n">
        <x:v>18</x:v>
      </x:c>
      <x:c r="D22" s="31" t="str">
        <x:v>changes of temperature</x:v>
      </x:c>
      <x:c r="E22" s="19" t="str">
        <x:v>INTERNET_ARCHIVE_METADATA_TEXT_ITEM_COUNT</x:v>
      </x:c>
      <x:c r="F22" s="28" t="str">
        <x:v>INTERNET_ARCHIVE_ADVANCEDSEARCH_NUMFOUND</x:v>
      </x:c>
      <x:c r="G22" s="31" t="str">
        <x:v>"changes of temperature" AND mediatype:texts</x:v>
      </x:c>
      <x:c r="H22" s="19" t="str">
        <x:v>PHRASE_METADATA_SEARCH</x:v>
      </x:c>
      <x:c r="I22" s="31" t="str">
        <x:v>EXACT_PHRASE</x:v>
      </x:c>
      <x:c r="J22" s="28" t="n">
        <x:v>75</x:v>
      </x:c>
      <x:c r="K22" s="28" t="n">
        <x:v>0</x:v>
      </x:c>
      <x:c r="L22" s="28" t="n">
        <x:v>4</x:v>
      </x:c>
      <x:c r="M22" s="31" t="str">
        <x:v>COMPLETED_NONZERO</x:v>
      </x:c>
      <x:c r="N22" s="43" t="str">
        <x:v>2026-08-26</x:v>
      </x:c>
      <x:c r="O22" s="31" t="str">
        <x:v>https://archive.org/advancedsearch.php</x:v>
      </x:c>
      <x:c r="P22" s="31" t="str">
        <x:v>Metadata text-item count; not a full-text lexical frequency. Secondary metric: Scholarly work discoverability count over OpenAlex search fields; not a corpus word frequency.</x:v>
      </x:c>
      <x:c r="Q22" s="19" t="str">
        <x:v>OPENALEX_WORK_COUNT</x:v>
      </x:c>
      <x:c r="R22" s="20" t="str">
        <x:v>12037</x:v>
      </x:c>
    </x:row>
    <x:row r="23" ht="34" customHeight="1">
      <x:c r="A23" s="25" t="str">
        <x:v>FT-SEED-R1B-P-1842-19</x:v>
      </x:c>
      <x:c r="B23" s="19" t="str">
        <x:v>1842</x:v>
      </x:c>
      <x:c r="C23" s="28" t="n">
        <x:v>19</x:v>
      </x:c>
      <x:c r="D23" s="31" t="str">
        <x:v>excessive heat</x:v>
      </x:c>
      <x:c r="E23" s="19" t="str">
        <x:v>INTERNET_ARCHIVE_METADATA_TEXT_ITEM_COUNT</x:v>
      </x:c>
      <x:c r="F23" s="28" t="str">
        <x:v>INTERNET_ARCHIVE_ADVANCEDSEARCH_NUMFOUND</x:v>
      </x:c>
      <x:c r="G23" s="31" t="str">
        <x:v>"excessive heat" AND mediatype:texts</x:v>
      </x:c>
      <x:c r="H23" s="19" t="str">
        <x:v>PHRASE_METADATA_SEARCH</x:v>
      </x:c>
      <x:c r="I23" s="31" t="str">
        <x:v>EXACT_PHRASE</x:v>
      </x:c>
      <x:c r="J23" s="28" t="n">
        <x:v>165</x:v>
      </x:c>
      <x:c r="K23" s="28" t="n">
        <x:v>0</x:v>
      </x:c>
      <x:c r="L23" s="28" t="n">
        <x:v>0</x:v>
      </x:c>
      <x:c r="M23" s="31" t="str">
        <x:v>COMPLETED_NONZERO</x:v>
      </x:c>
      <x:c r="N23" s="43" t="str">
        <x:v>2026-08-26</x:v>
      </x:c>
      <x:c r="O23" s="31" t="str">
        <x:v>https://archive.org/advancedsearch.php</x:v>
      </x:c>
      <x:c r="P23" s="31" t="str">
        <x:v>Metadata text-item count; not a full-text lexical frequency. Secondary metric: NOT_RUN_OPENALEX_DAILY_BUDGET_EXHAUSTED: shared provider response retained; no count fabricated.</x:v>
      </x:c>
      <x:c r="Q23" s="19" t="str">
        <x:v>OPENALEX_WORK_COUNT</x:v>
      </x:c>
      <x:c r="R23" s="20" t="str">
        <x:v>NOT_APPLICABLE</x:v>
      </x:c>
    </x:row>
    <x:row r="24" ht="34" customHeight="1">
      <x:c r="A24" s="25" t="str">
        <x:v>FT-SEED-R1B-P-1842-20</x:v>
      </x:c>
      <x:c r="B24" s="19" t="str">
        <x:v>1842</x:v>
      </x:c>
      <x:c r="C24" s="28" t="n">
        <x:v>20</x:v>
      </x:c>
      <x:c r="D24" s="31" t="str">
        <x:v>heat of the men</x:v>
      </x:c>
      <x:c r="E24" s="19" t="str">
        <x:v>INTERNET_ARCHIVE_METADATA_TEXT_ITEM_COUNT</x:v>
      </x:c>
      <x:c r="F24" s="28" t="str">
        <x:v>INTERNET_ARCHIVE_ADVANCEDSEARCH_NUMFOUND</x:v>
      </x:c>
      <x:c r="G24" s="31" t="str">
        <x:v>"heat of the men" AND mediatype:texts</x:v>
      </x:c>
      <x:c r="H24" s="19" t="str">
        <x:v>PHRASE_METADATA_SEARCH</x:v>
      </x:c>
      <x:c r="I24" s="31" t="str">
        <x:v>EXACT_PHRASE</x:v>
      </x:c>
      <x:c r="J24" s="28" t="n">
        <x:v>0</x:v>
      </x:c>
      <x:c r="K24" s="28" t="n">
        <x:v>0</x:v>
      </x:c>
      <x:c r="L24" s="28" t="n">
        <x:v>0</x:v>
      </x:c>
      <x:c r="M24" s="31" t="str">
        <x:v>COMPLETED_ZERO</x:v>
      </x:c>
      <x:c r="N24" s="43" t="str">
        <x:v>2026-08-26</x:v>
      </x:c>
      <x:c r="O24" s="31" t="str">
        <x:v>https://archive.org/advancedsearch.php</x:v>
      </x:c>
      <x:c r="P24" s="31" t="str">
        <x:v>Metadata text-item count; not a full-text lexical frequency. Secondary metric: NOT_RUN_OPENALEX_DAILY_BUDGET_EXHAUSTED: shared provider response retained; no count fabricated.</x:v>
      </x:c>
      <x:c r="Q24" s="19" t="str">
        <x:v>OPENALEX_WORK_COUNT</x:v>
      </x:c>
      <x:c r="R24" s="20" t="str">
        <x:v>NOT_APPLICABLE</x:v>
      </x:c>
    </x:row>
    <x:row r="25" ht="34" customHeight="1">
      <x:c r="A25" s="25" t="str">
        <x:v>FT-SEED-R1B-P-1842-21</x:v>
      </x:c>
      <x:c r="B25" s="19" t="str">
        <x:v>1842</x:v>
      </x:c>
      <x:c r="C25" s="28" t="n">
        <x:v>21</x:v>
      </x:c>
      <x:c r="D25" s="31" t="str">
        <x:v>heat of the irons</x:v>
      </x:c>
      <x:c r="E25" s="19" t="str">
        <x:v>INTERNET_ARCHIVE_METADATA_TEXT_ITEM_COUNT</x:v>
      </x:c>
      <x:c r="F25" s="28" t="str">
        <x:v>INTERNET_ARCHIVE_ADVANCEDSEARCH_NUMFOUND</x:v>
      </x:c>
      <x:c r="G25" s="31" t="str">
        <x:v>"heat of the irons" AND mediatype:texts</x:v>
      </x:c>
      <x:c r="H25" s="19" t="str">
        <x:v>PHRASE_METADATA_SEARCH</x:v>
      </x:c>
      <x:c r="I25" s="31" t="str">
        <x:v>EXACT_PHRASE</x:v>
      </x:c>
      <x:c r="J25" s="28" t="n">
        <x:v>0</x:v>
      </x:c>
      <x:c r="K25" s="28" t="n">
        <x:v>0</x:v>
      </x:c>
      <x:c r="L25" s="28" t="n">
        <x:v>0</x:v>
      </x:c>
      <x:c r="M25" s="31" t="str">
        <x:v>COMPLETED_ZERO</x:v>
      </x:c>
      <x:c r="N25" s="43" t="str">
        <x:v>2026-08-26</x:v>
      </x:c>
      <x:c r="O25" s="31" t="str">
        <x:v>https://archive.org/advancedsearch.php</x:v>
      </x:c>
      <x:c r="P25" s="31" t="str">
        <x:v>Metadata text-item count; not a full-text lexical frequency. Secondary metric: NOT_RUN_OPENALEX_DAILY_BUDGET_EXHAUSTED: shared provider response retained; no count fabricated.</x:v>
      </x:c>
      <x:c r="Q25" s="19" t="str">
        <x:v>OPENALEX_WORK_COUNT</x:v>
      </x:c>
      <x:c r="R25" s="20" t="str">
        <x:v>NOT_APPLICABLE</x:v>
      </x:c>
    </x:row>
    <x:row r="26" ht="34" customHeight="1">
      <x:c r="A26" s="25" t="str">
        <x:v>FT-SEED-R1B-P-1842-22</x:v>
      </x:c>
      <x:c r="B26" s="19" t="str">
        <x:v>1842</x:v>
      </x:c>
      <x:c r="C26" s="28" t="n">
        <x:v>22</x:v>
      </x:c>
      <x:c r="D26" s="31" t="str">
        <x:v>most suffocating</x:v>
      </x:c>
      <x:c r="E26" s="19" t="str">
        <x:v>INTERNET_ARCHIVE_METADATA_TEXT_ITEM_COUNT</x:v>
      </x:c>
      <x:c r="F26" s="28" t="str">
        <x:v>INTERNET_ARCHIVE_ADVANCEDSEARCH_NUMFOUND</x:v>
      </x:c>
      <x:c r="G26" s="31" t="str">
        <x:v>"most suffocating" AND mediatype:texts</x:v>
      </x:c>
      <x:c r="H26" s="19" t="str">
        <x:v>PHRASE_METADATA_SEARCH</x:v>
      </x:c>
      <x:c r="I26" s="31" t="str">
        <x:v>EXACT_PHRASE</x:v>
      </x:c>
      <x:c r="J26" s="28" t="n">
        <x:v>0</x:v>
      </x:c>
      <x:c r="K26" s="28" t="n">
        <x:v>0</x:v>
      </x:c>
      <x:c r="L26" s="28" t="n">
        <x:v>0</x:v>
      </x:c>
      <x:c r="M26" s="31" t="str">
        <x:v>COMPLETED_ZERO</x:v>
      </x:c>
      <x:c r="N26" s="43" t="str">
        <x:v>2026-08-26</x:v>
      </x:c>
      <x:c r="O26" s="31" t="str">
        <x:v>https://archive.org/advancedsearch.php</x:v>
      </x:c>
      <x:c r="P26" s="31" t="str">
        <x:v>Metadata text-item count; not a full-text lexical frequency. Secondary metric: NOT_RUN_OPENALEX_DAILY_BUDGET_EXHAUSTED: shared provider response retained; no count fabricated.</x:v>
      </x:c>
      <x:c r="Q26" s="19" t="str">
        <x:v>OPENALEX_WORK_COUNT</x:v>
      </x:c>
      <x:c r="R26" s="20" t="str">
        <x:v>NOT_APPLICABLE</x:v>
      </x:c>
    </x:row>
    <x:row r="27" ht="34" customHeight="1">
      <x:c r="A27" s="25" t="str">
        <x:v>FT-SEED-R1B-P-1842-23</x:v>
      </x:c>
      <x:c r="B27" s="19" t="str">
        <x:v>1842</x:v>
      </x:c>
      <x:c r="C27" s="28" t="n">
        <x:v>23</x:v>
      </x:c>
      <x:c r="D27" s="31" t="str">
        <x:v>faint away</x:v>
      </x:c>
      <x:c r="E27" s="19" t="str">
        <x:v>INTERNET_ARCHIVE_METADATA_TEXT_ITEM_COUNT</x:v>
      </x:c>
      <x:c r="F27" s="28" t="str">
        <x:v>INTERNET_ARCHIVE_ADVANCEDSEARCH_NUMFOUND</x:v>
      </x:c>
      <x:c r="G27" s="31" t="str">
        <x:v>"faint away" AND mediatype:texts</x:v>
      </x:c>
      <x:c r="H27" s="19" t="str">
        <x:v>PHRASE_METADATA_SEARCH</x:v>
      </x:c>
      <x:c r="I27" s="31" t="str">
        <x:v>EXACT_PHRASE</x:v>
      </x:c>
      <x:c r="J27" s="28" t="n">
        <x:v>2</x:v>
      </x:c>
      <x:c r="K27" s="28" t="n">
        <x:v>0</x:v>
      </x:c>
      <x:c r="L27" s="28" t="n">
        <x:v>0</x:v>
      </x:c>
      <x:c r="M27" s="31" t="str">
        <x:v>COMPLETED_NONZERO</x:v>
      </x:c>
      <x:c r="N27" s="43" t="str">
        <x:v>2026-08-26</x:v>
      </x:c>
      <x:c r="O27" s="31" t="str">
        <x:v>https://archive.org/advancedsearch.php</x:v>
      </x:c>
      <x:c r="P27" s="31" t="str">
        <x:v>Metadata text-item count; not a full-text lexical frequency. Secondary metric: NOT_RUN_OPENALEX_DAILY_BUDGET_EXHAUSTED: shared provider response retained; no count fabricated.</x:v>
      </x:c>
      <x:c r="Q27" s="19" t="str">
        <x:v>OPENALEX_WORK_COUNT</x:v>
      </x:c>
      <x:c r="R27" s="20" t="str">
        <x:v>NOT_APPLICABLE</x:v>
      </x:c>
    </x:row>
    <x:row r="28" ht="34" customHeight="1">
      <x:c r="A28" s="25" t="str">
        <x:v>FT-SEED-R1B-P-1842-24</x:v>
      </x:c>
      <x:c r="B28" s="19" t="str">
        <x:v>1842</x:v>
      </x:c>
      <x:c r="C28" s="28" t="n">
        <x:v>24</x:v>
      </x:c>
      <x:c r="D28" s="31" t="str">
        <x:v>perspiration</x:v>
      </x:c>
      <x:c r="E28" s="19" t="str">
        <x:v>INTERNET_ARCHIVE_METADATA_TEXT_ITEM_COUNT</x:v>
      </x:c>
      <x:c r="F28" s="28" t="str">
        <x:v>INTERNET_ARCHIVE_ADVANCEDSEARCH_NUMFOUND</x:v>
      </x:c>
      <x:c r="G28" s="31" t="str">
        <x:v>"perspiration" AND mediatype:texts</x:v>
      </x:c>
      <x:c r="H28" s="19" t="str">
        <x:v>PHRASE_METADATA_SEARCH</x:v>
      </x:c>
      <x:c r="I28" s="31" t="str">
        <x:v>EXACT_PHRASE</x:v>
      </x:c>
      <x:c r="J28" s="28" t="n">
        <x:v>551</x:v>
      </x:c>
      <x:c r="K28" s="28" t="n">
        <x:v>0</x:v>
      </x:c>
      <x:c r="L28" s="28" t="n">
        <x:v>2</x:v>
      </x:c>
      <x:c r="M28" s="31" t="str">
        <x:v>COMPLETED_NONZERO</x:v>
      </x:c>
      <x:c r="N28" s="43" t="str">
        <x:v>2026-08-26</x:v>
      </x:c>
      <x:c r="O28" s="31" t="str">
        <x:v>https://archive.org/advancedsearch.php</x:v>
      </x:c>
      <x:c r="P28" s="31" t="str">
        <x:v>Metadata text-item count; not a full-text lexical frequency. Secondary metric: NOT_RUN_OPENALEX_DAILY_BUDGET_EXHAUSTED: shared provider response retained; no count fabricated.</x:v>
      </x:c>
      <x:c r="Q28" s="19" t="str">
        <x:v>OPENALEX_WORK_COUNT</x:v>
      </x:c>
      <x:c r="R28" s="20" t="str">
        <x:v>NOT_APPLICABLE</x:v>
      </x:c>
    </x:row>
    <x:row r="29" ht="34" customHeight="1">
      <x:c r="A29" s="25" t="str">
        <x:v>FT-SEED-R1B-P-1842-25</x:v>
      </x:c>
      <x:c r="B29" s="19" t="str">
        <x:v>1842</x:v>
      </x:c>
      <x:c r="C29" s="28" t="n">
        <x:v>25</x:v>
      </x:c>
      <x:c r="D29" s="31" t="str">
        <x:v>depressing effect</x:v>
      </x:c>
      <x:c r="E29" s="19" t="str">
        <x:v>INTERNET_ARCHIVE_METADATA_TEXT_ITEM_COUNT</x:v>
      </x:c>
      <x:c r="F29" s="28" t="str">
        <x:v>INTERNET_ARCHIVE_ADVANCEDSEARCH_NUMFOUND</x:v>
      </x:c>
      <x:c r="G29" s="31" t="str">
        <x:v>"depressing effect" AND mediatype:texts</x:v>
      </x:c>
      <x:c r="H29" s="19" t="str">
        <x:v>PHRASE_METADATA_SEARCH</x:v>
      </x:c>
      <x:c r="I29" s="31" t="str">
        <x:v>EXACT_PHRASE</x:v>
      </x:c>
      <x:c r="J29" s="28" t="n">
        <x:v>62</x:v>
      </x:c>
      <x:c r="K29" s="28" t="n">
        <x:v>0</x:v>
      </x:c>
      <x:c r="L29" s="28" t="n">
        <x:v>0</x:v>
      </x:c>
      <x:c r="M29" s="31" t="str">
        <x:v>COMPLETED_NONZERO</x:v>
      </x:c>
      <x:c r="N29" s="43" t="str">
        <x:v>2026-08-26</x:v>
      </x:c>
      <x:c r="O29" s="31" t="str">
        <x:v>https://archive.org/advancedsearch.php</x:v>
      </x:c>
      <x:c r="P29" s="31" t="str">
        <x:v>Metadata text-item count; not a full-text lexical frequency. Secondary metric: NOT_RUN_OPENALEX_DAILY_BUDGET_EXHAUSTED: shared provider response retained; no count fabricated.</x:v>
      </x:c>
      <x:c r="Q29" s="19" t="str">
        <x:v>OPENALEX_WORK_COUNT</x:v>
      </x:c>
      <x:c r="R29" s="20" t="str">
        <x:v>NOT_APPLICABLE</x:v>
      </x:c>
    </x:row>
    <x:row r="30" ht="34" customHeight="1">
      <x:c r="A30" s="25" t="str">
        <x:v>FT-SEED-R1B-P-1842-26</x:v>
      </x:c>
      <x:c r="B30" s="19" t="str">
        <x:v>1842</x:v>
      </x:c>
      <x:c r="C30" s="28" t="n">
        <x:v>26</x:v>
      </x:c>
      <x:c r="D30" s="31" t="str">
        <x:v>complain of the heat</x:v>
      </x:c>
      <x:c r="E30" s="19" t="str">
        <x:v>INTERNET_ARCHIVE_METADATA_TEXT_ITEM_COUNT</x:v>
      </x:c>
      <x:c r="F30" s="28" t="str">
        <x:v>INTERNET_ARCHIVE_ADVANCEDSEARCH_NUMFOUND</x:v>
      </x:c>
      <x:c r="G30" s="31" t="str">
        <x:v>"complain of the heat" AND mediatype:texts</x:v>
      </x:c>
      <x:c r="H30" s="19" t="str">
        <x:v>PHRASE_METADATA_SEARCH</x:v>
      </x:c>
      <x:c r="I30" s="31" t="str">
        <x:v>EXACT_PHRASE</x:v>
      </x:c>
      <x:c r="J30" s="28" t="n">
        <x:v>0</x:v>
      </x:c>
      <x:c r="K30" s="28" t="n">
        <x:v>0</x:v>
      </x:c>
      <x:c r="L30" s="28" t="n">
        <x:v>0</x:v>
      </x:c>
      <x:c r="M30" s="31" t="str">
        <x:v>COMPLETED_ZERO</x:v>
      </x:c>
      <x:c r="N30" s="43" t="str">
        <x:v>2026-08-26</x:v>
      </x:c>
      <x:c r="O30" s="31" t="str">
        <x:v>https://archive.org/advancedsearch.php</x:v>
      </x:c>
      <x:c r="P30" s="31" t="str">
        <x:v>Metadata text-item count; not a full-text lexical frequency. Secondary metric: Scholarly work discoverability count over OpenAlex search fields; not a corpus word frequency.</x:v>
      </x:c>
      <x:c r="Q30" s="19" t="str">
        <x:v>OPENALEX_WORK_COUNT</x:v>
      </x:c>
      <x:c r="R30" s="20" t="str">
        <x:v>9</x:v>
      </x:c>
    </x:row>
    <x:row r="31" ht="34" customHeight="1">
      <x:c r="A31" s="25" t="str">
        <x:v>FT-SEED-R1B-P-1842-27</x:v>
      </x:c>
      <x:c r="B31" s="19" t="str">
        <x:v>1842</x:v>
      </x:c>
      <x:c r="C31" s="28" t="n">
        <x:v>27</x:v>
      </x:c>
      <x:c r="D31" s="31" t="str">
        <x:v>premature heat of the weather</x:v>
      </x:c>
      <x:c r="E31" s="19" t="str">
        <x:v>INTERNET_ARCHIVE_METADATA_TEXT_ITEM_COUNT</x:v>
      </x:c>
      <x:c r="F31" s="28" t="str">
        <x:v>INTERNET_ARCHIVE_ADVANCEDSEARCH_NUMFOUND</x:v>
      </x:c>
      <x:c r="G31" s="31" t="str">
        <x:v>"premature heat of the weather" AND mediatype:texts</x:v>
      </x:c>
      <x:c r="H31" s="19" t="str">
        <x:v>PHRASE_METADATA_SEARCH</x:v>
      </x:c>
      <x:c r="I31" s="31" t="str">
        <x:v>EXACT_PHRASE</x:v>
      </x:c>
      <x:c r="J31" s="28" t="n">
        <x:v>0</x:v>
      </x:c>
      <x:c r="K31" s="28" t="n">
        <x:v>0</x:v>
      </x:c>
      <x:c r="L31" s="28" t="n">
        <x:v>0</x:v>
      </x:c>
      <x:c r="M31" s="31" t="str">
        <x:v>COMPLETED_ZERO</x:v>
      </x:c>
      <x:c r="N31" s="43" t="str">
        <x:v>2026-08-26</x:v>
      </x:c>
      <x:c r="O31" s="31" t="str">
        <x:v>https://archive.org/advancedsearch.php</x:v>
      </x:c>
      <x:c r="P31" s="31" t="str">
        <x:v>Metadata text-item count; not a full-text lexical frequency. Secondary metric: NOT_RUN_OPENALEX_DAILY_BUDGET_EXHAUSTED: shared provider response retained; no count fabricated.</x:v>
      </x:c>
      <x:c r="Q31" s="19" t="str">
        <x:v>OPENALEX_WORK_COUNT</x:v>
      </x:c>
      <x:c r="R31" s="20" t="str">
        <x:v>NOT_APPLICABLE</x:v>
      </x:c>
    </x:row>
    <x:row r="32" ht="34" customHeight="1">
      <x:c r="A32" s="25" t="str">
        <x:v>FT-SEED-R1B-P-1842-28</x:v>
      </x:c>
      <x:c r="B32" s="19" t="str">
        <x:v>1842</x:v>
      </x:c>
      <x:c r="C32" s="28" t="n">
        <x:v>28</x:v>
      </x:c>
      <x:c r="D32" s="31" t="str">
        <x:v>suffered more from cold than from heat</x:v>
      </x:c>
      <x:c r="E32" s="19" t="str">
        <x:v>INTERNET_ARCHIVE_METADATA_TEXT_ITEM_COUNT</x:v>
      </x:c>
      <x:c r="F32" s="28" t="str">
        <x:v>INTERNET_ARCHIVE_ADVANCEDSEARCH_NUMFOUND</x:v>
      </x:c>
      <x:c r="G32" s="31" t="str">
        <x:v>"suffered more from cold than from heat" AND mediatype:texts</x:v>
      </x:c>
      <x:c r="H32" s="19" t="str">
        <x:v>PHRASE_METADATA_SEARCH</x:v>
      </x:c>
      <x:c r="I32" s="31" t="str">
        <x:v>EXACT_PHRASE</x:v>
      </x:c>
      <x:c r="J32" s="28" t="n">
        <x:v>0</x:v>
      </x:c>
      <x:c r="K32" s="28" t="n">
        <x:v>0</x:v>
      </x:c>
      <x:c r="L32" s="28" t="n">
        <x:v>0</x:v>
      </x:c>
      <x:c r="M32" s="31" t="str">
        <x:v>COMPLETED_ZERO</x:v>
      </x:c>
      <x:c r="N32" s="43" t="str">
        <x:v>2026-08-26</x:v>
      </x:c>
      <x:c r="O32" s="31" t="str">
        <x:v>https://archive.org/advancedsearch.php</x:v>
      </x:c>
      <x:c r="P32" s="31" t="str">
        <x:v>Metadata text-item count; not a full-text lexical frequency. Secondary metric: NOT_RUN_OPENALEX_DAILY_BUDGET_EXHAUSTED: shared provider response retained; no count fabricated.</x:v>
      </x:c>
      <x:c r="Q32" s="19" t="str">
        <x:v>OPENALEX_WORK_COUNT</x:v>
      </x:c>
      <x:c r="R32" s="20" t="str">
        <x:v>NOT_APPLICABLE</x:v>
      </x:c>
    </x:row>
    <x:row r="33" ht="34" customHeight="1">
      <x:c r="A33" s="25" t="str">
        <x:v>FT-SEED-R1B-P-1842-29</x:v>
      </x:c>
      <x:c r="B33" s="19" t="str">
        <x:v>1842</x:v>
      </x:c>
      <x:c r="C33" s="28" t="n">
        <x:v>29</x:v>
      </x:c>
      <x:c r="D33" s="31" t="str">
        <x:v>sickness and mortality</x:v>
      </x:c>
      <x:c r="E33" s="19" t="str">
        <x:v>INTERNET_ARCHIVE_METADATA_TEXT_ITEM_COUNT</x:v>
      </x:c>
      <x:c r="F33" s="28" t="str">
        <x:v>INTERNET_ARCHIVE_ADVANCEDSEARCH_NUMFOUND</x:v>
      </x:c>
      <x:c r="G33" s="31" t="str">
        <x:v>"sickness and mortality" AND mediatype:texts</x:v>
      </x:c>
      <x:c r="H33" s="19" t="str">
        <x:v>PHRASE_METADATA_SEARCH</x:v>
      </x:c>
      <x:c r="I33" s="31" t="str">
        <x:v>EXACT_PHRASE</x:v>
      </x:c>
      <x:c r="J33" s="28" t="n">
        <x:v>73</x:v>
      </x:c>
      <x:c r="K33" s="28" t="n">
        <x:v>0</x:v>
      </x:c>
      <x:c r="L33" s="28" t="n">
        <x:v>18</x:v>
      </x:c>
      <x:c r="M33" s="31" t="str">
        <x:v>COMPLETED_NONZERO</x:v>
      </x:c>
      <x:c r="N33" s="43" t="str">
        <x:v>2026-08-26</x:v>
      </x:c>
      <x:c r="O33" s="31" t="str">
        <x:v>https://archive.org/advancedsearch.php</x:v>
      </x:c>
      <x:c r="P33" s="31" t="str">
        <x:v>Metadata text-item count; not a full-text lexical frequency. Secondary metric: NOT_RUN_OPENALEX_DAILY_BUDGET_EXHAUSTED: shared provider response retained; no count fabricated.</x:v>
      </x:c>
      <x:c r="Q33" s="19" t="str">
        <x:v>OPENALEX_WORK_COUNT</x:v>
      </x:c>
      <x:c r="R33" s="20" t="str">
        <x:v>NOT_APPLICABLE</x:v>
      </x:c>
    </x:row>
    <x:row r="34" ht="34" customHeight="1">
      <x:c r="A34" s="25" t="str">
        <x:v>FT-SEED-R1B-P-1842-30</x:v>
      </x:c>
      <x:c r="B34" s="19" t="str">
        <x:v>1842</x:v>
      </x:c>
      <x:c r="C34" s="28" t="n">
        <x:v>30</x:v>
      </x:c>
      <x:c r="D34" s="31" t="str">
        <x:v>alarm to the public</x:v>
      </x:c>
      <x:c r="E34" s="19" t="str">
        <x:v>INTERNET_ARCHIVE_METADATA_TEXT_ITEM_COUNT</x:v>
      </x:c>
      <x:c r="F34" s="28" t="str">
        <x:v>INTERNET_ARCHIVE_ADVANCEDSEARCH_NUMFOUND</x:v>
      </x:c>
      <x:c r="G34" s="31" t="str">
        <x:v>"alarm to the public" AND mediatype:texts</x:v>
      </x:c>
      <x:c r="H34" s="19" t="str">
        <x:v>PHRASE_METADATA_SEARCH</x:v>
      </x:c>
      <x:c r="I34" s="31" t="str">
        <x:v>EXACT_PHRASE</x:v>
      </x:c>
      <x:c r="J34" s="28" t="n">
        <x:v>3</x:v>
      </x:c>
      <x:c r="K34" s="28" t="n">
        <x:v>0</x:v>
      </x:c>
      <x:c r="L34" s="28" t="n">
        <x:v>0</x:v>
      </x:c>
      <x:c r="M34" s="31" t="str">
        <x:v>COMPLETED_NONZERO</x:v>
      </x:c>
      <x:c r="N34" s="43" t="str">
        <x:v>2026-08-26</x:v>
      </x:c>
      <x:c r="O34" s="31" t="str">
        <x:v>https://archive.org/advancedsearch.php</x:v>
      </x:c>
      <x:c r="P34" s="31" t="str">
        <x:v>Metadata text-item count; not a full-text lexical frequency. Secondary metric: Scholarly work discoverability count over OpenAlex search fields; not a corpus word frequency.</x:v>
      </x:c>
      <x:c r="Q34" s="19" t="str">
        <x:v>OPENALEX_WORK_COUNT</x:v>
      </x:c>
      <x:c r="R34" s="20" t="str">
        <x:v>110</x:v>
      </x:c>
    </x:row>
    <x:row r="35" ht="34" customHeight="1">
      <x:c r="A35" s="25" t="str">
        <x:v>FT-SEED-R1B-P-1938-01</x:v>
      </x:c>
      <x:c r="B35" s="19" t="str">
        <x:v>1938</x:v>
      </x:c>
      <x:c r="C35" s="28" t="n">
        <x:v>1</x:v>
      </x:c>
      <x:c r="D35" s="31" t="str">
        <x:v>artificial production of carbon dioxide</x:v>
      </x:c>
      <x:c r="E35" s="19" t="str">
        <x:v>INTERNET_ARCHIVE_METADATA_TEXT_ITEM_COUNT</x:v>
      </x:c>
      <x:c r="F35" s="28" t="str">
        <x:v>INTERNET_ARCHIVE_ADVANCEDSEARCH_NUMFOUND</x:v>
      </x:c>
      <x:c r="G35" s="31" t="str">
        <x:v>"artificial production of carbon dioxide" AND mediatype:texts</x:v>
      </x:c>
      <x:c r="H35" s="19" t="str">
        <x:v>PHRASE_METADATA_SEARCH</x:v>
      </x:c>
      <x:c r="I35" s="31" t="str">
        <x:v>EXACT_PHRASE</x:v>
      </x:c>
      <x:c r="J35" s="28" t="n">
        <x:v>0</x:v>
      </x:c>
      <x:c r="K35" s="28" t="n">
        <x:v>0</x:v>
      </x:c>
      <x:c r="L35" s="28" t="n">
        <x:v>0</x:v>
      </x:c>
      <x:c r="M35" s="31" t="str">
        <x:v>COMPLETED_ZERO</x:v>
      </x:c>
      <x:c r="N35" s="43" t="str">
        <x:v>2026-08-26</x:v>
      </x:c>
      <x:c r="O35" s="31" t="str">
        <x:v>https://archive.org/advancedsearch.php</x:v>
      </x:c>
      <x:c r="P35" s="31" t="str">
        <x:v>Metadata text-item count; not a full-text lexical frequency. Secondary metric: Scholarly work discoverability count over OpenAlex search fields; not a corpus word frequency.</x:v>
      </x:c>
      <x:c r="Q35" s="19" t="str">
        <x:v>OPENALEX_WORK_COUNT</x:v>
      </x:c>
      <x:c r="R35" s="20" t="str">
        <x:v>270</x:v>
      </x:c>
    </x:row>
    <x:row r="36" ht="34" customHeight="1">
      <x:c r="A36" s="25" t="str">
        <x:v>FT-SEED-R1B-P-1938-02</x:v>
      </x:c>
      <x:c r="B36" s="19" t="str">
        <x:v>1938</x:v>
      </x:c>
      <x:c r="C36" s="28" t="n">
        <x:v>2</x:v>
      </x:c>
      <x:c r="D36" s="31" t="str">
        <x:v>carbon dioxide</x:v>
      </x:c>
      <x:c r="E36" s="19" t="str">
        <x:v>INTERNET_ARCHIVE_METADATA_TEXT_ITEM_COUNT</x:v>
      </x:c>
      <x:c r="F36" s="28" t="str">
        <x:v>INTERNET_ARCHIVE_ADVANCEDSEARCH_NUMFOUND</x:v>
      </x:c>
      <x:c r="G36" s="31" t="str">
        <x:v>"carbon dioxide" AND mediatype:texts</x:v>
      </x:c>
      <x:c r="H36" s="19" t="str">
        <x:v>PHRASE_METADATA_SEARCH</x:v>
      </x:c>
      <x:c r="I36" s="31" t="str">
        <x:v>EXACT_PHRASE</x:v>
      </x:c>
      <x:c r="J36" s="28" t="n">
        <x:v>10042</x:v>
      </x:c>
      <x:c r="K36" s="28" t="n">
        <x:v>7</x:v>
      </x:c>
      <x:c r="L36" s="28" t="n">
        <x:v>29</x:v>
      </x:c>
      <x:c r="M36" s="31" t="str">
        <x:v>COMPLETED_NONZERO</x:v>
      </x:c>
      <x:c r="N36" s="43" t="str">
        <x:v>2026-08-26</x:v>
      </x:c>
      <x:c r="O36" s="31" t="str">
        <x:v>https://archive.org/advancedsearch.php</x:v>
      </x:c>
      <x:c r="P36" s="31" t="str">
        <x:v>Metadata text-item count; not a full-text lexical frequency. Secondary metric: Scholarly work discoverability count over OpenAlex search fields; not a corpus word frequency.</x:v>
      </x:c>
      <x:c r="Q36" s="19" t="str">
        <x:v>OPENALEX_WORK_COUNT</x:v>
      </x:c>
      <x:c r="R36" s="20" t="str">
        <x:v>1319347</x:v>
      </x:c>
    </x:row>
    <x:row r="37" ht="34" customHeight="1">
      <x:c r="A37" s="25" t="str">
        <x:v>FT-SEED-R1B-P-1938-03</x:v>
      </x:c>
      <x:c r="B37" s="19" t="str">
        <x:v>1938</x:v>
      </x:c>
      <x:c r="C37" s="28" t="n">
        <x:v>3</x:v>
      </x:c>
      <x:c r="D37" s="31" t="str">
        <x:v>fuel combustion</x:v>
      </x:c>
      <x:c r="E37" s="19" t="str">
        <x:v>INTERNET_ARCHIVE_METADATA_TEXT_ITEM_COUNT</x:v>
      </x:c>
      <x:c r="F37" s="28" t="str">
        <x:v>INTERNET_ARCHIVE_ADVANCEDSEARCH_NUMFOUND</x:v>
      </x:c>
      <x:c r="G37" s="31" t="str">
        <x:v>"fuel combustion" AND mediatype:texts</x:v>
      </x:c>
      <x:c r="H37" s="19" t="str">
        <x:v>PHRASE_METADATA_SEARCH</x:v>
      </x:c>
      <x:c r="I37" s="31" t="str">
        <x:v>EXACT_PHRASE</x:v>
      </x:c>
      <x:c r="J37" s="28" t="n">
        <x:v>660</x:v>
      </x:c>
      <x:c r="K37" s="28" t="n">
        <x:v>0</x:v>
      </x:c>
      <x:c r="L37" s="28" t="n">
        <x:v>0</x:v>
      </x:c>
      <x:c r="M37" s="31" t="str">
        <x:v>COMPLETED_NONZERO</x:v>
      </x:c>
      <x:c r="N37" s="43" t="str">
        <x:v>2026-08-26</x:v>
      </x:c>
      <x:c r="O37" s="31" t="str">
        <x:v>https://archive.org/advancedsearch.php</x:v>
      </x:c>
      <x:c r="P37" s="31" t="str">
        <x:v>Metadata text-item count; not a full-text lexical frequency. Secondary metric: NOT_RUN_OPENALEX_DAILY_BUDGET_EXHAUSTED: shared provider response retained; no count fabricated.</x:v>
      </x:c>
      <x:c r="Q37" s="19" t="str">
        <x:v>OPENALEX_WORK_COUNT</x:v>
      </x:c>
      <x:c r="R37" s="20" t="str">
        <x:v>NOT_APPLICABLE</x:v>
      </x:c>
    </x:row>
    <x:row r="38" ht="34" customHeight="1">
      <x:c r="A38" s="25" t="str">
        <x:v>FT-SEED-R1B-P-1938-04</x:v>
      </x:c>
      <x:c r="B38" s="19" t="str">
        <x:v>1938</x:v>
      </x:c>
      <x:c r="C38" s="28" t="n">
        <x:v>4</x:v>
      </x:c>
      <x:c r="D38" s="31" t="str">
        <x:v>air</x:v>
      </x:c>
      <x:c r="E38" s="19" t="str">
        <x:v>INTERNET_ARCHIVE_METADATA_TEXT_ITEM_COUNT</x:v>
      </x:c>
      <x:c r="F38" s="28" t="str">
        <x:v>INTERNET_ARCHIVE_ADVANCEDSEARCH_NUMFOUND</x:v>
      </x:c>
      <x:c r="G38" s="31" t="str">
        <x:v>"air" AND mediatype:texts</x:v>
      </x:c>
      <x:c r="H38" s="19" t="str">
        <x:v>PHRASE_METADATA_SEARCH</x:v>
      </x:c>
      <x:c r="I38" s="31" t="str">
        <x:v>EXACT_PHRASE</x:v>
      </x:c>
      <x:c r="J38" s="28" t="n">
        <x:v>406830</x:v>
      </x:c>
      <x:c r="K38" s="28" t="n">
        <x:v>1800</x:v>
      </x:c>
      <x:c r="L38" s="28" t="n">
        <x:v>8904</x:v>
      </x:c>
      <x:c r="M38" s="31" t="str">
        <x:v>COMPLETED_NONZERO</x:v>
      </x:c>
      <x:c r="N38" s="43" t="str">
        <x:v>2026-08-26</x:v>
      </x:c>
      <x:c r="O38" s="31" t="str">
        <x:v>https://archive.org/advancedsearch.php</x:v>
      </x:c>
      <x:c r="P38" s="31" t="str">
        <x:v>Metadata text-item count; not a full-text lexical frequency. Secondary metric: Scholarly work discoverability count over OpenAlex search fields; not a corpus word frequency.</x:v>
      </x:c>
      <x:c r="Q38" s="19" t="str">
        <x:v>OPENALEX_WORK_COUNT</x:v>
      </x:c>
      <x:c r="R38" s="20" t="str">
        <x:v>8872588</x:v>
      </x:c>
    </x:row>
    <x:row r="39" ht="34" customHeight="1">
      <x:c r="A39" s="25" t="str">
        <x:v>FT-SEED-R1B-P-1938-05</x:v>
      </x:c>
      <x:c r="B39" s="19" t="str">
        <x:v>1938</x:v>
      </x:c>
      <x:c r="C39" s="28" t="n">
        <x:v>5</x:v>
      </x:c>
      <x:c r="D39" s="31" t="str">
        <x:v>atmosphere</x:v>
      </x:c>
      <x:c r="E39" s="19" t="str">
        <x:v>INTERNET_ARCHIVE_METADATA_TEXT_ITEM_COUNT</x:v>
      </x:c>
      <x:c r="F39" s="28" t="str">
        <x:v>INTERNET_ARCHIVE_ADVANCEDSEARCH_NUMFOUND</x:v>
      </x:c>
      <x:c r="G39" s="31" t="str">
        <x:v>"atmosphere" AND mediatype:texts</x:v>
      </x:c>
      <x:c r="H39" s="19" t="str">
        <x:v>PHRASE_METADATA_SEARCH</x:v>
      </x:c>
      <x:c r="I39" s="31" t="str">
        <x:v>EXACT_PHRASE</x:v>
      </x:c>
      <x:c r="J39" s="28" t="n">
        <x:v>41908</x:v>
      </x:c>
      <x:c r="K39" s="28" t="n">
        <x:v>35</x:v>
      </x:c>
      <x:c r="L39" s="28" t="n">
        <x:v>186</x:v>
      </x:c>
      <x:c r="M39" s="31" t="str">
        <x:v>COMPLETED_NONZERO</x:v>
      </x:c>
      <x:c r="N39" s="43" t="str">
        <x:v>2026-08-26</x:v>
      </x:c>
      <x:c r="O39" s="31" t="str">
        <x:v>https://archive.org/advancedsearch.php</x:v>
      </x:c>
      <x:c r="P39" s="31" t="str">
        <x:v>Metadata text-item count; not a full-text lexical frequency. Secondary metric: Scholarly work discoverability count over OpenAlex search fields; not a corpus word frequency.</x:v>
      </x:c>
      <x:c r="Q39" s="19" t="str">
        <x:v>OPENALEX_WORK_COUNT</x:v>
      </x:c>
      <x:c r="R39" s="20" t="str">
        <x:v>3201156</x:v>
      </x:c>
    </x:row>
    <x:row r="40" ht="34" customHeight="1">
      <x:c r="A40" s="25" t="str">
        <x:v>FT-SEED-R1B-P-1938-06</x:v>
      </x:c>
      <x:c r="B40" s="19" t="str">
        <x:v>1938</x:v>
      </x:c>
      <x:c r="C40" s="28" t="n">
        <x:v>6</x:v>
      </x:c>
      <x:c r="D40" s="31" t="str">
        <x:v>radiation absorption coefficients</x:v>
      </x:c>
      <x:c r="E40" s="19" t="str">
        <x:v>INTERNET_ARCHIVE_METADATA_TEXT_ITEM_COUNT</x:v>
      </x:c>
      <x:c r="F40" s="28" t="str">
        <x:v>INTERNET_ARCHIVE_ADVANCEDSEARCH_NUMFOUND</x:v>
      </x:c>
      <x:c r="G40" s="31" t="str">
        <x:v>"radiation absorption coefficients" AND mediatype:texts</x:v>
      </x:c>
      <x:c r="H40" s="19" t="str">
        <x:v>PHRASE_METADATA_SEARCH</x:v>
      </x:c>
      <x:c r="I40" s="31" t="str">
        <x:v>EXACT_PHRASE</x:v>
      </x:c>
      <x:c r="J40" s="28" t="n">
        <x:v>20</x:v>
      </x:c>
      <x:c r="K40" s="28" t="n">
        <x:v>0</x:v>
      </x:c>
      <x:c r="L40" s="28" t="n">
        <x:v>0</x:v>
      </x:c>
      <x:c r="M40" s="31" t="str">
        <x:v>COMPLETED_NONZERO</x:v>
      </x:c>
      <x:c r="N40" s="43" t="str">
        <x:v>2026-08-26</x:v>
      </x:c>
      <x:c r="O40" s="31" t="str">
        <x:v>https://archive.org/advancedsearch.php</x:v>
      </x:c>
      <x:c r="P40" s="31" t="str">
        <x:v>Metadata text-item count; not a full-text lexical frequency. Secondary metric: NOT_RUN_OPENALEX_DAILY_BUDGET_EXHAUSTED: shared provider response retained; no count fabricated.</x:v>
      </x:c>
      <x:c r="Q40" s="19" t="str">
        <x:v>OPENALEX_WORK_COUNT</x:v>
      </x:c>
      <x:c r="R40" s="20" t="str">
        <x:v>NOT_APPLICABLE</x:v>
      </x:c>
    </x:row>
    <x:row r="41" ht="34" customHeight="1">
      <x:c r="A41" s="25" t="str">
        <x:v>FT-SEED-R1B-P-1938-07</x:v>
      </x:c>
      <x:c r="B41" s="19" t="str">
        <x:v>1938</x:v>
      </x:c>
      <x:c r="C41" s="28" t="n">
        <x:v>7</x:v>
      </x:c>
      <x:c r="D41" s="31" t="str">
        <x:v>water vapour</x:v>
      </x:c>
      <x:c r="E41" s="19" t="str">
        <x:v>INTERNET_ARCHIVE_METADATA_TEXT_ITEM_COUNT</x:v>
      </x:c>
      <x:c r="F41" s="28" t="str">
        <x:v>INTERNET_ARCHIVE_ADVANCEDSEARCH_NUMFOUND</x:v>
      </x:c>
      <x:c r="G41" s="31" t="str">
        <x:v>"water vapour" AND mediatype:texts</x:v>
      </x:c>
      <x:c r="H41" s="19" t="str">
        <x:v>PHRASE_METADATA_SEARCH</x:v>
      </x:c>
      <x:c r="I41" s="31" t="str">
        <x:v>EXACT_PHRASE</x:v>
      </x:c>
      <x:c r="J41" s="28" t="n">
        <x:v>371</x:v>
      </x:c>
      <x:c r="K41" s="28" t="n">
        <x:v>0</x:v>
      </x:c>
      <x:c r="L41" s="28" t="n">
        <x:v>0</x:v>
      </x:c>
      <x:c r="M41" s="31" t="str">
        <x:v>COMPLETED_NONZERO</x:v>
      </x:c>
      <x:c r="N41" s="43" t="str">
        <x:v>2026-08-26</x:v>
      </x:c>
      <x:c r="O41" s="31" t="str">
        <x:v>https://archive.org/advancedsearch.php</x:v>
      </x:c>
      <x:c r="P41" s="31" t="str">
        <x:v>Metadata text-item count; not a full-text lexical frequency. Secondary metric: NOT_RUN_OPENALEX_DAILY_BUDGET_EXHAUSTED: shared provider response retained; no count fabricated.</x:v>
      </x:c>
      <x:c r="Q41" s="19" t="str">
        <x:v>OPENALEX_WORK_COUNT</x:v>
      </x:c>
      <x:c r="R41" s="20" t="str">
        <x:v>NOT_APPLICABLE</x:v>
      </x:c>
    </x:row>
    <x:row r="42" ht="34" customHeight="1">
      <x:c r="A42" s="25" t="str">
        <x:v>FT-SEED-R1B-P-1938-08</x:v>
      </x:c>
      <x:c r="B42" s="19" t="str">
        <x:v>1938</x:v>
      </x:c>
      <x:c r="C42" s="28" t="n">
        <x:v>8</x:v>
      </x:c>
      <x:c r="D42" s="31" t="str">
        <x:v>sky radiation</x:v>
      </x:c>
      <x:c r="E42" s="19" t="str">
        <x:v>INTERNET_ARCHIVE_METADATA_TEXT_ITEM_COUNT</x:v>
      </x:c>
      <x:c r="F42" s="28" t="str">
        <x:v>INTERNET_ARCHIVE_ADVANCEDSEARCH_NUMFOUND</x:v>
      </x:c>
      <x:c r="G42" s="31" t="str">
        <x:v>"sky radiation" AND mediatype:texts</x:v>
      </x:c>
      <x:c r="H42" s="19" t="str">
        <x:v>PHRASE_METADATA_SEARCH</x:v>
      </x:c>
      <x:c r="I42" s="31" t="str">
        <x:v>EXACT_PHRASE</x:v>
      </x:c>
      <x:c r="J42" s="28" t="n">
        <x:v>78</x:v>
      </x:c>
      <x:c r="K42" s="28" t="n">
        <x:v>0</x:v>
      </x:c>
      <x:c r="L42" s="28" t="n">
        <x:v>0</x:v>
      </x:c>
      <x:c r="M42" s="31" t="str">
        <x:v>COMPLETED_NONZERO</x:v>
      </x:c>
      <x:c r="N42" s="43" t="str">
        <x:v>2026-08-26</x:v>
      </x:c>
      <x:c r="O42" s="31" t="str">
        <x:v>https://archive.org/advancedsearch.php</x:v>
      </x:c>
      <x:c r="P42" s="31" t="str">
        <x:v>Metadata text-item count; not a full-text lexical frequency. Secondary metric: NOT_RUN_OPENALEX_DAILY_BUDGET_EXHAUSTED: shared provider response retained; no count fabricated.</x:v>
      </x:c>
      <x:c r="Q42" s="19" t="str">
        <x:v>OPENALEX_WORK_COUNT</x:v>
      </x:c>
      <x:c r="R42" s="20" t="str">
        <x:v>NOT_APPLICABLE</x:v>
      </x:c>
    </x:row>
    <x:row r="43" ht="34" customHeight="1">
      <x:c r="A43" s="25" t="str">
        <x:v>FT-SEED-R1B-P-1938-09</x:v>
      </x:c>
      <x:c r="B43" s="19" t="str">
        <x:v>1938</x:v>
      </x:c>
      <x:c r="C43" s="28" t="n">
        <x:v>9</x:v>
      </x:c>
      <x:c r="D43" s="31" t="str">
        <x:v>increase in mean temperature</x:v>
      </x:c>
      <x:c r="E43" s="19" t="str">
        <x:v>INTERNET_ARCHIVE_METADATA_TEXT_ITEM_COUNT</x:v>
      </x:c>
      <x:c r="F43" s="28" t="str">
        <x:v>INTERNET_ARCHIVE_ADVANCEDSEARCH_NUMFOUND</x:v>
      </x:c>
      <x:c r="G43" s="31" t="str">
        <x:v>"increase in mean temperature" AND mediatype:texts</x:v>
      </x:c>
      <x:c r="H43" s="19" t="str">
        <x:v>PHRASE_METADATA_SEARCH</x:v>
      </x:c>
      <x:c r="I43" s="31" t="str">
        <x:v>EXACT_PHRASE</x:v>
      </x:c>
      <x:c r="J43" s="28" t="n">
        <x:v>6</x:v>
      </x:c>
      <x:c r="K43" s="28" t="n">
        <x:v>0</x:v>
      </x:c>
      <x:c r="L43" s="28" t="n">
        <x:v>0</x:v>
      </x:c>
      <x:c r="M43" s="31" t="str">
        <x:v>COMPLETED_NONZERO</x:v>
      </x:c>
      <x:c r="N43" s="43" t="str">
        <x:v>2026-08-26</x:v>
      </x:c>
      <x:c r="O43" s="31" t="str">
        <x:v>https://archive.org/advancedsearch.php</x:v>
      </x:c>
      <x:c r="P43" s="31" t="str">
        <x:v>Metadata text-item count; not a full-text lexical frequency. Secondary metric: NOT_RUN_OPENALEX_DAILY_BUDGET_EXHAUSTED: shared provider response retained; no count fabricated.</x:v>
      </x:c>
      <x:c r="Q43" s="19" t="str">
        <x:v>OPENALEX_WORK_COUNT</x:v>
      </x:c>
      <x:c r="R43" s="20" t="str">
        <x:v>NOT_APPLICABLE</x:v>
      </x:c>
    </x:row>
    <x:row r="44" ht="34" customHeight="1">
      <x:c r="A44" s="25" t="str">
        <x:v>FT-SEED-R1B-P-1938-10</x:v>
      </x:c>
      <x:c r="B44" s="19" t="str">
        <x:v>1938</x:v>
      </x:c>
      <x:c r="C44" s="28" t="n">
        <x:v>10</x:v>
      </x:c>
      <x:c r="D44" s="31" t="str">
        <x:v>mean temperature</x:v>
      </x:c>
      <x:c r="E44" s="19" t="str">
        <x:v>INTERNET_ARCHIVE_METADATA_TEXT_ITEM_COUNT</x:v>
      </x:c>
      <x:c r="F44" s="28" t="str">
        <x:v>INTERNET_ARCHIVE_ADVANCEDSEARCH_NUMFOUND</x:v>
      </x:c>
      <x:c r="G44" s="31" t="str">
        <x:v>"mean temperature" AND mediatype:texts</x:v>
      </x:c>
      <x:c r="H44" s="19" t="str">
        <x:v>PHRASE_METADATA_SEARCH</x:v>
      </x:c>
      <x:c r="I44" s="31" t="str">
        <x:v>EXACT_PHRASE</x:v>
      </x:c>
      <x:c r="J44" s="28" t="n">
        <x:v>664</x:v>
      </x:c>
      <x:c r="K44" s="28" t="n">
        <x:v>0</x:v>
      </x:c>
      <x:c r="L44" s="28" t="n">
        <x:v>4</x:v>
      </x:c>
      <x:c r="M44" s="31" t="str">
        <x:v>COMPLETED_NONZERO</x:v>
      </x:c>
      <x:c r="N44" s="43" t="str">
        <x:v>2026-08-26</x:v>
      </x:c>
      <x:c r="O44" s="31" t="str">
        <x:v>https://archive.org/advancedsearch.php</x:v>
      </x:c>
      <x:c r="P44" s="31" t="str">
        <x:v>Metadata text-item count; not a full-text lexical frequency. Secondary metric: NOT_RUN_OPENALEX_DAILY_BUDGET_EXHAUSTED: shared provider response retained; no count fabricated.</x:v>
      </x:c>
      <x:c r="Q44" s="19" t="str">
        <x:v>OPENALEX_WORK_COUNT</x:v>
      </x:c>
      <x:c r="R44" s="20" t="str">
        <x:v>NOT_APPLICABLE</x:v>
      </x:c>
    </x:row>
    <x:row r="45" ht="34" customHeight="1">
      <x:c r="A45" s="25" t="str">
        <x:v>FT-SEED-R1B-P-1938-11</x:v>
      </x:c>
      <x:c r="B45" s="19" t="str">
        <x:v>1938</x:v>
      </x:c>
      <x:c r="C45" s="28" t="n">
        <x:v>11</x:v>
      </x:c>
      <x:c r="D45" s="31" t="str">
        <x:v>temperature observations</x:v>
      </x:c>
      <x:c r="E45" s="19" t="str">
        <x:v>INTERNET_ARCHIVE_METADATA_TEXT_ITEM_COUNT</x:v>
      </x:c>
      <x:c r="F45" s="28" t="str">
        <x:v>INTERNET_ARCHIVE_ADVANCEDSEARCH_NUMFOUND</x:v>
      </x:c>
      <x:c r="G45" s="31" t="str">
        <x:v>"temperature observations" AND mediatype:texts</x:v>
      </x:c>
      <x:c r="H45" s="19" t="str">
        <x:v>PHRASE_METADATA_SEARCH</x:v>
      </x:c>
      <x:c r="I45" s="31" t="str">
        <x:v>EXACT_PHRASE</x:v>
      </x:c>
      <x:c r="J45" s="28" t="n">
        <x:v>141</x:v>
      </x:c>
      <x:c r="K45" s="28" t="n">
        <x:v>0</x:v>
      </x:c>
      <x:c r="L45" s="28" t="n">
        <x:v>0</x:v>
      </x:c>
      <x:c r="M45" s="31" t="str">
        <x:v>COMPLETED_NONZERO</x:v>
      </x:c>
      <x:c r="N45" s="43" t="str">
        <x:v>2026-08-26</x:v>
      </x:c>
      <x:c r="O45" s="31" t="str">
        <x:v>https://archive.org/advancedsearch.php</x:v>
      </x:c>
      <x:c r="P45" s="31" t="str">
        <x:v>Metadata text-item count; not a full-text lexical frequency. Secondary metric: NOT_RUN_OPENALEX_DAILY_BUDGET_EXHAUSTED: shared provider response retained; no count fabricated.</x:v>
      </x:c>
      <x:c r="Q45" s="19" t="str">
        <x:v>OPENALEX_WORK_COUNT</x:v>
      </x:c>
      <x:c r="R45" s="20" t="str">
        <x:v>NOT_APPLICABLE</x:v>
      </x:c>
    </x:row>
    <x:row r="46" ht="34" customHeight="1">
      <x:c r="A46" s="25" t="str">
        <x:v>FT-SEED-R1B-P-1938-12</x:v>
      </x:c>
      <x:c r="B46" s="19" t="str">
        <x:v>1938</x:v>
      </x:c>
      <x:c r="C46" s="28" t="n">
        <x:v>12</x:v>
      </x:c>
      <x:c r="D46" s="31" t="str">
        <x:v>meteorological stations</x:v>
      </x:c>
      <x:c r="E46" s="19" t="str">
        <x:v>INTERNET_ARCHIVE_METADATA_TEXT_ITEM_COUNT</x:v>
      </x:c>
      <x:c r="F46" s="28" t="str">
        <x:v>INTERNET_ARCHIVE_ADVANCEDSEARCH_NUMFOUND</x:v>
      </x:c>
      <x:c r="G46" s="31" t="str">
        <x:v>"meteorological stations" AND mediatype:texts</x:v>
      </x:c>
      <x:c r="H46" s="19" t="str">
        <x:v>PHRASE_METADATA_SEARCH</x:v>
      </x:c>
      <x:c r="I46" s="31" t="str">
        <x:v>EXACT_PHRASE</x:v>
      </x:c>
      <x:c r="J46" s="28" t="n">
        <x:v>336</x:v>
      </x:c>
      <x:c r="K46" s="28" t="n">
        <x:v>0</x:v>
      </x:c>
      <x:c r="L46" s="28" t="n">
        <x:v>0</x:v>
      </x:c>
      <x:c r="M46" s="31" t="str">
        <x:v>COMPLETED_NONZERO</x:v>
      </x:c>
      <x:c r="N46" s="43" t="str">
        <x:v>2026-08-26</x:v>
      </x:c>
      <x:c r="O46" s="31" t="str">
        <x:v>https://archive.org/advancedsearch.php</x:v>
      </x:c>
      <x:c r="P46" s="31" t="str">
        <x:v>Metadata text-item count; not a full-text lexical frequency. Secondary metric: NOT_RUN_OPENALEX_DAILY_BUDGET_EXHAUSTED: shared provider response retained; no count fabricated.</x:v>
      </x:c>
      <x:c r="Q46" s="19" t="str">
        <x:v>OPENALEX_WORK_COUNT</x:v>
      </x:c>
      <x:c r="R46" s="20" t="str">
        <x:v>NOT_APPLICABLE</x:v>
      </x:c>
    </x:row>
    <x:row r="47" ht="34" customHeight="1">
      <x:c r="A47" s="25" t="str">
        <x:v>FT-SEED-R1B-P-1938-13</x:v>
      </x:c>
      <x:c r="B47" s="19" t="str">
        <x:v>1938</x:v>
      </x:c>
      <x:c r="C47" s="28" t="n">
        <x:v>13</x:v>
      </x:c>
      <x:c r="D47" s="31" t="str">
        <x:v>world temperatures</x:v>
      </x:c>
      <x:c r="E47" s="19" t="str">
        <x:v>INTERNET_ARCHIVE_METADATA_TEXT_ITEM_COUNT</x:v>
      </x:c>
      <x:c r="F47" s="28" t="str">
        <x:v>INTERNET_ARCHIVE_ADVANCEDSEARCH_NUMFOUND</x:v>
      </x:c>
      <x:c r="G47" s="31" t="str">
        <x:v>"world temperatures" AND mediatype:texts</x:v>
      </x:c>
      <x:c r="H47" s="19" t="str">
        <x:v>PHRASE_METADATA_SEARCH</x:v>
      </x:c>
      <x:c r="I47" s="31" t="str">
        <x:v>EXACT_PHRASE</x:v>
      </x:c>
      <x:c r="J47" s="28" t="n">
        <x:v>3</x:v>
      </x:c>
      <x:c r="K47" s="28" t="n">
        <x:v>0</x:v>
      </x:c>
      <x:c r="L47" s="28" t="n">
        <x:v>0</x:v>
      </x:c>
      <x:c r="M47" s="31" t="str">
        <x:v>COMPLETED_NONZERO</x:v>
      </x:c>
      <x:c r="N47" s="43" t="str">
        <x:v>2026-08-26</x:v>
      </x:c>
      <x:c r="O47" s="31" t="str">
        <x:v>https://archive.org/advancedsearch.php</x:v>
      </x:c>
      <x:c r="P47" s="31" t="str">
        <x:v>Metadata text-item count; not a full-text lexical frequency. Secondary metric: NOT_RUN_OPENALEX_DAILY_BUDGET_EXHAUSTED: shared provider response retained; no count fabricated.</x:v>
      </x:c>
      <x:c r="Q47" s="19" t="str">
        <x:v>OPENALEX_WORK_COUNT</x:v>
      </x:c>
      <x:c r="R47" s="20" t="str">
        <x:v>NOT_APPLICABLE</x:v>
      </x:c>
    </x:row>
    <x:row r="48" ht="34" customHeight="1">
      <x:c r="A48" s="25" t="str">
        <x:v>FT-SEED-R1B-P-1938-14</x:v>
      </x:c>
      <x:c r="B48" s="19" t="str">
        <x:v>1938</x:v>
      </x:c>
      <x:c r="C48" s="28" t="n">
        <x:v>14</x:v>
      </x:c>
      <x:c r="D48" s="31" t="str">
        <x:v>actually increased</x:v>
      </x:c>
      <x:c r="E48" s="19" t="str">
        <x:v>INTERNET_ARCHIVE_METADATA_TEXT_ITEM_COUNT</x:v>
      </x:c>
      <x:c r="F48" s="28" t="str">
        <x:v>INTERNET_ARCHIVE_ADVANCEDSEARCH_NUMFOUND</x:v>
      </x:c>
      <x:c r="G48" s="31" t="str">
        <x:v>"actually increased" AND mediatype:texts</x:v>
      </x:c>
      <x:c r="H48" s="19" t="str">
        <x:v>PHRASE_METADATA_SEARCH</x:v>
      </x:c>
      <x:c r="I48" s="31" t="str">
        <x:v>EXACT_PHRASE</x:v>
      </x:c>
      <x:c r="J48" s="28" t="n">
        <x:v>151</x:v>
      </x:c>
      <x:c r="K48" s="28" t="n">
        <x:v>0</x:v>
      </x:c>
      <x:c r="L48" s="28" t="n">
        <x:v>0</x:v>
      </x:c>
      <x:c r="M48" s="31" t="str">
        <x:v>COMPLETED_NONZERO</x:v>
      </x:c>
      <x:c r="N48" s="43" t="str">
        <x:v>2026-08-26</x:v>
      </x:c>
      <x:c r="O48" s="31" t="str">
        <x:v>https://archive.org/advancedsearch.php</x:v>
      </x:c>
      <x:c r="P48" s="31" t="str">
        <x:v>Metadata text-item count; not a full-text lexical frequency. Secondary metric: Scholarly work discoverability count over OpenAlex search fields; not a corpus word frequency.</x:v>
      </x:c>
      <x:c r="Q48" s="19" t="str">
        <x:v>OPENALEX_WORK_COUNT</x:v>
      </x:c>
      <x:c r="R48" s="20" t="str">
        <x:v>40274</x:v>
      </x:c>
    </x:row>
    <x:row r="49" ht="34" customHeight="1">
      <x:c r="A49" s="25" t="str">
        <x:v>FT-SEED-R1B-P-1938-15</x:v>
      </x:c>
      <x:c r="B49" s="19" t="str">
        <x:v>1938</x:v>
      </x:c>
      <x:c r="C49" s="28" t="n">
        <x:v>15</x:v>
      </x:c>
      <x:c r="D49" s="31" t="str">
        <x:v>average rate</x:v>
      </x:c>
      <x:c r="E49" s="19" t="str">
        <x:v>INTERNET_ARCHIVE_METADATA_TEXT_ITEM_COUNT</x:v>
      </x:c>
      <x:c r="F49" s="28" t="str">
        <x:v>INTERNET_ARCHIVE_ADVANCEDSEARCH_NUMFOUND</x:v>
      </x:c>
      <x:c r="G49" s="31" t="str">
        <x:v>"average rate" AND mediatype:texts</x:v>
      </x:c>
      <x:c r="H49" s="19" t="str">
        <x:v>PHRASE_METADATA_SEARCH</x:v>
      </x:c>
      <x:c r="I49" s="31" t="str">
        <x:v>EXACT_PHRASE</x:v>
      </x:c>
      <x:c r="J49" s="28" t="n">
        <x:v>891</x:v>
      </x:c>
      <x:c r="K49" s="28" t="n">
        <x:v>0</x:v>
      </x:c>
      <x:c r="L49" s="28" t="n">
        <x:v>0</x:v>
      </x:c>
      <x:c r="M49" s="31" t="str">
        <x:v>COMPLETED_NONZERO</x:v>
      </x:c>
      <x:c r="N49" s="43" t="str">
        <x:v>2026-08-26</x:v>
      </x:c>
      <x:c r="O49" s="31" t="str">
        <x:v>https://archive.org/advancedsearch.php</x:v>
      </x:c>
      <x:c r="P49" s="31" t="str">
        <x:v>Metadata text-item count; not a full-text lexical frequency. Secondary metric: Scholarly work discoverability count over OpenAlex search fields; not a corpus word frequency.</x:v>
      </x:c>
      <x:c r="Q49" s="19" t="str">
        <x:v>OPENALEX_WORK_COUNT</x:v>
      </x:c>
      <x:c r="R49" s="20" t="str">
        <x:v>179699</x:v>
      </x:c>
    </x:row>
    <x:row r="50" ht="34" customHeight="1">
      <x:c r="A50" s="25" t="str">
        <x:v>FT-SEED-R1B-P-1938-16</x:v>
      </x:c>
      <x:c r="B50" s="19" t="str">
        <x:v>1938</x:v>
      </x:c>
      <x:c r="C50" s="28" t="n">
        <x:v>16</x:v>
      </x:c>
      <x:c r="D50" s="31" t="str">
        <x:v>small increases in mean temperature</x:v>
      </x:c>
      <x:c r="E50" s="19" t="str">
        <x:v>INTERNET_ARCHIVE_METADATA_TEXT_ITEM_COUNT</x:v>
      </x:c>
      <x:c r="F50" s="28" t="str">
        <x:v>INTERNET_ARCHIVE_ADVANCEDSEARCH_NUMFOUND</x:v>
      </x:c>
      <x:c r="G50" s="31" t="str">
        <x:v>"small increases in mean temperature" AND mediatype:texts</x:v>
      </x:c>
      <x:c r="H50" s="19" t="str">
        <x:v>PHRASE_METADATA_SEARCH</x:v>
      </x:c>
      <x:c r="I50" s="31" t="str">
        <x:v>EXACT_PHRASE</x:v>
      </x:c>
      <x:c r="J50" s="28" t="n">
        <x:v>0</x:v>
      </x:c>
      <x:c r="K50" s="28" t="n">
        <x:v>0</x:v>
      </x:c>
      <x:c r="L50" s="28" t="n">
        <x:v>0</x:v>
      </x:c>
      <x:c r="M50" s="31" t="str">
        <x:v>COMPLETED_ZERO</x:v>
      </x:c>
      <x:c r="N50" s="43" t="str">
        <x:v>2026-08-26</x:v>
      </x:c>
      <x:c r="O50" s="31" t="str">
        <x:v>https://archive.org/advancedsearch.php</x:v>
      </x:c>
      <x:c r="P50" s="31" t="str">
        <x:v>Metadata text-item count; not a full-text lexical frequency. Secondary metric: NOT_RUN_OPENALEX_DAILY_BUDGET_EXHAUSTED: shared provider response retained; no count fabricated.</x:v>
      </x:c>
      <x:c r="Q50" s="19" t="str">
        <x:v>OPENALEX_WORK_COUNT</x:v>
      </x:c>
      <x:c r="R50" s="20" t="str">
        <x:v>NOT_APPLICABLE</x:v>
      </x:c>
    </x:row>
    <x:row r="51" ht="34" customHeight="1">
      <x:c r="A51" s="25" t="str">
        <x:v>FT-SEED-R1B-P-1938-17</x:v>
      </x:c>
      <x:c r="B51" s="19" t="str">
        <x:v>1938</x:v>
      </x:c>
      <x:c r="C51" s="28" t="n">
        <x:v>17</x:v>
      </x:c>
      <x:c r="D51" s="31" t="str">
        <x:v>deadly glaciers</x:v>
      </x:c>
      <x:c r="E51" s="19" t="str">
        <x:v>INTERNET_ARCHIVE_METADATA_TEXT_ITEM_COUNT</x:v>
      </x:c>
      <x:c r="F51" s="28" t="str">
        <x:v>INTERNET_ARCHIVE_ADVANCEDSEARCH_NUMFOUND</x:v>
      </x:c>
      <x:c r="G51" s="31" t="str">
        <x:v>"deadly glaciers" AND mediatype:texts</x:v>
      </x:c>
      <x:c r="H51" s="19" t="str">
        <x:v>PHRASE_METADATA_SEARCH</x:v>
      </x:c>
      <x:c r="I51" s="31" t="str">
        <x:v>EXACT_PHRASE</x:v>
      </x:c>
      <x:c r="J51" s="28" t="n">
        <x:v>0</x:v>
      </x:c>
      <x:c r="K51" s="28" t="n">
        <x:v>0</x:v>
      </x:c>
      <x:c r="L51" s="28" t="n">
        <x:v>0</x:v>
      </x:c>
      <x:c r="M51" s="31" t="str">
        <x:v>COMPLETED_ZERO</x:v>
      </x:c>
      <x:c r="N51" s="43" t="str">
        <x:v>2026-08-26</x:v>
      </x:c>
      <x:c r="O51" s="31" t="str">
        <x:v>https://archive.org/advancedsearch.php</x:v>
      </x:c>
      <x:c r="P51" s="31" t="str">
        <x:v>Metadata text-item count; not a full-text lexical frequency. Secondary metric: NOT_RUN_OPENALEX_DAILY_BUDGET_EXHAUSTED: shared provider response retained; no count fabricated.</x:v>
      </x:c>
      <x:c r="Q51" s="19" t="str">
        <x:v>OPENALEX_WORK_COUNT</x:v>
      </x:c>
      <x:c r="R51" s="20" t="str">
        <x:v>NOT_APPLICABLE</x:v>
      </x:c>
    </x:row>
    <x:row r="52" ht="34" customHeight="1">
      <x:c r="A52" s="25" t="str">
        <x:v>FT-SEED-R1B-P-1938-18</x:v>
      </x:c>
      <x:c r="B52" s="19" t="str">
        <x:v>1938</x:v>
      </x:c>
      <x:c r="C52" s="28" t="n">
        <x:v>18</x:v>
      </x:c>
      <x:c r="D52" s="31" t="str">
        <x:v>rather a coincidence</x:v>
      </x:c>
      <x:c r="E52" s="19" t="str">
        <x:v>INTERNET_ARCHIVE_METADATA_TEXT_ITEM_COUNT</x:v>
      </x:c>
      <x:c r="F52" s="28" t="str">
        <x:v>INTERNET_ARCHIVE_ADVANCEDSEARCH_NUMFOUND</x:v>
      </x:c>
      <x:c r="G52" s="31" t="str">
        <x:v>"rather a coincidence" AND mediatype:texts</x:v>
      </x:c>
      <x:c r="H52" s="19" t="str">
        <x:v>PHRASE_METADATA_SEARCH</x:v>
      </x:c>
      <x:c r="I52" s="31" t="str">
        <x:v>EXACT_PHRASE</x:v>
      </x:c>
      <x:c r="J52" s="28" t="n">
        <x:v>0</x:v>
      </x:c>
      <x:c r="K52" s="28" t="n">
        <x:v>0</x:v>
      </x:c>
      <x:c r="L52" s="28" t="n">
        <x:v>0</x:v>
      </x:c>
      <x:c r="M52" s="31" t="str">
        <x:v>COMPLETED_ZERO</x:v>
      </x:c>
      <x:c r="N52" s="43" t="str">
        <x:v>2026-08-26</x:v>
      </x:c>
      <x:c r="O52" s="31" t="str">
        <x:v>https://archive.org/advancedsearch.php</x:v>
      </x:c>
      <x:c r="P52" s="31" t="str">
        <x:v>Metadata text-item count; not a full-text lexical frequency. Secondary metric: NOT_RUN_OPENALEX_DAILY_BUDGET_EXHAUSTED: shared provider response retained; no count fabricated.</x:v>
      </x:c>
      <x:c r="Q52" s="19" t="str">
        <x:v>OPENALEX_WORK_COUNT</x:v>
      </x:c>
      <x:c r="R52" s="20" t="str">
        <x:v>NOT_APPLICABLE</x:v>
      </x:c>
    </x:row>
    <x:row r="53" ht="34" customHeight="1">
      <x:c r="A53" s="25" t="str">
        <x:v>FT-SEED-R1B-P-1938-19</x:v>
      </x:c>
      <x:c r="B53" s="19" t="str">
        <x:v>1938</x:v>
      </x:c>
      <x:c r="C53" s="28" t="n">
        <x:v>19</x:v>
      </x:c>
      <x:c r="D53" s="31" t="str">
        <x:v>Hottest Day for Ten Years</x:v>
      </x:c>
      <x:c r="E53" s="19" t="str">
        <x:v>INTERNET_ARCHIVE_METADATA_TEXT_ITEM_COUNT</x:v>
      </x:c>
      <x:c r="F53" s="28" t="str">
        <x:v>INTERNET_ARCHIVE_ADVANCEDSEARCH_NUMFOUND</x:v>
      </x:c>
      <x:c r="G53" s="31" t="str">
        <x:v>"Hottest Day for Ten Years" AND mediatype:texts</x:v>
      </x:c>
      <x:c r="H53" s="19" t="str">
        <x:v>PHRASE_METADATA_SEARCH</x:v>
      </x:c>
      <x:c r="I53" s="31" t="str">
        <x:v>EXACT_PHRASE</x:v>
      </x:c>
      <x:c r="J53" s="28" t="n">
        <x:v>0</x:v>
      </x:c>
      <x:c r="K53" s="28" t="n">
        <x:v>0</x:v>
      </x:c>
      <x:c r="L53" s="28" t="n">
        <x:v>0</x:v>
      </x:c>
      <x:c r="M53" s="31" t="str">
        <x:v>COMPLETED_ZERO</x:v>
      </x:c>
      <x:c r="N53" s="43" t="str">
        <x:v>2026-08-26</x:v>
      </x:c>
      <x:c r="O53" s="31" t="str">
        <x:v>https://archive.org/advancedsearch.php</x:v>
      </x:c>
      <x:c r="P53" s="31" t="str">
        <x:v>Metadata text-item count; not a full-text lexical frequency. Secondary metric: NOT_RUN_OPENALEX_DAILY_BUDGET_EXHAUSTED: shared provider response retained; no count fabricated.</x:v>
      </x:c>
      <x:c r="Q53" s="19" t="str">
        <x:v>OPENALEX_WORK_COUNT</x:v>
      </x:c>
      <x:c r="R53" s="20" t="str">
        <x:v>NOT_APPLICABLE</x:v>
      </x:c>
    </x:row>
    <x:row r="54" ht="34" customHeight="1">
      <x:c r="A54" s="25" t="str">
        <x:v>FT-SEED-R1B-P-1938-20</x:v>
      </x:c>
      <x:c r="B54" s="19" t="str">
        <x:v>1938</x:v>
      </x:c>
      <x:c r="C54" s="28" t="n">
        <x:v>20</x:v>
      </x:c>
      <x:c r="D54" s="31" t="str">
        <x:v>Heat Wave Over Queensland</x:v>
      </x:c>
      <x:c r="E54" s="19" t="str">
        <x:v>INTERNET_ARCHIVE_METADATA_TEXT_ITEM_COUNT</x:v>
      </x:c>
      <x:c r="F54" s="28" t="str">
        <x:v>INTERNET_ARCHIVE_ADVANCEDSEARCH_NUMFOUND</x:v>
      </x:c>
      <x:c r="G54" s="31" t="str">
        <x:v>"Heat Wave Over Queensland" AND mediatype:texts</x:v>
      </x:c>
      <x:c r="H54" s="19" t="str">
        <x:v>PHRASE_METADATA_SEARCH</x:v>
      </x:c>
      <x:c r="I54" s="31" t="str">
        <x:v>EXACT_PHRASE</x:v>
      </x:c>
      <x:c r="J54" s="28" t="n">
        <x:v>0</x:v>
      </x:c>
      <x:c r="K54" s="28" t="n">
        <x:v>0</x:v>
      </x:c>
      <x:c r="L54" s="28" t="n">
        <x:v>0</x:v>
      </x:c>
      <x:c r="M54" s="31" t="str">
        <x:v>COMPLETED_ZERO</x:v>
      </x:c>
      <x:c r="N54" s="43" t="str">
        <x:v>2026-08-26</x:v>
      </x:c>
      <x:c r="O54" s="31" t="str">
        <x:v>https://archive.org/advancedsearch.php</x:v>
      </x:c>
      <x:c r="P54" s="31" t="str">
        <x:v>Metadata text-item count; not a full-text lexical frequency. Secondary metric: NOT_RUN_OPENALEX_DAILY_BUDGET_EXHAUSTED: shared provider response retained; no count fabricated.</x:v>
      </x:c>
      <x:c r="Q54" s="19" t="str">
        <x:v>OPENALEX_WORK_COUNT</x:v>
      </x:c>
      <x:c r="R54" s="20" t="str">
        <x:v>NOT_APPLICABLE</x:v>
      </x:c>
    </x:row>
    <x:row r="55" ht="34" customHeight="1">
      <x:c r="A55" s="25" t="str">
        <x:v>FT-SEED-R1B-P-1938-21</x:v>
      </x:c>
      <x:c r="B55" s="19" t="str">
        <x:v>1938</x:v>
      </x:c>
      <x:c r="C55" s="28" t="n">
        <x:v>21</x:v>
      </x:c>
      <x:c r="D55" s="31" t="str">
        <x:v>heat wave</x:v>
      </x:c>
      <x:c r="E55" s="19" t="str">
        <x:v>INTERNET_ARCHIVE_METADATA_TEXT_ITEM_COUNT</x:v>
      </x:c>
      <x:c r="F55" s="28" t="str">
        <x:v>INTERNET_ARCHIVE_ADVANCEDSEARCH_NUMFOUND</x:v>
      </x:c>
      <x:c r="G55" s="31" t="str">
        <x:v>"heat wave" AND mediatype:texts</x:v>
      </x:c>
      <x:c r="H55" s="19" t="str">
        <x:v>PHRASE_METADATA_SEARCH</x:v>
      </x:c>
      <x:c r="I55" s="31" t="str">
        <x:v>EXACT_PHRASE</x:v>
      </x:c>
      <x:c r="J55" s="28" t="n">
        <x:v>957</x:v>
      </x:c>
      <x:c r="K55" s="28" t="n">
        <x:v>7</x:v>
      </x:c>
      <x:c r="L55" s="28" t="n">
        <x:v>64</x:v>
      </x:c>
      <x:c r="M55" s="31" t="str">
        <x:v>COMPLETED_NONZERO</x:v>
      </x:c>
      <x:c r="N55" s="43" t="str">
        <x:v>2026-08-26</x:v>
      </x:c>
      <x:c r="O55" s="31" t="str">
        <x:v>https://archive.org/advancedsearch.php</x:v>
      </x:c>
      <x:c r="P55" s="31" t="str">
        <x:v>Metadata text-item count; not a full-text lexical frequency. Secondary metric: NOT_RUN_OPENALEX_DAILY_BUDGET_EXHAUSTED: shared provider response retained; no count fabricated.</x:v>
      </x:c>
      <x:c r="Q55" s="19" t="str">
        <x:v>OPENALEX_WORK_COUNT</x:v>
      </x:c>
      <x:c r="R55" s="20" t="str">
        <x:v>NOT_APPLICABLE</x:v>
      </x:c>
    </x:row>
    <x:row r="56" ht="34" customHeight="1">
      <x:c r="A56" s="25" t="str">
        <x:v>FT-SEED-R1B-P-1938-22</x:v>
      </x:c>
      <x:c r="B56" s="19" t="str">
        <x:v>1938</x:v>
      </x:c>
      <x:c r="C56" s="28" t="n">
        <x:v>22</x:v>
      </x:c>
      <x:c r="D56" s="31" t="str">
        <x:v>40-degree temperatures</x:v>
      </x:c>
      <x:c r="E56" s="19" t="str">
        <x:v>INTERNET_ARCHIVE_METADATA_TEXT_ITEM_COUNT</x:v>
      </x:c>
      <x:c r="F56" s="28" t="str">
        <x:v>INTERNET_ARCHIVE_ADVANCEDSEARCH_NUMFOUND</x:v>
      </x:c>
      <x:c r="G56" s="31" t="str">
        <x:v>"40-degree temperatures" AND mediatype:texts</x:v>
      </x:c>
      <x:c r="H56" s="19" t="str">
        <x:v>PHRASE_METADATA_SEARCH</x:v>
      </x:c>
      <x:c r="I56" s="31" t="str">
        <x:v>EXACT_PHRASE</x:v>
      </x:c>
      <x:c r="J56" s="28" t="n">
        <x:v>0</x:v>
      </x:c>
      <x:c r="K56" s="28" t="n">
        <x:v>0</x:v>
      </x:c>
      <x:c r="L56" s="28" t="n">
        <x:v>0</x:v>
      </x:c>
      <x:c r="M56" s="31" t="str">
        <x:v>COMPLETED_ZERO</x:v>
      </x:c>
      <x:c r="N56" s="43" t="str">
        <x:v>2026-08-26</x:v>
      </x:c>
      <x:c r="O56" s="31" t="str">
        <x:v>https://archive.org/advancedsearch.php</x:v>
      </x:c>
      <x:c r="P56" s="31" t="str">
        <x:v>Metadata text-item count; not a full-text lexical frequency. Secondary metric: Scholarly work discoverability count over OpenAlex search fields; not a corpus word frequency.</x:v>
      </x:c>
      <x:c r="Q56" s="19" t="str">
        <x:v>OPENALEX_WORK_COUNT</x:v>
      </x:c>
      <x:c r="R56" s="20" t="str">
        <x:v>18</x:v>
      </x:c>
    </x:row>
    <x:row r="57" ht="34" customHeight="1">
      <x:c r="A57" s="25" t="str">
        <x:v>FT-SEED-R1B-P-1938-23</x:v>
      </x:c>
      <x:c r="B57" s="19" t="str">
        <x:v>1938</x:v>
      </x:c>
      <x:c r="C57" s="28" t="n">
        <x:v>23</x:v>
      </x:c>
      <x:c r="D57" s="31" t="str">
        <x:v>scorching westerly wind</x:v>
      </x:c>
      <x:c r="E57" s="19" t="str">
        <x:v>INTERNET_ARCHIVE_METADATA_TEXT_ITEM_COUNT</x:v>
      </x:c>
      <x:c r="F57" s="28" t="str">
        <x:v>INTERNET_ARCHIVE_ADVANCEDSEARCH_NUMFOUND</x:v>
      </x:c>
      <x:c r="G57" s="31" t="str">
        <x:v>"scorching westerly wind" AND mediatype:texts</x:v>
      </x:c>
      <x:c r="H57" s="19" t="str">
        <x:v>PHRASE_METADATA_SEARCH</x:v>
      </x:c>
      <x:c r="I57" s="31" t="str">
        <x:v>EXACT_PHRASE</x:v>
      </x:c>
      <x:c r="J57" s="28" t="n">
        <x:v>0</x:v>
      </x:c>
      <x:c r="K57" s="28" t="n">
        <x:v>0</x:v>
      </x:c>
      <x:c r="L57" s="28" t="n">
        <x:v>0</x:v>
      </x:c>
      <x:c r="M57" s="31" t="str">
        <x:v>COMPLETED_ZERO</x:v>
      </x:c>
      <x:c r="N57" s="43" t="str">
        <x:v>2026-08-26</x:v>
      </x:c>
      <x:c r="O57" s="31" t="str">
        <x:v>https://archive.org/advancedsearch.php</x:v>
      </x:c>
      <x:c r="P57" s="31" t="str">
        <x:v>Metadata text-item count; not a full-text lexical frequency. Secondary metric: NOT_RUN_OPENALEX_DAILY_BUDGET_EXHAUSTED: shared provider response retained; no count fabricated.</x:v>
      </x:c>
      <x:c r="Q57" s="19" t="str">
        <x:v>OPENALEX_WORK_COUNT</x:v>
      </x:c>
      <x:c r="R57" s="20" t="str">
        <x:v>NOT_APPLICABLE</x:v>
      </x:c>
    </x:row>
    <x:row r="58" ht="34" customHeight="1">
      <x:c r="A58" s="25" t="str">
        <x:v>FT-SEED-R1B-P-1938-24</x:v>
      </x:c>
      <x:c r="B58" s="19" t="str">
        <x:v>1938</x:v>
      </x:c>
      <x:c r="C58" s="28" t="n">
        <x:v>24</x:v>
      </x:c>
      <x:c r="D58" s="31" t="str">
        <x:v>pitiless sun</x:v>
      </x:c>
      <x:c r="E58" s="19" t="str">
        <x:v>INTERNET_ARCHIVE_METADATA_TEXT_ITEM_COUNT</x:v>
      </x:c>
      <x:c r="F58" s="28" t="str">
        <x:v>INTERNET_ARCHIVE_ADVANCEDSEARCH_NUMFOUND</x:v>
      </x:c>
      <x:c r="G58" s="31" t="str">
        <x:v>"pitiless sun" AND mediatype:texts</x:v>
      </x:c>
      <x:c r="H58" s="19" t="str">
        <x:v>PHRASE_METADATA_SEARCH</x:v>
      </x:c>
      <x:c r="I58" s="31" t="str">
        <x:v>EXACT_PHRASE</x:v>
      </x:c>
      <x:c r="J58" s="28" t="n">
        <x:v>4</x:v>
      </x:c>
      <x:c r="K58" s="28" t="n">
        <x:v>0</x:v>
      </x:c>
      <x:c r="L58" s="28" t="n">
        <x:v>1</x:v>
      </x:c>
      <x:c r="M58" s="31" t="str">
        <x:v>COMPLETED_NONZERO</x:v>
      </x:c>
      <x:c r="N58" s="43" t="str">
        <x:v>2026-08-26</x:v>
      </x:c>
      <x:c r="O58" s="31" t="str">
        <x:v>https://archive.org/advancedsearch.php</x:v>
      </x:c>
      <x:c r="P58" s="31" t="str">
        <x:v>Metadata text-item count; not a full-text lexical frequency. Secondary metric: NOT_RUN_OPENALEX_DAILY_BUDGET_EXHAUSTED: shared provider response retained; no count fabricated.</x:v>
      </x:c>
      <x:c r="Q58" s="19" t="str">
        <x:v>OPENALEX_WORK_COUNT</x:v>
      </x:c>
      <x:c r="R58" s="20" t="str">
        <x:v>NOT_APPLICABLE</x:v>
      </x:c>
    </x:row>
    <x:row r="59" ht="34" customHeight="1">
      <x:c r="A59" s="25" t="str">
        <x:v>FT-SEED-R1B-P-1938-25</x:v>
      </x:c>
      <x:c r="B59" s="19" t="str">
        <x:v>1938</x:v>
      </x:c>
      <x:c r="C59" s="28" t="n">
        <x:v>25</x:v>
      </x:c>
      <x:c r="D59" s="31" t="str">
        <x:v>hottest spell for years</x:v>
      </x:c>
      <x:c r="E59" s="19" t="str">
        <x:v>INTERNET_ARCHIVE_METADATA_TEXT_ITEM_COUNT</x:v>
      </x:c>
      <x:c r="F59" s="28" t="str">
        <x:v>INTERNET_ARCHIVE_ADVANCEDSEARCH_NUMFOUND</x:v>
      </x:c>
      <x:c r="G59" s="31" t="str">
        <x:v>"hottest spell for years" AND mediatype:texts</x:v>
      </x:c>
      <x:c r="H59" s="19" t="str">
        <x:v>PHRASE_METADATA_SEARCH</x:v>
      </x:c>
      <x:c r="I59" s="31" t="str">
        <x:v>EXACT_PHRASE</x:v>
      </x:c>
      <x:c r="J59" s="28" t="n">
        <x:v>0</x:v>
      </x:c>
      <x:c r="K59" s="28" t="n">
        <x:v>0</x:v>
      </x:c>
      <x:c r="L59" s="28" t="n">
        <x:v>0</x:v>
      </x:c>
      <x:c r="M59" s="31" t="str">
        <x:v>COMPLETED_ZERO</x:v>
      </x:c>
      <x:c r="N59" s="43" t="str">
        <x:v>2026-08-26</x:v>
      </x:c>
      <x:c r="O59" s="31" t="str">
        <x:v>https://archive.org/advancedsearch.php</x:v>
      </x:c>
      <x:c r="P59" s="31" t="str">
        <x:v>Metadata text-item count; not a full-text lexical frequency. Secondary metric: NOT_RUN_OPENALEX_DAILY_BUDGET_EXHAUSTED: shared provider response retained; no count fabricated.</x:v>
      </x:c>
      <x:c r="Q59" s="19" t="str">
        <x:v>OPENALEX_WORK_COUNT</x:v>
      </x:c>
      <x:c r="R59" s="20" t="str">
        <x:v>NOT_APPLICABLE</x:v>
      </x:c>
    </x:row>
    <x:row r="60" ht="34" customHeight="1">
      <x:c r="A60" s="25" t="str">
        <x:v>FT-SEED-R1B-P-1938-26</x:v>
      </x:c>
      <x:c r="B60" s="19" t="str">
        <x:v>1938</x:v>
      </x:c>
      <x:c r="C60" s="28" t="n">
        <x:v>26</x:v>
      </x:c>
      <x:c r="D60" s="31" t="str">
        <x:v>weather is just bearable</x:v>
      </x:c>
      <x:c r="E60" s="19" t="str">
        <x:v>INTERNET_ARCHIVE_METADATA_TEXT_ITEM_COUNT</x:v>
      </x:c>
      <x:c r="F60" s="28" t="str">
        <x:v>INTERNET_ARCHIVE_ADVANCEDSEARCH_NUMFOUND</x:v>
      </x:c>
      <x:c r="G60" s="31" t="str">
        <x:v>"weather is just bearable" AND mediatype:texts</x:v>
      </x:c>
      <x:c r="H60" s="19" t="str">
        <x:v>PHRASE_METADATA_SEARCH</x:v>
      </x:c>
      <x:c r="I60" s="31" t="str">
        <x:v>EXACT_PHRASE</x:v>
      </x:c>
      <x:c r="J60" s="28" t="n">
        <x:v>0</x:v>
      </x:c>
      <x:c r="K60" s="28" t="n">
        <x:v>0</x:v>
      </x:c>
      <x:c r="L60" s="28" t="n">
        <x:v>0</x:v>
      </x:c>
      <x:c r="M60" s="31" t="str">
        <x:v>COMPLETED_ZERO</x:v>
      </x:c>
      <x:c r="N60" s="43" t="str">
        <x:v>2026-08-26</x:v>
      </x:c>
      <x:c r="O60" s="31" t="str">
        <x:v>https://archive.org/advancedsearch.php</x:v>
      </x:c>
      <x:c r="P60" s="31" t="str">
        <x:v>Metadata text-item count; not a full-text lexical frequency. Secondary metric: NOT_RUN_OPENALEX_DAILY_BUDGET_EXHAUSTED: shared provider response retained; no count fabricated.</x:v>
      </x:c>
      <x:c r="Q60" s="19" t="str">
        <x:v>OPENALEX_WORK_COUNT</x:v>
      </x:c>
      <x:c r="R60" s="20" t="str">
        <x:v>NOT_APPLICABLE</x:v>
      </x:c>
    </x:row>
    <x:row r="61" ht="34" customHeight="1">
      <x:c r="A61" s="25" t="str">
        <x:v>FT-SEED-R1B-P-1938-27</x:v>
      </x:c>
      <x:c r="B61" s="19" t="str">
        <x:v>1938</x:v>
      </x:c>
      <x:c r="C61" s="28" t="n">
        <x:v>27</x:v>
      </x:c>
      <x:c r="D61" s="31" t="str">
        <x:v>heat records</x:v>
      </x:c>
      <x:c r="E61" s="19" t="str">
        <x:v>INTERNET_ARCHIVE_METADATA_TEXT_ITEM_COUNT</x:v>
      </x:c>
      <x:c r="F61" s="28" t="str">
        <x:v>INTERNET_ARCHIVE_ADVANCEDSEARCH_NUMFOUND</x:v>
      </x:c>
      <x:c r="G61" s="31" t="str">
        <x:v>"heat records" AND mediatype:texts</x:v>
      </x:c>
      <x:c r="H61" s="19" t="str">
        <x:v>PHRASE_METADATA_SEARCH</x:v>
      </x:c>
      <x:c r="I61" s="31" t="str">
        <x:v>EXACT_PHRASE</x:v>
      </x:c>
      <x:c r="J61" s="28" t="n">
        <x:v>2</x:v>
      </x:c>
      <x:c r="K61" s="28" t="n">
        <x:v>0</x:v>
      </x:c>
      <x:c r="L61" s="28" t="n">
        <x:v>0</x:v>
      </x:c>
      <x:c r="M61" s="31" t="str">
        <x:v>COMPLETED_NONZERO</x:v>
      </x:c>
      <x:c r="N61" s="43" t="str">
        <x:v>2026-08-26</x:v>
      </x:c>
      <x:c r="O61" s="31" t="str">
        <x:v>https://archive.org/advancedsearch.php</x:v>
      </x:c>
      <x:c r="P61" s="31" t="str">
        <x:v>Metadata text-item count; not a full-text lexical frequency. Secondary metric: NOT_RUN_OPENALEX_DAILY_BUDGET_EXHAUSTED: shared provider response retained; no count fabricated.</x:v>
      </x:c>
      <x:c r="Q61" s="19" t="str">
        <x:v>OPENALEX_WORK_COUNT</x:v>
      </x:c>
      <x:c r="R61" s="20" t="str">
        <x:v>NOT_APPLICABLE</x:v>
      </x:c>
    </x:row>
    <x:row r="62" ht="34" customHeight="1">
      <x:c r="A62" s="25" t="str">
        <x:v>FT-SEED-R1B-P-1938-28</x:v>
      </x:c>
      <x:c r="B62" s="19" t="str">
        <x:v>1938</x:v>
      </x:c>
      <x:c r="C62" s="28" t="n">
        <x:v>28</x:v>
      </x:c>
      <x:c r="D62" s="31" t="str">
        <x:v>drought</x:v>
      </x:c>
      <x:c r="E62" s="19" t="str">
        <x:v>INTERNET_ARCHIVE_METADATA_TEXT_ITEM_COUNT</x:v>
      </x:c>
      <x:c r="F62" s="28" t="str">
        <x:v>INTERNET_ARCHIVE_ADVANCEDSEARCH_NUMFOUND</x:v>
      </x:c>
      <x:c r="G62" s="31" t="str">
        <x:v>"drought" AND mediatype:texts</x:v>
      </x:c>
      <x:c r="H62" s="19" t="str">
        <x:v>PHRASE_METADATA_SEARCH</x:v>
      </x:c>
      <x:c r="I62" s="31" t="str">
        <x:v>EXACT_PHRASE</x:v>
      </x:c>
      <x:c r="J62" s="28" t="n">
        <x:v>10647</x:v>
      </x:c>
      <x:c r="K62" s="28" t="n">
        <x:v>84</x:v>
      </x:c>
      <x:c r="L62" s="28" t="n">
        <x:v>298</x:v>
      </x:c>
      <x:c r="M62" s="31" t="str">
        <x:v>COMPLETED_NONZERO</x:v>
      </x:c>
      <x:c r="N62" s="43" t="str">
        <x:v>2026-08-26</x:v>
      </x:c>
      <x:c r="O62" s="31" t="str">
        <x:v>https://archive.org/advancedsearch.php</x:v>
      </x:c>
      <x:c r="P62" s="31" t="str">
        <x:v>Metadata text-item count; not a full-text lexical frequency. Secondary metric: NOT_RUN_OPENALEX_DAILY_BUDGET_EXHAUSTED: shared provider response retained; no count fabricated.</x:v>
      </x:c>
      <x:c r="Q62" s="19" t="str">
        <x:v>OPENALEX_WORK_COUNT</x:v>
      </x:c>
      <x:c r="R62" s="20" t="str">
        <x:v>NOT_APPLICABLE</x:v>
      </x:c>
    </x:row>
    <x:row r="63" ht="34" customHeight="1">
      <x:c r="A63" s="25" t="str">
        <x:v>FT-SEED-R1B-P-1938-29</x:v>
      </x:c>
      <x:c r="B63" s="19" t="str">
        <x:v>1938</x:v>
      </x:c>
      <x:c r="C63" s="28" t="n">
        <x:v>29</x:v>
      </x:c>
      <x:c r="D63" s="31" t="str">
        <x:v>grass fires</x:v>
      </x:c>
      <x:c r="E63" s="19" t="str">
        <x:v>INTERNET_ARCHIVE_METADATA_TEXT_ITEM_COUNT</x:v>
      </x:c>
      <x:c r="F63" s="28" t="str">
        <x:v>INTERNET_ARCHIVE_ADVANCEDSEARCH_NUMFOUND</x:v>
      </x:c>
      <x:c r="G63" s="31" t="str">
        <x:v>"grass fires" AND mediatype:texts</x:v>
      </x:c>
      <x:c r="H63" s="19" t="str">
        <x:v>PHRASE_METADATA_SEARCH</x:v>
      </x:c>
      <x:c r="I63" s="31" t="str">
        <x:v>EXACT_PHRASE</x:v>
      </x:c>
      <x:c r="J63" s="28" t="n">
        <x:v>39</x:v>
      </x:c>
      <x:c r="K63" s="28" t="n">
        <x:v>0</x:v>
      </x:c>
      <x:c r="L63" s="28" t="n">
        <x:v>0</x:v>
      </x:c>
      <x:c r="M63" s="31" t="str">
        <x:v>COMPLETED_NONZERO</x:v>
      </x:c>
      <x:c r="N63" s="43" t="str">
        <x:v>2026-08-26</x:v>
      </x:c>
      <x:c r="O63" s="31" t="str">
        <x:v>https://archive.org/advancedsearch.php</x:v>
      </x:c>
      <x:c r="P63" s="31" t="str">
        <x:v>Metadata text-item count; not a full-text lexical frequency. Secondary metric: NOT_RUN_OPENALEX_DAILY_BUDGET_EXHAUSTED: shared provider response retained; no count fabricated.</x:v>
      </x:c>
      <x:c r="Q63" s="19" t="str">
        <x:v>OPENALEX_WORK_COUNT</x:v>
      </x:c>
      <x:c r="R63" s="20" t="str">
        <x:v>NOT_APPLICABLE</x:v>
      </x:c>
    </x:row>
    <x:row r="64" ht="34" customHeight="1">
      <x:c r="A64" s="25" t="str">
        <x:v>FT-SEED-R1B-P-1938-30</x:v>
      </x:c>
      <x:c r="B64" s="19" t="str">
        <x:v>1938</x:v>
      </x:c>
      <x:c r="C64" s="28" t="n">
        <x:v>30</x:v>
      </x:c>
      <x:c r="D64" s="31" t="str">
        <x:v>unbearable heat</x:v>
      </x:c>
      <x:c r="E64" s="19" t="str">
        <x:v>INTERNET_ARCHIVE_METADATA_TEXT_ITEM_COUNT</x:v>
      </x:c>
      <x:c r="F64" s="28" t="str">
        <x:v>INTERNET_ARCHIVE_ADVANCEDSEARCH_NUMFOUND</x:v>
      </x:c>
      <x:c r="G64" s="31" t="str">
        <x:v>"unbearable heat" AND mediatype:texts</x:v>
      </x:c>
      <x:c r="H64" s="19" t="str">
        <x:v>PHRASE_METADATA_SEARCH</x:v>
      </x:c>
      <x:c r="I64" s="31" t="str">
        <x:v>EXACT_PHRASE</x:v>
      </x:c>
      <x:c r="J64" s="28" t="n">
        <x:v>6</x:v>
      </x:c>
      <x:c r="K64" s="28" t="n">
        <x:v>0</x:v>
      </x:c>
      <x:c r="L64" s="28" t="n">
        <x:v>0</x:v>
      </x:c>
      <x:c r="M64" s="31" t="str">
        <x:v>COMPLETED_NONZERO</x:v>
      </x:c>
      <x:c r="N64" s="43" t="str">
        <x:v>2026-08-26</x:v>
      </x:c>
      <x:c r="O64" s="31" t="str">
        <x:v>https://archive.org/advancedsearch.php</x:v>
      </x:c>
      <x:c r="P64" s="31" t="str">
        <x:v>Metadata text-item count; not a full-text lexical frequency. Secondary metric: NOT_RUN_OPENALEX_DAILY_BUDGET_EXHAUSTED: shared provider response retained; no count fabricated.</x:v>
      </x:c>
      <x:c r="Q64" s="19" t="str">
        <x:v>OPENALEX_WORK_COUNT</x:v>
      </x:c>
      <x:c r="R64" s="20" t="str">
        <x:v>NOT_APPLICABLE</x:v>
      </x:c>
    </x:row>
    <x:row r="65" ht="34" customHeight="1">
      <x:c r="A65" s="25" t="str">
        <x:v>FT-SEED-R1B-P-1988-01</x:v>
      </x:c>
      <x:c r="B65" s="19" t="str">
        <x:v>1988</x:v>
      </x:c>
      <x:c r="C65" s="28" t="n">
        <x:v>1</x:v>
      </x:c>
      <x:c r="D65" s="31" t="str">
        <x:v>greenhouse effect</x:v>
      </x:c>
      <x:c r="E65" s="19" t="str">
        <x:v>INTERNET_ARCHIVE_METADATA_TEXT_ITEM_COUNT</x:v>
      </x:c>
      <x:c r="F65" s="28" t="str">
        <x:v>INTERNET_ARCHIVE_ADVANCEDSEARCH_NUMFOUND</x:v>
      </x:c>
      <x:c r="G65" s="31" t="str">
        <x:v>"greenhouse effect" AND mediatype:texts</x:v>
      </x:c>
      <x:c r="H65" s="19" t="str">
        <x:v>PHRASE_METADATA_SEARCH</x:v>
      </x:c>
      <x:c r="I65" s="31" t="str">
        <x:v>EXACT_PHRASE</x:v>
      </x:c>
      <x:c r="J65" s="28" t="n">
        <x:v>1441</x:v>
      </x:c>
      <x:c r="K65" s="28" t="n">
        <x:v>19</x:v>
      </x:c>
      <x:c r="L65" s="28" t="n">
        <x:v>156</x:v>
      </x:c>
      <x:c r="M65" s="31" t="str">
        <x:v>COMPLETED_NONZERO</x:v>
      </x:c>
      <x:c r="N65" s="43" t="str">
        <x:v>2026-08-26</x:v>
      </x:c>
      <x:c r="O65" s="31" t="str">
        <x:v>https://archive.org/advancedsearch.php</x:v>
      </x:c>
      <x:c r="P65" s="31" t="str">
        <x:v>Metadata text-item count; not a full-text lexical frequency. Secondary metric: NOT_RUN_OPENALEX_DAILY_BUDGET_EXHAUSTED: shared provider response retained; no count fabricated.</x:v>
      </x:c>
      <x:c r="Q65" s="19" t="str">
        <x:v>OPENALEX_WORK_COUNT</x:v>
      </x:c>
      <x:c r="R65" s="20" t="str">
        <x:v>NOT_APPLICABLE</x:v>
      </x:c>
    </x:row>
    <x:row r="66" ht="34" customHeight="1">
      <x:c r="A66" s="25" t="str">
        <x:v>FT-SEED-R1B-P-1988-02</x:v>
      </x:c>
      <x:c r="B66" s="19" t="str">
        <x:v>1988</x:v>
      </x:c>
      <x:c r="C66" s="28" t="n">
        <x:v>2</x:v>
      </x:c>
      <x:c r="D66" s="31" t="str">
        <x:v>global warming</x:v>
      </x:c>
      <x:c r="E66" s="19" t="str">
        <x:v>INTERNET_ARCHIVE_METADATA_TEXT_ITEM_COUNT</x:v>
      </x:c>
      <x:c r="F66" s="28" t="str">
        <x:v>INTERNET_ARCHIVE_ADVANCEDSEARCH_NUMFOUND</x:v>
      </x:c>
      <x:c r="G66" s="31" t="str">
        <x:v>"global warming" AND mediatype:texts</x:v>
      </x:c>
      <x:c r="H66" s="19" t="str">
        <x:v>PHRASE_METADATA_SEARCH</x:v>
      </x:c>
      <x:c r="I66" s="31" t="str">
        <x:v>EXACT_PHRASE</x:v>
      </x:c>
      <x:c r="J66" s="28" t="n">
        <x:v>5619</x:v>
      </x:c>
      <x:c r="K66" s="28" t="n">
        <x:v>11</x:v>
      </x:c>
      <x:c r="L66" s="28" t="n">
        <x:v>123</x:v>
      </x:c>
      <x:c r="M66" s="31" t="str">
        <x:v>COMPLETED_NONZERO</x:v>
      </x:c>
      <x:c r="N66" s="43" t="str">
        <x:v>2026-08-26</x:v>
      </x:c>
      <x:c r="O66" s="31" t="str">
        <x:v>https://archive.org/advancedsearch.php</x:v>
      </x:c>
      <x:c r="P66" s="31" t="str">
        <x:v>Metadata text-item count; not a full-text lexical frequency. Secondary metric: NOT_RUN_OPENALEX_DAILY_BUDGET_EXHAUSTED: shared provider response retained; no count fabricated.</x:v>
      </x:c>
      <x:c r="Q66" s="19" t="str">
        <x:v>OPENALEX_WORK_COUNT</x:v>
      </x:c>
      <x:c r="R66" s="20" t="str">
        <x:v>NOT_APPLICABLE</x:v>
      </x:c>
    </x:row>
    <x:row r="67" ht="34" customHeight="1">
      <x:c r="A67" s="25" t="str">
        <x:v>FT-SEED-R1B-P-1988-03</x:v>
      </x:c>
      <x:c r="B67" s="19" t="str">
        <x:v>1988</x:v>
      </x:c>
      <x:c r="C67" s="28" t="n">
        <x:v>3</x:v>
      </x:c>
      <x:c r="D67" s="31" t="str">
        <x:v>earth is warmer</x:v>
      </x:c>
      <x:c r="E67" s="19" t="str">
        <x:v>INTERNET_ARCHIVE_METADATA_TEXT_ITEM_COUNT</x:v>
      </x:c>
      <x:c r="F67" s="28" t="str">
        <x:v>INTERNET_ARCHIVE_ADVANCEDSEARCH_NUMFOUND</x:v>
      </x:c>
      <x:c r="G67" s="31" t="str">
        <x:v>"earth is warmer" AND mediatype:texts</x:v>
      </x:c>
      <x:c r="H67" s="19" t="str">
        <x:v>PHRASE_METADATA_SEARCH</x:v>
      </x:c>
      <x:c r="I67" s="31" t="str">
        <x:v>EXACT_PHRASE</x:v>
      </x:c>
      <x:c r="J67" s="28" t="n">
        <x:v>0</x:v>
      </x:c>
      <x:c r="K67" s="28" t="n">
        <x:v>0</x:v>
      </x:c>
      <x:c r="L67" s="28" t="n">
        <x:v>0</x:v>
      </x:c>
      <x:c r="M67" s="31" t="str">
        <x:v>COMPLETED_ZERO</x:v>
      </x:c>
      <x:c r="N67" s="43" t="str">
        <x:v>2026-08-26</x:v>
      </x:c>
      <x:c r="O67" s="31" t="str">
        <x:v>https://archive.org/advancedsearch.php</x:v>
      </x:c>
      <x:c r="P67" s="31" t="str">
        <x:v>Metadata text-item count; not a full-text lexical frequency. Secondary metric: NOT_RUN_OPENALEX_DAILY_BUDGET_EXHAUSTED: shared provider response retained; no count fabricated.</x:v>
      </x:c>
      <x:c r="Q67" s="19" t="str">
        <x:v>OPENALEX_WORK_COUNT</x:v>
      </x:c>
      <x:c r="R67" s="20" t="str">
        <x:v>NOT_APPLICABLE</x:v>
      </x:c>
    </x:row>
    <x:row r="68" ht="34" customHeight="1">
      <x:c r="A68" s="25" t="str">
        <x:v>FT-SEED-R1B-P-1988-04</x:v>
      </x:c>
      <x:c r="B68" s="19" t="str">
        <x:v>1988</x:v>
      </x:c>
      <x:c r="C68" s="28" t="n">
        <x:v>4</x:v>
      </x:c>
      <x:c r="D68" s="31" t="str">
        <x:v>instrumental measurements</x:v>
      </x:c>
      <x:c r="E68" s="19" t="str">
        <x:v>INTERNET_ARCHIVE_METADATA_TEXT_ITEM_COUNT</x:v>
      </x:c>
      <x:c r="F68" s="28" t="str">
        <x:v>INTERNET_ARCHIVE_ADVANCEDSEARCH_NUMFOUND</x:v>
      </x:c>
      <x:c r="G68" s="31" t="str">
        <x:v>"instrumental measurements" AND mediatype:texts</x:v>
      </x:c>
      <x:c r="H68" s="19" t="str">
        <x:v>PHRASE_METADATA_SEARCH</x:v>
      </x:c>
      <x:c r="I68" s="31" t="str">
        <x:v>EXACT_PHRASE</x:v>
      </x:c>
      <x:c r="J68" s="28" t="n">
        <x:v>13</x:v>
      </x:c>
      <x:c r="K68" s="28" t="n">
        <x:v>0</x:v>
      </x:c>
      <x:c r="L68" s="28" t="n">
        <x:v>1</x:v>
      </x:c>
      <x:c r="M68" s="31" t="str">
        <x:v>COMPLETED_NONZERO</x:v>
      </x:c>
      <x:c r="N68" s="43" t="str">
        <x:v>2026-08-26</x:v>
      </x:c>
      <x:c r="O68" s="31" t="str">
        <x:v>https://archive.org/advancedsearch.php</x:v>
      </x:c>
      <x:c r="P68" s="31" t="str">
        <x:v>Metadata text-item count; not a full-text lexical frequency. Secondary metric: NOT_RUN_OPENALEX_DAILY_BUDGET_EXHAUSTED: shared provider response retained; no count fabricated.</x:v>
      </x:c>
      <x:c r="Q68" s="19" t="str">
        <x:v>OPENALEX_WORK_COUNT</x:v>
      </x:c>
      <x:c r="R68" s="20" t="str">
        <x:v>NOT_APPLICABLE</x:v>
      </x:c>
    </x:row>
    <x:row r="69" ht="34" customHeight="1">
      <x:c r="A69" s="25" t="str">
        <x:v>FT-SEED-R1B-P-1988-05</x:v>
      </x:c>
      <x:c r="B69" s="19" t="str">
        <x:v>1988</x:v>
      </x:c>
      <x:c r="C69" s="28" t="n">
        <x:v>5</x:v>
      </x:c>
      <x:c r="D69" s="31" t="str">
        <x:v>cause-and-effect relationship</x:v>
      </x:c>
      <x:c r="E69" s="19" t="str">
        <x:v>INTERNET_ARCHIVE_METADATA_TEXT_ITEM_COUNT</x:v>
      </x:c>
      <x:c r="F69" s="28" t="str">
        <x:v>INTERNET_ARCHIVE_ADVANCEDSEARCH_NUMFOUND</x:v>
      </x:c>
      <x:c r="G69" s="31" t="str">
        <x:v>"cause-and-effect relationship" AND mediatype:texts</x:v>
      </x:c>
      <x:c r="H69" s="19" t="str">
        <x:v>PHRASE_METADATA_SEARCH</x:v>
      </x:c>
      <x:c r="I69" s="31" t="str">
        <x:v>EXACT_PHRASE</x:v>
      </x:c>
      <x:c r="J69" s="28" t="n">
        <x:v>118</x:v>
      </x:c>
      <x:c r="K69" s="28" t="n">
        <x:v>1</x:v>
      </x:c>
      <x:c r="L69" s="28" t="n">
        <x:v>9</x:v>
      </x:c>
      <x:c r="M69" s="31" t="str">
        <x:v>COMPLETED_NONZERO</x:v>
      </x:c>
      <x:c r="N69" s="43" t="str">
        <x:v>2026-08-26</x:v>
      </x:c>
      <x:c r="O69" s="31" t="str">
        <x:v>https://archive.org/advancedsearch.php</x:v>
      </x:c>
      <x:c r="P69" s="31" t="str">
        <x:v>Metadata text-item count; not a full-text lexical frequency. Secondary metric: Scholarly work discoverability count over OpenAlex search fields; not a corpus word frequency.</x:v>
      </x:c>
      <x:c r="Q69" s="19" t="str">
        <x:v>OPENALEX_WORK_COUNT</x:v>
      </x:c>
      <x:c r="R69" s="20" t="str">
        <x:v>50251</x:v>
      </x:c>
    </x:row>
    <x:row r="70" ht="34" customHeight="1">
      <x:c r="A70" s="25" t="str">
        <x:v>FT-SEED-R1B-P-1988-06</x:v>
      </x:c>
      <x:c r="B70" s="19" t="str">
        <x:v>1988</x:v>
      </x:c>
      <x:c r="C70" s="28" t="n">
        <x:v>6</x:v>
      </x:c>
      <x:c r="D70" s="31" t="str">
        <x:v>global temperature</x:v>
      </x:c>
      <x:c r="E70" s="19" t="str">
        <x:v>INTERNET_ARCHIVE_METADATA_TEXT_ITEM_COUNT</x:v>
      </x:c>
      <x:c r="F70" s="28" t="str">
        <x:v>INTERNET_ARCHIVE_ADVANCEDSEARCH_NUMFOUND</x:v>
      </x:c>
      <x:c r="G70" s="31" t="str">
        <x:v>"global temperature" AND mediatype:texts</x:v>
      </x:c>
      <x:c r="H70" s="19" t="str">
        <x:v>PHRASE_METADATA_SEARCH</x:v>
      </x:c>
      <x:c r="I70" s="31" t="str">
        <x:v>EXACT_PHRASE</x:v>
      </x:c>
      <x:c r="J70" s="28" t="n">
        <x:v>328</x:v>
      </x:c>
      <x:c r="K70" s="28" t="n">
        <x:v>2</x:v>
      </x:c>
      <x:c r="L70" s="28" t="n">
        <x:v>18</x:v>
      </x:c>
      <x:c r="M70" s="31" t="str">
        <x:v>COMPLETED_NONZERO</x:v>
      </x:c>
      <x:c r="N70" s="43" t="str">
        <x:v>2026-08-26</x:v>
      </x:c>
      <x:c r="O70" s="31" t="str">
        <x:v>https://archive.org/advancedsearch.php</x:v>
      </x:c>
      <x:c r="P70" s="31" t="str">
        <x:v>Metadata text-item count; not a full-text lexical frequency. Secondary metric: NOT_RUN_OPENALEX_DAILY_BUDGET_EXHAUSTED: shared provider response retained; no count fabricated.</x:v>
      </x:c>
      <x:c r="Q70" s="19" t="str">
        <x:v>OPENALEX_WORK_COUNT</x:v>
      </x:c>
      <x:c r="R70" s="20" t="str">
        <x:v>NOT_APPLICABLE</x:v>
      </x:c>
    </x:row>
    <x:row r="71" ht="34" customHeight="1">
      <x:c r="A71" s="25" t="str">
        <x:v>FT-SEED-R1B-P-1988-07</x:v>
      </x:c>
      <x:c r="B71" s="19" t="str">
        <x:v>1988</x:v>
      </x:c>
      <x:c r="C71" s="28" t="n">
        <x:v>7</x:v>
      </x:c>
      <x:c r="D71" s="31" t="str">
        <x:v>regional heat waves</x:v>
      </x:c>
      <x:c r="E71" s="19" t="str">
        <x:v>INTERNET_ARCHIVE_METADATA_TEXT_ITEM_COUNT</x:v>
      </x:c>
      <x:c r="F71" s="28" t="str">
        <x:v>INTERNET_ARCHIVE_ADVANCEDSEARCH_NUMFOUND</x:v>
      </x:c>
      <x:c r="G71" s="31" t="str">
        <x:v>"regional heat waves" AND mediatype:texts</x:v>
      </x:c>
      <x:c r="H71" s="19" t="str">
        <x:v>PHRASE_METADATA_SEARCH</x:v>
      </x:c>
      <x:c r="I71" s="31" t="str">
        <x:v>EXACT_PHRASE</x:v>
      </x:c>
      <x:c r="J71" s="28" t="n">
        <x:v>0</x:v>
      </x:c>
      <x:c r="K71" s="28" t="n">
        <x:v>0</x:v>
      </x:c>
      <x:c r="L71" s="28" t="n">
        <x:v>0</x:v>
      </x:c>
      <x:c r="M71" s="31" t="str">
        <x:v>COMPLETED_ZERO</x:v>
      </x:c>
      <x:c r="N71" s="43" t="str">
        <x:v>2026-08-26</x:v>
      </x:c>
      <x:c r="O71" s="31" t="str">
        <x:v>https://archive.org/advancedsearch.php</x:v>
      </x:c>
      <x:c r="P71" s="31" t="str">
        <x:v>Metadata text-item count; not a full-text lexical frequency. Secondary metric: NOT_RUN_OPENALEX_DAILY_BUDGET_EXHAUSTED: shared provider response retained; no count fabricated.</x:v>
      </x:c>
      <x:c r="Q71" s="19" t="str">
        <x:v>OPENALEX_WORK_COUNT</x:v>
      </x:c>
      <x:c r="R71" s="20" t="str">
        <x:v>NOT_APPLICABLE</x:v>
      </x:c>
    </x:row>
    <x:row r="72" ht="34" customHeight="1">
      <x:c r="A72" s="25" t="str">
        <x:v>FT-SEED-R1B-P-1988-08</x:v>
      </x:c>
      <x:c r="B72" s="19" t="str">
        <x:v>1988</x:v>
      </x:c>
      <x:c r="C72" s="28" t="n">
        <x:v>8</x:v>
      </x:c>
      <x:c r="D72" s="31" t="str">
        <x:v>heat wave</x:v>
      </x:c>
      <x:c r="E72" s="19" t="str">
        <x:v>INTERNET_ARCHIVE_METADATA_TEXT_ITEM_COUNT</x:v>
      </x:c>
      <x:c r="F72" s="28" t="str">
        <x:v>INTERNET_ARCHIVE_ADVANCEDSEARCH_NUMFOUND</x:v>
      </x:c>
      <x:c r="G72" s="31" t="str">
        <x:v>"heat wave" AND mediatype:texts</x:v>
      </x:c>
      <x:c r="H72" s="19" t="str">
        <x:v>PHRASE_METADATA_SEARCH</x:v>
      </x:c>
      <x:c r="I72" s="31" t="str">
        <x:v>EXACT_PHRASE</x:v>
      </x:c>
      <x:c r="J72" s="28" t="n">
        <x:v>957</x:v>
      </x:c>
      <x:c r="K72" s="28" t="n">
        <x:v>7</x:v>
      </x:c>
      <x:c r="L72" s="28" t="n">
        <x:v>64</x:v>
      </x:c>
      <x:c r="M72" s="31" t="str">
        <x:v>COMPLETED_NONZERO</x:v>
      </x:c>
      <x:c r="N72" s="43" t="str">
        <x:v>2026-08-26</x:v>
      </x:c>
      <x:c r="O72" s="31" t="str">
        <x:v>https://archive.org/advancedsearch.php</x:v>
      </x:c>
      <x:c r="P72" s="31" t="str">
        <x:v>Metadata text-item count; not a full-text lexical frequency. Secondary metric: NOT_RUN_OPENALEX_DAILY_BUDGET_EXHAUSTED: shared provider response retained; no count fabricated.</x:v>
      </x:c>
      <x:c r="Q72" s="19" t="str">
        <x:v>OPENALEX_WORK_COUNT</x:v>
      </x:c>
      <x:c r="R72" s="20" t="str">
        <x:v>NOT_APPLICABLE</x:v>
      </x:c>
    </x:row>
    <x:row r="73" ht="34" customHeight="1">
      <x:c r="A73" s="25" t="str">
        <x:v>FT-SEED-R1B-P-1988-09</x:v>
      </x:c>
      <x:c r="B73" s="19" t="str">
        <x:v>1988</x:v>
      </x:c>
      <x:c r="C73" s="28" t="n">
        <x:v>9</x:v>
      </x:c>
      <x:c r="D73" s="31" t="str">
        <x:v>drought</x:v>
      </x:c>
      <x:c r="E73" s="19" t="str">
        <x:v>INTERNET_ARCHIVE_METADATA_TEXT_ITEM_COUNT</x:v>
      </x:c>
      <x:c r="F73" s="28" t="str">
        <x:v>INTERNET_ARCHIVE_ADVANCEDSEARCH_NUMFOUND</x:v>
      </x:c>
      <x:c r="G73" s="31" t="str">
        <x:v>"drought" AND mediatype:texts</x:v>
      </x:c>
      <x:c r="H73" s="19" t="str">
        <x:v>PHRASE_METADATA_SEARCH</x:v>
      </x:c>
      <x:c r="I73" s="31" t="str">
        <x:v>EXACT_PHRASE</x:v>
      </x:c>
      <x:c r="J73" s="28" t="n">
        <x:v>10647</x:v>
      </x:c>
      <x:c r="K73" s="28" t="n">
        <x:v>84</x:v>
      </x:c>
      <x:c r="L73" s="28" t="n">
        <x:v>298</x:v>
      </x:c>
      <x:c r="M73" s="31" t="str">
        <x:v>COMPLETED_NONZERO</x:v>
      </x:c>
      <x:c r="N73" s="43" t="str">
        <x:v>2026-08-26</x:v>
      </x:c>
      <x:c r="O73" s="31" t="str">
        <x:v>https://archive.org/advancedsearch.php</x:v>
      </x:c>
      <x:c r="P73" s="31" t="str">
        <x:v>Metadata text-item count; not a full-text lexical frequency. Secondary metric: NOT_RUN_OPENALEX_DAILY_BUDGET_EXHAUSTED: shared provider response retained; no count fabricated.</x:v>
      </x:c>
      <x:c r="Q73" s="19" t="str">
        <x:v>OPENALEX_WORK_COUNT</x:v>
      </x:c>
      <x:c r="R73" s="20" t="str">
        <x:v>NOT_APPLICABLE</x:v>
      </x:c>
    </x:row>
    <x:row r="74" ht="34" customHeight="1">
      <x:c r="A74" s="25" t="str">
        <x:v>FT-SEED-R1B-P-1988-10</x:v>
      </x:c>
      <x:c r="B74" s="19" t="str">
        <x:v>1988</x:v>
      </x:c>
      <x:c r="C74" s="28" t="n">
        <x:v>10</x:v>
      </x:c>
      <x:c r="D74" s="31" t="str">
        <x:v>heat wave/drought occurrences</x:v>
      </x:c>
      <x:c r="E74" s="19" t="str">
        <x:v>INTERNET_ARCHIVE_METADATA_TEXT_ITEM_COUNT</x:v>
      </x:c>
      <x:c r="F74" s="28" t="str">
        <x:v>INTERNET_ARCHIVE_ADVANCEDSEARCH_NUMFOUND</x:v>
      </x:c>
      <x:c r="G74" s="31" t="str">
        <x:v>"heat wave/drought occurrences" AND mediatype:texts</x:v>
      </x:c>
      <x:c r="H74" s="19" t="str">
        <x:v>PHRASE_METADATA_SEARCH</x:v>
      </x:c>
      <x:c r="I74" s="31" t="str">
        <x:v>EXACT_PHRASE</x:v>
      </x:c>
      <x:c r="J74" s="28" t="n">
        <x:v>0</x:v>
      </x:c>
      <x:c r="K74" s="28" t="n">
        <x:v>0</x:v>
      </x:c>
      <x:c r="L74" s="28" t="n">
        <x:v>0</x:v>
      </x:c>
      <x:c r="M74" s="31" t="str">
        <x:v>COMPLETED_ZERO</x:v>
      </x:c>
      <x:c r="N74" s="43" t="str">
        <x:v>2026-08-26</x:v>
      </x:c>
      <x:c r="O74" s="31" t="str">
        <x:v>https://archive.org/advancedsearch.php</x:v>
      </x:c>
      <x:c r="P74" s="31" t="str">
        <x:v>Metadata text-item count; not a full-text lexical frequency. Secondary metric: NOT_RUN_OPENALEX_DAILY_BUDGET_EXHAUSTED: shared provider response retained; no count fabricated.</x:v>
      </x:c>
      <x:c r="Q74" s="19" t="str">
        <x:v>OPENALEX_WORK_COUNT</x:v>
      </x:c>
      <x:c r="R74" s="20" t="str">
        <x:v>NOT_APPLICABLE</x:v>
      </x:c>
    </x:row>
    <x:row r="75" ht="34" customHeight="1">
      <x:c r="A75" s="25" t="str">
        <x:v>FT-SEED-R1B-P-1988-11</x:v>
      </x:c>
      <x:c r="B75" s="19" t="str">
        <x:v>1988</x:v>
      </x:c>
      <x:c r="C75" s="28" t="n">
        <x:v>11</x:v>
      </x:c>
      <x:c r="D75" s="31" t="str">
        <x:v>extreme events</x:v>
      </x:c>
      <x:c r="E75" s="19" t="str">
        <x:v>INTERNET_ARCHIVE_METADATA_TEXT_ITEM_COUNT</x:v>
      </x:c>
      <x:c r="F75" s="28" t="str">
        <x:v>INTERNET_ARCHIVE_ADVANCEDSEARCH_NUMFOUND</x:v>
      </x:c>
      <x:c r="G75" s="31" t="str">
        <x:v>"extreme events" AND mediatype:texts</x:v>
      </x:c>
      <x:c r="H75" s="19" t="str">
        <x:v>PHRASE_METADATA_SEARCH</x:v>
      </x:c>
      <x:c r="I75" s="31" t="str">
        <x:v>EXACT_PHRASE</x:v>
      </x:c>
      <x:c r="J75" s="28" t="n">
        <x:v>515</x:v>
      </x:c>
      <x:c r="K75" s="28" t="n">
        <x:v>1</x:v>
      </x:c>
      <x:c r="L75" s="28" t="n">
        <x:v>6</x:v>
      </x:c>
      <x:c r="M75" s="31" t="str">
        <x:v>COMPLETED_NONZERO</x:v>
      </x:c>
      <x:c r="N75" s="43" t="str">
        <x:v>2026-08-26</x:v>
      </x:c>
      <x:c r="O75" s="31" t="str">
        <x:v>https://archive.org/advancedsearch.php</x:v>
      </x:c>
      <x:c r="P75" s="31" t="str">
        <x:v>Metadata text-item count; not a full-text lexical frequency. Secondary metric: NOT_RUN_OPENALEX_DAILY_BUDGET_EXHAUSTED: shared provider response retained; no count fabricated.</x:v>
      </x:c>
      <x:c r="Q75" s="19" t="str">
        <x:v>OPENALEX_WORK_COUNT</x:v>
      </x:c>
      <x:c r="R75" s="20" t="str">
        <x:v>NOT_APPLICABLE</x:v>
      </x:c>
    </x:row>
    <x:row r="76" ht="34" customHeight="1">
      <x:c r="A76" s="25" t="str">
        <x:v>FT-SEED-R1B-P-1988-12</x:v>
      </x:c>
      <x:c r="B76" s="19" t="str">
        <x:v>1988</x:v>
      </x:c>
      <x:c r="C76" s="28" t="n">
        <x:v>12</x:v>
      </x:c>
      <x:c r="D76" s="31" t="str">
        <x:v>global climate models</x:v>
      </x:c>
      <x:c r="E76" s="19" t="str">
        <x:v>INTERNET_ARCHIVE_METADATA_TEXT_ITEM_COUNT</x:v>
      </x:c>
      <x:c r="F76" s="28" t="str">
        <x:v>INTERNET_ARCHIVE_ADVANCEDSEARCH_NUMFOUND</x:v>
      </x:c>
      <x:c r="G76" s="31" t="str">
        <x:v>"global climate models" AND mediatype:texts</x:v>
      </x:c>
      <x:c r="H76" s="19" t="str">
        <x:v>PHRASE_METADATA_SEARCH</x:v>
      </x:c>
      <x:c r="I76" s="31" t="str">
        <x:v>EXACT_PHRASE</x:v>
      </x:c>
      <x:c r="J76" s="28" t="n">
        <x:v>180</x:v>
      </x:c>
      <x:c r="K76" s="28" t="n">
        <x:v>0</x:v>
      </x:c>
      <x:c r="L76" s="28" t="n">
        <x:v>3</x:v>
      </x:c>
      <x:c r="M76" s="31" t="str">
        <x:v>COMPLETED_NONZERO</x:v>
      </x:c>
      <x:c r="N76" s="43" t="str">
        <x:v>2026-08-26</x:v>
      </x:c>
      <x:c r="O76" s="31" t="str">
        <x:v>https://archive.org/advancedsearch.php</x:v>
      </x:c>
      <x:c r="P76" s="31" t="str">
        <x:v>Metadata text-item count; not a full-text lexical frequency. Secondary metric: NOT_RUN_OPENALEX_DAILY_BUDGET_EXHAUSTED: shared provider response retained; no count fabricated.</x:v>
      </x:c>
      <x:c r="Q76" s="19" t="str">
        <x:v>OPENALEX_WORK_COUNT</x:v>
      </x:c>
      <x:c r="R76" s="20" t="str">
        <x:v>NOT_APPLICABLE</x:v>
      </x:c>
    </x:row>
    <x:row r="77" ht="34" customHeight="1">
      <x:c r="A77" s="25" t="str">
        <x:v>FT-SEED-R1B-P-1988-13</x:v>
      </x:c>
      <x:c r="B77" s="19" t="str">
        <x:v>1988</x:v>
      </x:c>
      <x:c r="C77" s="28" t="n">
        <x:v>13</x:v>
      </x:c>
      <x:c r="D77" s="31" t="str">
        <x:v>global observations</x:v>
      </x:c>
      <x:c r="E77" s="19" t="str">
        <x:v>INTERNET_ARCHIVE_METADATA_TEXT_ITEM_COUNT</x:v>
      </x:c>
      <x:c r="F77" s="28" t="str">
        <x:v>INTERNET_ARCHIVE_ADVANCEDSEARCH_NUMFOUND</x:v>
      </x:c>
      <x:c r="G77" s="31" t="str">
        <x:v>"global observations" AND mediatype:texts</x:v>
      </x:c>
      <x:c r="H77" s="19" t="str">
        <x:v>PHRASE_METADATA_SEARCH</x:v>
      </x:c>
      <x:c r="I77" s="31" t="str">
        <x:v>EXACT_PHRASE</x:v>
      </x:c>
      <x:c r="J77" s="28" t="n">
        <x:v>87</x:v>
      </x:c>
      <x:c r="K77" s="28" t="n">
        <x:v>0</x:v>
      </x:c>
      <x:c r="L77" s="28" t="n">
        <x:v>2</x:v>
      </x:c>
      <x:c r="M77" s="31" t="str">
        <x:v>COMPLETED_NONZERO</x:v>
      </x:c>
      <x:c r="N77" s="43" t="str">
        <x:v>2026-08-26</x:v>
      </x:c>
      <x:c r="O77" s="31" t="str">
        <x:v>https://archive.org/advancedsearch.php</x:v>
      </x:c>
      <x:c r="P77" s="31" t="str">
        <x:v>Metadata text-item count; not a full-text lexical frequency. Secondary metric: NOT_RUN_OPENALEX_DAILY_BUDGET_EXHAUSTED: shared provider response retained; no count fabricated.</x:v>
      </x:c>
      <x:c r="Q77" s="19" t="str">
        <x:v>OPENALEX_WORK_COUNT</x:v>
      </x:c>
      <x:c r="R77" s="20" t="str">
        <x:v>NOT_APPLICABLE</x:v>
      </x:c>
    </x:row>
    <x:row r="78" ht="34" customHeight="1">
      <x:c r="A78" s="25" t="str">
        <x:v>FT-SEED-R1B-P-1988-14</x:v>
      </x:c>
      <x:c r="B78" s="19" t="str">
        <x:v>1988</x:v>
      </x:c>
      <x:c r="C78" s="28" t="n">
        <x:v>14</x:v>
      </x:c>
      <x:c r="D78" s="31" t="str">
        <x:v>warm air</x:v>
      </x:c>
      <x:c r="E78" s="19" t="str">
        <x:v>INTERNET_ARCHIVE_METADATA_TEXT_ITEM_COUNT</x:v>
      </x:c>
      <x:c r="F78" s="28" t="str">
        <x:v>INTERNET_ARCHIVE_ADVANCEDSEARCH_NUMFOUND</x:v>
      </x:c>
      <x:c r="G78" s="31" t="str">
        <x:v>"warm air" AND mediatype:texts</x:v>
      </x:c>
      <x:c r="H78" s="19" t="str">
        <x:v>PHRASE_METADATA_SEARCH</x:v>
      </x:c>
      <x:c r="I78" s="31" t="str">
        <x:v>EXACT_PHRASE</x:v>
      </x:c>
      <x:c r="J78" s="28" t="n">
        <x:v>376</x:v>
      </x:c>
      <x:c r="K78" s="28" t="n">
        <x:v>2</x:v>
      </x:c>
      <x:c r="L78" s="28" t="n">
        <x:v>13</x:v>
      </x:c>
      <x:c r="M78" s="31" t="str">
        <x:v>COMPLETED_NONZERO</x:v>
      </x:c>
      <x:c r="N78" s="43" t="str">
        <x:v>2026-08-26</x:v>
      </x:c>
      <x:c r="O78" s="31" t="str">
        <x:v>https://archive.org/advancedsearch.php</x:v>
      </x:c>
      <x:c r="P78" s="31" t="str">
        <x:v>Metadata text-item count; not a full-text lexical frequency. Secondary metric: NOT_RUN_OPENALEX_DAILY_BUDGET_EXHAUSTED: shared provider response retained; no count fabricated.</x:v>
      </x:c>
      <x:c r="Q78" s="19" t="str">
        <x:v>OPENALEX_WORK_COUNT</x:v>
      </x:c>
      <x:c r="R78" s="20" t="str">
        <x:v>NOT_APPLICABLE</x:v>
      </x:c>
    </x:row>
    <x:row r="79" ht="34" customHeight="1">
      <x:c r="A79" s="25" t="str">
        <x:v>FT-SEED-R1B-P-1988-15</x:v>
      </x:c>
      <x:c r="B79" s="19" t="str">
        <x:v>1988</x:v>
      </x:c>
      <x:c r="C79" s="28" t="n">
        <x:v>15</x:v>
      </x:c>
      <x:c r="D79" s="31" t="str">
        <x:v>changing atmosphere</x:v>
      </x:c>
      <x:c r="E79" s="19" t="str">
        <x:v>INTERNET_ARCHIVE_METADATA_TEXT_ITEM_COUNT</x:v>
      </x:c>
      <x:c r="F79" s="28" t="str">
        <x:v>INTERNET_ARCHIVE_ADVANCEDSEARCH_NUMFOUND</x:v>
      </x:c>
      <x:c r="G79" s="31" t="str">
        <x:v>"changing atmosphere" AND mediatype:texts</x:v>
      </x:c>
      <x:c r="H79" s="19" t="str">
        <x:v>PHRASE_METADATA_SEARCH</x:v>
      </x:c>
      <x:c r="I79" s="31" t="str">
        <x:v>EXACT_PHRASE</x:v>
      </x:c>
      <x:c r="J79" s="28" t="n">
        <x:v>37</x:v>
      </x:c>
      <x:c r="K79" s="28" t="n">
        <x:v>2</x:v>
      </x:c>
      <x:c r="L79" s="28" t="n">
        <x:v>8</x:v>
      </x:c>
      <x:c r="M79" s="31" t="str">
        <x:v>COMPLETED_NONZERO</x:v>
      </x:c>
      <x:c r="N79" s="43" t="str">
        <x:v>2026-08-26</x:v>
      </x:c>
      <x:c r="O79" s="31" t="str">
        <x:v>https://archive.org/advancedsearch.php</x:v>
      </x:c>
      <x:c r="P79" s="31" t="str">
        <x:v>Metadata text-item count; not a full-text lexical frequency. Secondary metric: Scholarly work discoverability count over OpenAlex search fields; not a corpus word frequency.</x:v>
      </x:c>
      <x:c r="Q79" s="19" t="str">
        <x:v>OPENALEX_WORK_COUNT</x:v>
      </x:c>
      <x:c r="R79" s="20" t="str">
        <x:v>2410</x:v>
      </x:c>
    </x:row>
    <x:row r="80" ht="34" customHeight="1">
      <x:c r="A80" s="25" t="str">
        <x:v>FT-SEED-R1B-P-1988-16</x:v>
      </x:c>
      <x:c r="B80" s="19" t="str">
        <x:v>1988</x:v>
      </x:c>
      <x:c r="C80" s="28" t="n">
        <x:v>16</x:v>
      </x:c>
      <x:c r="D80" s="31" t="str">
        <x:v>global security</x:v>
      </x:c>
      <x:c r="E80" s="19" t="str">
        <x:v>INTERNET_ARCHIVE_METADATA_TEXT_ITEM_COUNT</x:v>
      </x:c>
      <x:c r="F80" s="28" t="str">
        <x:v>INTERNET_ARCHIVE_ADVANCEDSEARCH_NUMFOUND</x:v>
      </x:c>
      <x:c r="G80" s="31" t="str">
        <x:v>"global security" AND mediatype:texts</x:v>
      </x:c>
      <x:c r="H80" s="19" t="str">
        <x:v>PHRASE_METADATA_SEARCH</x:v>
      </x:c>
      <x:c r="I80" s="31" t="str">
        <x:v>EXACT_PHRASE</x:v>
      </x:c>
      <x:c r="J80" s="28" t="n">
        <x:v>946</x:v>
      </x:c>
      <x:c r="K80" s="28" t="n">
        <x:v>12</x:v>
      </x:c>
      <x:c r="L80" s="28" t="n">
        <x:v>44</x:v>
      </x:c>
      <x:c r="M80" s="31" t="str">
        <x:v>COMPLETED_NONZERO</x:v>
      </x:c>
      <x:c r="N80" s="43" t="str">
        <x:v>2026-08-26</x:v>
      </x:c>
      <x:c r="O80" s="31" t="str">
        <x:v>https://archive.org/advancedsearch.php</x:v>
      </x:c>
      <x:c r="P80" s="31" t="str">
        <x:v>Metadata text-item count; not a full-text lexical frequency. Secondary metric: NOT_RUN_OPENALEX_DAILY_BUDGET_EXHAUSTED: shared provider response retained; no count fabricated.</x:v>
      </x:c>
      <x:c r="Q80" s="19" t="str">
        <x:v>OPENALEX_WORK_COUNT</x:v>
      </x:c>
      <x:c r="R80" s="20" t="str">
        <x:v>NOT_APPLICABLE</x:v>
      </x:c>
    </x:row>
    <x:row r="81" ht="34" customHeight="1">
      <x:c r="A81" s="25" t="str">
        <x:v>FT-SEED-R1B-P-1988-17</x:v>
      </x:c>
      <x:c r="B81" s="19" t="str">
        <x:v>1988</x:v>
      </x:c>
      <x:c r="C81" s="28" t="n">
        <x:v>17</x:v>
      </x:c>
      <x:c r="D81" s="31" t="str">
        <x:v>climate warming</x:v>
      </x:c>
      <x:c r="E81" s="19" t="str">
        <x:v>INTERNET_ARCHIVE_METADATA_TEXT_ITEM_COUNT</x:v>
      </x:c>
      <x:c r="F81" s="28" t="str">
        <x:v>INTERNET_ARCHIVE_ADVANCEDSEARCH_NUMFOUND</x:v>
      </x:c>
      <x:c r="G81" s="31" t="str">
        <x:v>"climate warming" AND mediatype:texts</x:v>
      </x:c>
      <x:c r="H81" s="19" t="str">
        <x:v>PHRASE_METADATA_SEARCH</x:v>
      </x:c>
      <x:c r="I81" s="31" t="str">
        <x:v>EXACT_PHRASE</x:v>
      </x:c>
      <x:c r="J81" s="28" t="n">
        <x:v>237</x:v>
      </x:c>
      <x:c r="K81" s="28" t="n">
        <x:v>1</x:v>
      </x:c>
      <x:c r="L81" s="28" t="n">
        <x:v>5</x:v>
      </x:c>
      <x:c r="M81" s="31" t="str">
        <x:v>COMPLETED_NONZERO</x:v>
      </x:c>
      <x:c r="N81" s="43" t="str">
        <x:v>2026-08-26</x:v>
      </x:c>
      <x:c r="O81" s="31" t="str">
        <x:v>https://archive.org/advancedsearch.php</x:v>
      </x:c>
      <x:c r="P81" s="31" t="str">
        <x:v>Metadata text-item count; not a full-text lexical frequency. Secondary metric: Scholarly work discoverability count over OpenAlex search fields; not a corpus word frequency.</x:v>
      </x:c>
      <x:c r="Q81" s="19" t="str">
        <x:v>OPENALEX_WORK_COUNT</x:v>
      </x:c>
      <x:c r="R81" s="20" t="str">
        <x:v>106345</x:v>
      </x:c>
    </x:row>
    <x:row r="82" ht="34" customHeight="1">
      <x:c r="A82" s="25" t="str">
        <x:v>FT-SEED-R1B-P-1988-18</x:v>
      </x:c>
      <x:c r="B82" s="19" t="str">
        <x:v>1988</x:v>
      </x:c>
      <x:c r="C82" s="28" t="n">
        <x:v>18</x:v>
      </x:c>
      <x:c r="D82" s="31" t="str">
        <x:v>changed climatic extremes</x:v>
      </x:c>
      <x:c r="E82" s="19" t="str">
        <x:v>INTERNET_ARCHIVE_METADATA_TEXT_ITEM_COUNT</x:v>
      </x:c>
      <x:c r="F82" s="28" t="str">
        <x:v>INTERNET_ARCHIVE_ADVANCEDSEARCH_NUMFOUND</x:v>
      </x:c>
      <x:c r="G82" s="31" t="str">
        <x:v>"changed climatic extremes" AND mediatype:texts</x:v>
      </x:c>
      <x:c r="H82" s="19" t="str">
        <x:v>PHRASE_METADATA_SEARCH</x:v>
      </x:c>
      <x:c r="I82" s="31" t="str">
        <x:v>EXACT_PHRASE</x:v>
      </x:c>
      <x:c r="J82" s="28" t="n">
        <x:v>0</x:v>
      </x:c>
      <x:c r="K82" s="28" t="n">
        <x:v>0</x:v>
      </x:c>
      <x:c r="L82" s="28" t="n">
        <x:v>0</x:v>
      </x:c>
      <x:c r="M82" s="31" t="str">
        <x:v>COMPLETED_ZERO</x:v>
      </x:c>
      <x:c r="N82" s="43" t="str">
        <x:v>2026-08-26</x:v>
      </x:c>
      <x:c r="O82" s="31" t="str">
        <x:v>https://archive.org/advancedsearch.php</x:v>
      </x:c>
      <x:c r="P82" s="31" t="str">
        <x:v>Metadata text-item count; not a full-text lexical frequency. Secondary metric: Scholarly work discoverability count over OpenAlex search fields; not a corpus word frequency.</x:v>
      </x:c>
      <x:c r="Q82" s="19" t="str">
        <x:v>OPENALEX_WORK_COUNT</x:v>
      </x:c>
      <x:c r="R82" s="20" t="str">
        <x:v>1</x:v>
      </x:c>
    </x:row>
    <x:row r="83" ht="34" customHeight="1">
      <x:c r="A83" s="25" t="str">
        <x:v>FT-SEED-R1B-P-1988-19</x:v>
      </x:c>
      <x:c r="B83" s="19" t="str">
        <x:v>1988</x:v>
      </x:c>
      <x:c r="C83" s="28" t="n">
        <x:v>19</x:v>
      </x:c>
      <x:c r="D83" s="31" t="str">
        <x:v>major threat</x:v>
      </x:c>
      <x:c r="E83" s="19" t="str">
        <x:v>INTERNET_ARCHIVE_METADATA_TEXT_ITEM_COUNT</x:v>
      </x:c>
      <x:c r="F83" s="28" t="str">
        <x:v>INTERNET_ARCHIVE_ADVANCEDSEARCH_NUMFOUND</x:v>
      </x:c>
      <x:c r="G83" s="31" t="str">
        <x:v>"major threat" AND mediatype:texts</x:v>
      </x:c>
      <x:c r="H83" s="19" t="str">
        <x:v>PHRASE_METADATA_SEARCH</x:v>
      </x:c>
      <x:c r="I83" s="31" t="str">
        <x:v>EXACT_PHRASE</x:v>
      </x:c>
      <x:c r="J83" s="28" t="n">
        <x:v>659</x:v>
      </x:c>
      <x:c r="K83" s="28" t="n">
        <x:v>16</x:v>
      </x:c>
      <x:c r="L83" s="28" t="n">
        <x:v>82</x:v>
      </x:c>
      <x:c r="M83" s="31" t="str">
        <x:v>COMPLETED_NONZERO</x:v>
      </x:c>
      <x:c r="N83" s="43" t="str">
        <x:v>2026-08-26</x:v>
      </x:c>
      <x:c r="O83" s="31" t="str">
        <x:v>https://archive.org/advancedsearch.php</x:v>
      </x:c>
      <x:c r="P83" s="31" t="str">
        <x:v>Metadata text-item count; not a full-text lexical frequency. Secondary metric: NOT_RUN_OPENALEX_DAILY_BUDGET_EXHAUSTED: shared provider response retained; no count fabricated.</x:v>
      </x:c>
      <x:c r="Q83" s="19" t="str">
        <x:v>OPENALEX_WORK_COUNT</x:v>
      </x:c>
      <x:c r="R83" s="20" t="str">
        <x:v>NOT_APPLICABLE</x:v>
      </x:c>
    </x:row>
    <x:row r="84" ht="34" customHeight="1">
      <x:c r="A84" s="25" t="str">
        <x:v>FT-SEED-R1B-P-1988-20</x:v>
      </x:c>
      <x:c r="B84" s="19" t="str">
        <x:v>1988</x:v>
      </x:c>
      <x:c r="C84" s="28" t="n">
        <x:v>20</x:v>
      </x:c>
      <x:c r="D84" s="31" t="str">
        <x:v>harmful consequences</x:v>
      </x:c>
      <x:c r="E84" s="19" t="str">
        <x:v>INTERNET_ARCHIVE_METADATA_TEXT_ITEM_COUNT</x:v>
      </x:c>
      <x:c r="F84" s="28" t="str">
        <x:v>INTERNET_ARCHIVE_ADVANCEDSEARCH_NUMFOUND</x:v>
      </x:c>
      <x:c r="G84" s="31" t="str">
        <x:v>"harmful consequences" AND mediatype:texts</x:v>
      </x:c>
      <x:c r="H84" s="19" t="str">
        <x:v>PHRASE_METADATA_SEARCH</x:v>
      </x:c>
      <x:c r="I84" s="31" t="str">
        <x:v>EXACT_PHRASE</x:v>
      </x:c>
      <x:c r="J84" s="28" t="n">
        <x:v>111</x:v>
      </x:c>
      <x:c r="K84" s="28" t="n">
        <x:v>2</x:v>
      </x:c>
      <x:c r="L84" s="28" t="n">
        <x:v>4</x:v>
      </x:c>
      <x:c r="M84" s="31" t="str">
        <x:v>COMPLETED_NONZERO</x:v>
      </x:c>
      <x:c r="N84" s="43" t="str">
        <x:v>2026-08-26</x:v>
      </x:c>
      <x:c r="O84" s="31" t="str">
        <x:v>https://archive.org/advancedsearch.php</x:v>
      </x:c>
      <x:c r="P84" s="31" t="str">
        <x:v>Metadata text-item count; not a full-text lexical frequency. Secondary metric: NOT_RUN_OPENALEX_DAILY_BUDGET_EXHAUSTED: shared provider response retained; no count fabricated.</x:v>
      </x:c>
      <x:c r="Q84" s="19" t="str">
        <x:v>OPENALEX_WORK_COUNT</x:v>
      </x:c>
      <x:c r="R84" s="20" t="str">
        <x:v>NOT_APPLICABLE</x:v>
      </x:c>
    </x:row>
    <x:row r="85" ht="34" customHeight="1">
      <x:c r="A85" s="25" t="str">
        <x:v>FT-SEED-R1B-P-1988-21</x:v>
      </x:c>
      <x:c r="B85" s="19" t="str">
        <x:v>1988</x:v>
      </x:c>
      <x:c r="C85" s="28" t="n">
        <x:v>21</x:v>
      </x:c>
      <x:c r="D85" s="31" t="str">
        <x:v>grave threats</x:v>
      </x:c>
      <x:c r="E85" s="19" t="str">
        <x:v>INTERNET_ARCHIVE_METADATA_TEXT_ITEM_COUNT</x:v>
      </x:c>
      <x:c r="F85" s="28" t="str">
        <x:v>INTERNET_ARCHIVE_ADVANCEDSEARCH_NUMFOUND</x:v>
      </x:c>
      <x:c r="G85" s="31" t="str">
        <x:v>"grave threats" AND mediatype:texts</x:v>
      </x:c>
      <x:c r="H85" s="19" t="str">
        <x:v>PHRASE_METADATA_SEARCH</x:v>
      </x:c>
      <x:c r="I85" s="31" t="str">
        <x:v>EXACT_PHRASE</x:v>
      </x:c>
      <x:c r="J85" s="28" t="n">
        <x:v>21</x:v>
      </x:c>
      <x:c r="K85" s="28" t="n">
        <x:v>0</x:v>
      </x:c>
      <x:c r="L85" s="28" t="n">
        <x:v>1</x:v>
      </x:c>
      <x:c r="M85" s="31" t="str">
        <x:v>COMPLETED_NONZERO</x:v>
      </x:c>
      <x:c r="N85" s="43" t="str">
        <x:v>2026-08-26</x:v>
      </x:c>
      <x:c r="O85" s="31" t="str">
        <x:v>https://archive.org/advancedsearch.php</x:v>
      </x:c>
      <x:c r="P85" s="31" t="str">
        <x:v>Metadata text-item count; not a full-text lexical frequency. Secondary metric: NOT_RUN_OPENALEX_DAILY_BUDGET_EXHAUSTED: shared provider response retained; no count fabricated.</x:v>
      </x:c>
      <x:c r="Q85" s="19" t="str">
        <x:v>OPENALEX_WORK_COUNT</x:v>
      </x:c>
      <x:c r="R85" s="20" t="str">
        <x:v>NOT_APPLICABLE</x:v>
      </x:c>
    </x:row>
    <x:row r="86" ht="34" customHeight="1">
      <x:c r="A86" s="25" t="str">
        <x:v>FT-SEED-R1B-P-1988-22</x:v>
      </x:c>
      <x:c r="B86" s="19" t="str">
        <x:v>1988</x:v>
      </x:c>
      <x:c r="C86" s="28" t="n">
        <x:v>22</x:v>
      </x:c>
      <x:c r="D86" s="31" t="str">
        <x:v>severe economic and social dislocation</x:v>
      </x:c>
      <x:c r="E86" s="19" t="str">
        <x:v>INTERNET_ARCHIVE_METADATA_TEXT_ITEM_COUNT</x:v>
      </x:c>
      <x:c r="F86" s="28" t="str">
        <x:v>INTERNET_ARCHIVE_ADVANCEDSEARCH_NUMFOUND</x:v>
      </x:c>
      <x:c r="G86" s="31" t="str">
        <x:v>"severe economic and social dislocation" AND mediatype:texts</x:v>
      </x:c>
      <x:c r="H86" s="19" t="str">
        <x:v>PHRASE_METADATA_SEARCH</x:v>
      </x:c>
      <x:c r="I86" s="31" t="str">
        <x:v>EXACT_PHRASE</x:v>
      </x:c>
      <x:c r="J86" s="28" t="n">
        <x:v>0</x:v>
      </x:c>
      <x:c r="K86" s="28" t="n">
        <x:v>0</x:v>
      </x:c>
      <x:c r="L86" s="28" t="n">
        <x:v>0</x:v>
      </x:c>
      <x:c r="M86" s="31" t="str">
        <x:v>COMPLETED_ZERO</x:v>
      </x:c>
      <x:c r="N86" s="43" t="str">
        <x:v>2026-08-26</x:v>
      </x:c>
      <x:c r="O86" s="31" t="str">
        <x:v>https://archive.org/advancedsearch.php</x:v>
      </x:c>
      <x:c r="P86" s="31" t="str">
        <x:v>Metadata text-item count; not a full-text lexical frequency. Secondary metric: NOT_RUN_OPENALEX_DAILY_BUDGET_EXHAUSTED: shared provider response retained; no count fabricated.</x:v>
      </x:c>
      <x:c r="Q86" s="19" t="str">
        <x:v>OPENALEX_WORK_COUNT</x:v>
      </x:c>
      <x:c r="R86" s="20" t="str">
        <x:v>NOT_APPLICABLE</x:v>
      </x:c>
    </x:row>
    <x:row r="87" ht="34" customHeight="1">
      <x:c r="A87" s="25" t="str">
        <x:v>FT-SEED-R1B-P-1988-23</x:v>
      </x:c>
      <x:c r="B87" s="19" t="str">
        <x:v>1988</x:v>
      </x:c>
      <x:c r="C87" s="28" t="n">
        <x:v>23</x:v>
      </x:c>
      <x:c r="D87" s="31" t="str">
        <x:v>risk of conflicts</x:v>
      </x:c>
      <x:c r="E87" s="19" t="str">
        <x:v>INTERNET_ARCHIVE_METADATA_TEXT_ITEM_COUNT</x:v>
      </x:c>
      <x:c r="F87" s="28" t="str">
        <x:v>INTERNET_ARCHIVE_ADVANCEDSEARCH_NUMFOUND</x:v>
      </x:c>
      <x:c r="G87" s="31" t="str">
        <x:v>"risk of conflicts" AND mediatype:texts</x:v>
      </x:c>
      <x:c r="H87" s="19" t="str">
        <x:v>PHRASE_METADATA_SEARCH</x:v>
      </x:c>
      <x:c r="I87" s="31" t="str">
        <x:v>EXACT_PHRASE</x:v>
      </x:c>
      <x:c r="J87" s="28" t="n">
        <x:v>4</x:v>
      </x:c>
      <x:c r="K87" s="28" t="n">
        <x:v>0</x:v>
      </x:c>
      <x:c r="L87" s="28" t="n">
        <x:v>0</x:v>
      </x:c>
      <x:c r="M87" s="31" t="str">
        <x:v>COMPLETED_NONZERO</x:v>
      </x:c>
      <x:c r="N87" s="43" t="str">
        <x:v>2026-08-26</x:v>
      </x:c>
      <x:c r="O87" s="31" t="str">
        <x:v>https://archive.org/advancedsearch.php</x:v>
      </x:c>
      <x:c r="P87" s="31" t="str">
        <x:v>Metadata text-item count; not a full-text lexical frequency. Secondary metric: NOT_RUN_OPENALEX_DAILY_BUDGET_EXHAUSTED: shared provider response retained; no count fabricated.</x:v>
      </x:c>
      <x:c r="Q87" s="19" t="str">
        <x:v>OPENALEX_WORK_COUNT</x:v>
      </x:c>
      <x:c r="R87" s="20" t="str">
        <x:v>NOT_APPLICABLE</x:v>
      </x:c>
    </x:row>
    <x:row r="88" ht="34" customHeight="1">
      <x:c r="A88" s="25" t="str">
        <x:v>FT-SEED-R1B-P-1988-24</x:v>
      </x:c>
      <x:c r="B88" s="19" t="str">
        <x:v>1988</x:v>
      </x:c>
      <x:c r="C88" s="28" t="n">
        <x:v>24</x:v>
      </x:c>
      <x:c r="D88" s="31" t="str">
        <x:v>impending crisis</x:v>
      </x:c>
      <x:c r="E88" s="19" t="str">
        <x:v>INTERNET_ARCHIVE_METADATA_TEXT_ITEM_COUNT</x:v>
      </x:c>
      <x:c r="F88" s="28" t="str">
        <x:v>INTERNET_ARCHIVE_ADVANCEDSEARCH_NUMFOUND</x:v>
      </x:c>
      <x:c r="G88" s="31" t="str">
        <x:v>"impending crisis" AND mediatype:texts</x:v>
      </x:c>
      <x:c r="H88" s="19" t="str">
        <x:v>PHRASE_METADATA_SEARCH</x:v>
      </x:c>
      <x:c r="I88" s="31" t="str">
        <x:v>EXACT_PHRASE</x:v>
      </x:c>
      <x:c r="J88" s="28" t="n">
        <x:v>203</x:v>
      </x:c>
      <x:c r="K88" s="28" t="n">
        <x:v>5</x:v>
      </x:c>
      <x:c r="L88" s="28" t="n">
        <x:v>11</x:v>
      </x:c>
      <x:c r="M88" s="31" t="str">
        <x:v>COMPLETED_NONZERO</x:v>
      </x:c>
      <x:c r="N88" s="43" t="str">
        <x:v>2026-08-26</x:v>
      </x:c>
      <x:c r="O88" s="31" t="str">
        <x:v>https://archive.org/advancedsearch.php</x:v>
      </x:c>
      <x:c r="P88" s="31" t="str">
        <x:v>Metadata text-item count; not a full-text lexical frequency. Secondary metric: NOT_RUN_OPENALEX_DAILY_BUDGET_EXHAUSTED: shared provider response retained; no count fabricated.</x:v>
      </x:c>
      <x:c r="Q88" s="19" t="str">
        <x:v>OPENALEX_WORK_COUNT</x:v>
      </x:c>
      <x:c r="R88" s="20" t="str">
        <x:v>NOT_APPLICABLE</x:v>
      </x:c>
    </x:row>
    <x:row r="89" ht="34" customHeight="1">
      <x:c r="A89" s="25" t="str">
        <x:v>FT-SEED-R1B-P-1988-25</x:v>
      </x:c>
      <x:c r="B89" s="19" t="str">
        <x:v>1988</x:v>
      </x:c>
      <x:c r="C89" s="28" t="n">
        <x:v>25</x:v>
      </x:c>
      <x:c r="D89" s="31" t="str">
        <x:v>degradation of the atmosphere</x:v>
      </x:c>
      <x:c r="E89" s="19" t="str">
        <x:v>INTERNET_ARCHIVE_METADATA_TEXT_ITEM_COUNT</x:v>
      </x:c>
      <x:c r="F89" s="28" t="str">
        <x:v>INTERNET_ARCHIVE_ADVANCEDSEARCH_NUMFOUND</x:v>
      </x:c>
      <x:c r="G89" s="31" t="str">
        <x:v>"degradation of the atmosphere" AND mediatype:texts</x:v>
      </x:c>
      <x:c r="H89" s="19" t="str">
        <x:v>PHRASE_METADATA_SEARCH</x:v>
      </x:c>
      <x:c r="I89" s="31" t="str">
        <x:v>EXACT_PHRASE</x:v>
      </x:c>
      <x:c r="J89" s="28" t="n">
        <x:v>0</x:v>
      </x:c>
      <x:c r="K89" s="28" t="n">
        <x:v>0</x:v>
      </x:c>
      <x:c r="L89" s="28" t="n">
        <x:v>0</x:v>
      </x:c>
      <x:c r="M89" s="31" t="str">
        <x:v>COMPLETED_ZERO</x:v>
      </x:c>
      <x:c r="N89" s="43" t="str">
        <x:v>2026-08-26</x:v>
      </x:c>
      <x:c r="O89" s="31" t="str">
        <x:v>https://archive.org/advancedsearch.php</x:v>
      </x:c>
      <x:c r="P89" s="31" t="str">
        <x:v>Metadata text-item count; not a full-text lexical frequency. Secondary metric: NOT_RUN_OPENALEX_DAILY_BUDGET_EXHAUSTED: shared provider response retained; no count fabricated.</x:v>
      </x:c>
      <x:c r="Q89" s="19" t="str">
        <x:v>OPENALEX_WORK_COUNT</x:v>
      </x:c>
      <x:c r="R89" s="20" t="str">
        <x:v>NOT_APPLICABLE</x:v>
      </x:c>
    </x:row>
    <x:row r="90" ht="34" customHeight="1">
      <x:c r="A90" s="25" t="str">
        <x:v>FT-SEED-R1B-P-1988-26</x:v>
      </x:c>
      <x:c r="B90" s="19" t="str">
        <x:v>1988</x:v>
      </x:c>
      <x:c r="C90" s="28" t="n">
        <x:v>26</x:v>
      </x:c>
      <x:c r="D90" s="31" t="str">
        <x:v>atmospheric pollution</x:v>
      </x:c>
      <x:c r="E90" s="19" t="str">
        <x:v>INTERNET_ARCHIVE_METADATA_TEXT_ITEM_COUNT</x:v>
      </x:c>
      <x:c r="F90" s="28" t="str">
        <x:v>INTERNET_ARCHIVE_ADVANCEDSEARCH_NUMFOUND</x:v>
      </x:c>
      <x:c r="G90" s="31" t="str">
        <x:v>"atmospheric pollution" AND mediatype:texts</x:v>
      </x:c>
      <x:c r="H90" s="19" t="str">
        <x:v>PHRASE_METADATA_SEARCH</x:v>
      </x:c>
      <x:c r="I90" s="31" t="str">
        <x:v>EXACT_PHRASE</x:v>
      </x:c>
      <x:c r="J90" s="28" t="n">
        <x:v>221</x:v>
      </x:c>
      <x:c r="K90" s="28" t="n">
        <x:v>5</x:v>
      </x:c>
      <x:c r="L90" s="28" t="n">
        <x:v>19</x:v>
      </x:c>
      <x:c r="M90" s="31" t="str">
        <x:v>COMPLETED_NONZERO</x:v>
      </x:c>
      <x:c r="N90" s="43" t="str">
        <x:v>2026-08-26</x:v>
      </x:c>
      <x:c r="O90" s="31" t="str">
        <x:v>https://archive.org/advancedsearch.php</x:v>
      </x:c>
      <x:c r="P90" s="31" t="str">
        <x:v>Metadata text-item count; not a full-text lexical frequency. Secondary metric: Scholarly work discoverability count over OpenAlex search fields; not a corpus word frequency.</x:v>
      </x:c>
      <x:c r="Q90" s="19" t="str">
        <x:v>OPENALEX_WORK_COUNT</x:v>
      </x:c>
      <x:c r="R90" s="20" t="str">
        <x:v>53072</x:v>
      </x:c>
    </x:row>
    <x:row r="91" ht="34" customHeight="1">
      <x:c r="A91" s="25" t="str">
        <x:v>FT-SEED-R1B-P-1988-27</x:v>
      </x:c>
      <x:c r="B91" s="19" t="str">
        <x:v>1988</x:v>
      </x:c>
      <x:c r="C91" s="28" t="n">
        <x:v>27</x:v>
      </x:c>
      <x:c r="D91" s="31" t="str">
        <x:v>greenhouse gases</x:v>
      </x:c>
      <x:c r="E91" s="19" t="str">
        <x:v>INTERNET_ARCHIVE_METADATA_TEXT_ITEM_COUNT</x:v>
      </x:c>
      <x:c r="F91" s="28" t="str">
        <x:v>INTERNET_ARCHIVE_ADVANCEDSEARCH_NUMFOUND</x:v>
      </x:c>
      <x:c r="G91" s="31" t="str">
        <x:v>"greenhouse gases" AND mediatype:texts</x:v>
      </x:c>
      <x:c r="H91" s="19" t="str">
        <x:v>PHRASE_METADATA_SEARCH</x:v>
      </x:c>
      <x:c r="I91" s="31" t="str">
        <x:v>EXACT_PHRASE</x:v>
      </x:c>
      <x:c r="J91" s="28" t="n">
        <x:v>1549</x:v>
      </x:c>
      <x:c r="K91" s="28" t="n">
        <x:v>3</x:v>
      </x:c>
      <x:c r="L91" s="28" t="n">
        <x:v>30</x:v>
      </x:c>
      <x:c r="M91" s="31" t="str">
        <x:v>COMPLETED_NONZERO</x:v>
      </x:c>
      <x:c r="N91" s="43" t="str">
        <x:v>2026-08-26</x:v>
      </x:c>
      <x:c r="O91" s="31" t="str">
        <x:v>https://archive.org/advancedsearch.php</x:v>
      </x:c>
      <x:c r="P91" s="31" t="str">
        <x:v>Metadata text-item count; not a full-text lexical frequency. Secondary metric: NOT_RUN_OPENALEX_DAILY_BUDGET_EXHAUSTED: shared provider response retained; no count fabricated.</x:v>
      </x:c>
      <x:c r="Q91" s="19" t="str">
        <x:v>OPENALEX_WORK_COUNT</x:v>
      </x:c>
      <x:c r="R91" s="20" t="str">
        <x:v>NOT_APPLICABLE</x:v>
      </x:c>
    </x:row>
    <x:row r="92" ht="34" customHeight="1">
      <x:c r="A92" s="25" t="str">
        <x:v>FT-SEED-R1B-P-1988-28</x:v>
      </x:c>
      <x:c r="B92" s="19" t="str">
        <x:v>1988</x:v>
      </x:c>
      <x:c r="C92" s="28" t="n">
        <x:v>28</x:v>
      </x:c>
      <x:c r="D92" s="31" t="str">
        <x:v>Global Warming Has Begun</x:v>
      </x:c>
      <x:c r="E92" s="19" t="str">
        <x:v>INTERNET_ARCHIVE_METADATA_TEXT_ITEM_COUNT</x:v>
      </x:c>
      <x:c r="F92" s="28" t="str">
        <x:v>INTERNET_ARCHIVE_ADVANCEDSEARCH_NUMFOUND</x:v>
      </x:c>
      <x:c r="G92" s="31" t="str">
        <x:v>"Global Warming Has Begun" AND mediatype:texts</x:v>
      </x:c>
      <x:c r="H92" s="19" t="str">
        <x:v>PHRASE_METADATA_SEARCH</x:v>
      </x:c>
      <x:c r="I92" s="31" t="str">
        <x:v>EXACT_PHRASE</x:v>
      </x:c>
      <x:c r="J92" s="28" t="n">
        <x:v>0</x:v>
      </x:c>
      <x:c r="K92" s="28" t="n">
        <x:v>0</x:v>
      </x:c>
      <x:c r="L92" s="28" t="n">
        <x:v>0</x:v>
      </x:c>
      <x:c r="M92" s="31" t="str">
        <x:v>COMPLETED_ZERO</x:v>
      </x:c>
      <x:c r="N92" s="43" t="str">
        <x:v>2026-08-26</x:v>
      </x:c>
      <x:c r="O92" s="31" t="str">
        <x:v>https://archive.org/advancedsearch.php</x:v>
      </x:c>
      <x:c r="P92" s="31" t="str">
        <x:v>Metadata text-item count; not a full-text lexical frequency. Secondary metric: NOT_RUN_OPENALEX_DAILY_BUDGET_EXHAUSTED: shared provider response retained; no count fabricated.</x:v>
      </x:c>
      <x:c r="Q92" s="19" t="str">
        <x:v>OPENALEX_WORK_COUNT</x:v>
      </x:c>
      <x:c r="R92" s="20" t="str">
        <x:v>NOT_APPLICABLE</x:v>
      </x:c>
    </x:row>
    <x:row r="93" ht="34" customHeight="1">
      <x:c r="A93" s="25" t="str">
        <x:v>FT-SEED-R1B-P-1988-29</x:v>
      </x:c>
      <x:c r="B93" s="19" t="str">
        <x:v>1988</x:v>
      </x:c>
      <x:c r="C93" s="28" t="n">
        <x:v>29</x:v>
      </x:c>
      <x:c r="D93" s="31" t="str">
        <x:v>evidence is pretty strong</x:v>
      </x:c>
      <x:c r="E93" s="19" t="str">
        <x:v>INTERNET_ARCHIVE_METADATA_TEXT_ITEM_COUNT</x:v>
      </x:c>
      <x:c r="F93" s="28" t="str">
        <x:v>INTERNET_ARCHIVE_ADVANCEDSEARCH_NUMFOUND</x:v>
      </x:c>
      <x:c r="G93" s="31" t="str">
        <x:v>"evidence is pretty strong" AND mediatype:texts</x:v>
      </x:c>
      <x:c r="H93" s="19" t="str">
        <x:v>PHRASE_METADATA_SEARCH</x:v>
      </x:c>
      <x:c r="I93" s="31" t="str">
        <x:v>EXACT_PHRASE</x:v>
      </x:c>
      <x:c r="J93" s="28" t="n">
        <x:v>0</x:v>
      </x:c>
      <x:c r="K93" s="28" t="n">
        <x:v>0</x:v>
      </x:c>
      <x:c r="L93" s="28" t="n">
        <x:v>0</x:v>
      </x:c>
      <x:c r="M93" s="31" t="str">
        <x:v>COMPLETED_ZERO</x:v>
      </x:c>
      <x:c r="N93" s="43" t="str">
        <x:v>2026-08-26</x:v>
      </x:c>
      <x:c r="O93" s="31" t="str">
        <x:v>https://archive.org/advancedsearch.php</x:v>
      </x:c>
      <x:c r="P93" s="31" t="str">
        <x:v>Metadata text-item count; not a full-text lexical frequency. Secondary metric: NOT_RUN_OPENALEX_DAILY_BUDGET_EXHAUSTED: shared provider response retained; no count fabricated.</x:v>
      </x:c>
      <x:c r="Q93" s="19" t="str">
        <x:v>OPENALEX_WORK_COUNT</x:v>
      </x:c>
      <x:c r="R93" s="20" t="str">
        <x:v>NOT_APPLICABLE</x:v>
      </x:c>
    </x:row>
    <x:row r="94" ht="34" customHeight="1">
      <x:c r="A94" s="25" t="str">
        <x:v>FT-SEED-R1B-P-1988-30</x:v>
      </x:c>
      <x:c r="B94" s="19" t="str">
        <x:v>1988</x:v>
      </x:c>
      <x:c r="C94" s="28" t="n">
        <x:v>30</x:v>
      </x:c>
      <x:c r="D94" s="31" t="str">
        <x:v>too much carbon dioxide is dangerous</x:v>
      </x:c>
      <x:c r="E94" s="19" t="str">
        <x:v>INTERNET_ARCHIVE_METADATA_TEXT_ITEM_COUNT</x:v>
      </x:c>
      <x:c r="F94" s="28" t="str">
        <x:v>INTERNET_ARCHIVE_ADVANCEDSEARCH_NUMFOUND</x:v>
      </x:c>
      <x:c r="G94" s="31" t="str">
        <x:v>"too much carbon dioxide is dangerous" AND mediatype:texts</x:v>
      </x:c>
      <x:c r="H94" s="19" t="str">
        <x:v>PHRASE_METADATA_SEARCH</x:v>
      </x:c>
      <x:c r="I94" s="31" t="str">
        <x:v>EXACT_PHRASE</x:v>
      </x:c>
      <x:c r="J94" s="28" t="n">
        <x:v>0</x:v>
      </x:c>
      <x:c r="K94" s="28" t="n">
        <x:v>0</x:v>
      </x:c>
      <x:c r="L94" s="28" t="n">
        <x:v>0</x:v>
      </x:c>
      <x:c r="M94" s="31" t="str">
        <x:v>COMPLETED_ZERO</x:v>
      </x:c>
      <x:c r="N94" s="43" t="str">
        <x:v>2026-08-26</x:v>
      </x:c>
      <x:c r="O94" s="31" t="str">
        <x:v>https://archive.org/advancedsearch.php</x:v>
      </x:c>
      <x:c r="P94" s="31" t="str">
        <x:v>Metadata text-item count; not a full-text lexical frequency. Secondary metric: NOT_RUN_OPENALEX_DAILY_BUDGET_EXHAUSTED: shared provider response retained; no count fabricated.</x:v>
      </x:c>
      <x:c r="Q94" s="19" t="str">
        <x:v>OPENALEX_WORK_COUNT</x:v>
      </x:c>
      <x:c r="R94" s="20" t="str">
        <x:v>NOT_APPLICABLE</x:v>
      </x:c>
    </x:row>
    <x:row r="95" ht="34" customHeight="1">
      <x:c r="A95" s="25" t="str">
        <x:v>FT-SEED-R1B-P-0607-01</x:v>
      </x:c>
      <x:c r="B95" s="19" t="str">
        <x:v>2006–2007</x:v>
      </x:c>
      <x:c r="C95" s="28" t="n">
        <x:v>1</x:v>
      </x:c>
      <x:c r="D95" s="31" t="str">
        <x:v>warming of the climate system</x:v>
      </x:c>
      <x:c r="E95" s="19" t="str">
        <x:v>INTERNET_ARCHIVE_METADATA_TEXT_ITEM_COUNT</x:v>
      </x:c>
      <x:c r="F95" s="28" t="str">
        <x:v>INTERNET_ARCHIVE_ADVANCEDSEARCH_NUMFOUND</x:v>
      </x:c>
      <x:c r="G95" s="31" t="str">
        <x:v>"warming of the climate system" AND mediatype:texts</x:v>
      </x:c>
      <x:c r="H95" s="19" t="str">
        <x:v>PHRASE_METADATA_SEARCH</x:v>
      </x:c>
      <x:c r="I95" s="31" t="str">
        <x:v>EXACT_PHRASE</x:v>
      </x:c>
      <x:c r="J95" s="28" t="n">
        <x:v>3</x:v>
      </x:c>
      <x:c r="K95" s="28" t="n">
        <x:v>0</x:v>
      </x:c>
      <x:c r="L95" s="28" t="n">
        <x:v>0</x:v>
      </x:c>
      <x:c r="M95" s="31" t="str">
        <x:v>COMPLETED_NONZERO</x:v>
      </x:c>
      <x:c r="N95" s="43" t="str">
        <x:v>2026-08-26</x:v>
      </x:c>
      <x:c r="O95" s="31" t="str">
        <x:v>https://archive.org/advancedsearch.php</x:v>
      </x:c>
      <x:c r="P95" s="31" t="str">
        <x:v>Metadata text-item count; not a full-text lexical frequency. Secondary metric: NOT_RUN_OPENALEX_DAILY_BUDGET_EXHAUSTED: shared provider response retained; no count fabricated.</x:v>
      </x:c>
      <x:c r="Q95" s="19" t="str">
        <x:v>OPENALEX_WORK_COUNT</x:v>
      </x:c>
      <x:c r="R95" s="20" t="str">
        <x:v>NOT_APPLICABLE</x:v>
      </x:c>
    </x:row>
    <x:row r="96" ht="34" customHeight="1">
      <x:c r="A96" s="25" t="str">
        <x:v>FT-SEED-R1B-P-0607-02</x:v>
      </x:c>
      <x:c r="B96" s="19" t="str">
        <x:v>2006–2007</x:v>
      </x:c>
      <x:c r="C96" s="28" t="n">
        <x:v>2</x:v>
      </x:c>
      <x:c r="D96" s="31" t="str">
        <x:v>unequivocal</x:v>
      </x:c>
      <x:c r="E96" s="19" t="str">
        <x:v>INTERNET_ARCHIVE_METADATA_TEXT_ITEM_COUNT</x:v>
      </x:c>
      <x:c r="F96" s="28" t="str">
        <x:v>INTERNET_ARCHIVE_ADVANCEDSEARCH_NUMFOUND</x:v>
      </x:c>
      <x:c r="G96" s="31" t="str">
        <x:v>"unequivocal" AND mediatype:texts</x:v>
      </x:c>
      <x:c r="H96" s="19" t="str">
        <x:v>PHRASE_METADATA_SEARCH</x:v>
      </x:c>
      <x:c r="I96" s="31" t="str">
        <x:v>EXACT_PHRASE</x:v>
      </x:c>
      <x:c r="J96" s="28" t="n">
        <x:v>919</x:v>
      </x:c>
      <x:c r="K96" s="28" t="n">
        <x:v>31</x:v>
      </x:c>
      <x:c r="L96" s="28" t="n">
        <x:v>58</x:v>
      </x:c>
      <x:c r="M96" s="31" t="str">
        <x:v>COMPLETED_NONZERO</x:v>
      </x:c>
      <x:c r="N96" s="43" t="str">
        <x:v>2026-08-26</x:v>
      </x:c>
      <x:c r="O96" s="31" t="str">
        <x:v>https://archive.org/advancedsearch.php</x:v>
      </x:c>
      <x:c r="P96" s="31" t="str">
        <x:v>Metadata text-item count; not a full-text lexical frequency. Secondary metric: NOT_RUN_OPENALEX_DAILY_BUDGET_EXHAUSTED: shared provider response retained; no count fabricated.</x:v>
      </x:c>
      <x:c r="Q96" s="19" t="str">
        <x:v>OPENALEX_WORK_COUNT</x:v>
      </x:c>
      <x:c r="R96" s="20" t="str">
        <x:v>NOT_APPLICABLE</x:v>
      </x:c>
    </x:row>
    <x:row r="97" ht="34" customHeight="1">
      <x:c r="A97" s="25" t="str">
        <x:v>FT-SEED-R1B-P-0607-03</x:v>
      </x:c>
      <x:c r="B97" s="19" t="str">
        <x:v>2006–2007</x:v>
      </x:c>
      <x:c r="C97" s="28" t="n">
        <x:v>3</x:v>
      </x:c>
      <x:c r="D97" s="31" t="str">
        <x:v>global average air and ocean temperatures</x:v>
      </x:c>
      <x:c r="E97" s="19" t="str">
        <x:v>INTERNET_ARCHIVE_METADATA_TEXT_ITEM_COUNT</x:v>
      </x:c>
      <x:c r="F97" s="28" t="str">
        <x:v>INTERNET_ARCHIVE_ADVANCEDSEARCH_NUMFOUND</x:v>
      </x:c>
      <x:c r="G97" s="31" t="str">
        <x:v>"global average air and ocean temperatures" AND mediatype:texts</x:v>
      </x:c>
      <x:c r="H97" s="19" t="str">
        <x:v>PHRASE_METADATA_SEARCH</x:v>
      </x:c>
      <x:c r="I97" s="31" t="str">
        <x:v>EXACT_PHRASE</x:v>
      </x:c>
      <x:c r="J97" s="28" t="n">
        <x:v>0</x:v>
      </x:c>
      <x:c r="K97" s="28" t="n">
        <x:v>0</x:v>
      </x:c>
      <x:c r="L97" s="28" t="n">
        <x:v>0</x:v>
      </x:c>
      <x:c r="M97" s="31" t="str">
        <x:v>COMPLETED_ZERO</x:v>
      </x:c>
      <x:c r="N97" s="43" t="str">
        <x:v>2026-08-26</x:v>
      </x:c>
      <x:c r="O97" s="31" t="str">
        <x:v>https://archive.org/advancedsearch.php</x:v>
      </x:c>
      <x:c r="P97" s="31" t="str">
        <x:v>Metadata text-item count; not a full-text lexical frequency. Secondary metric: NOT_RUN_OPENALEX_DAILY_BUDGET_EXHAUSTED: shared provider response retained; no count fabricated.</x:v>
      </x:c>
      <x:c r="Q97" s="19" t="str">
        <x:v>OPENALEX_WORK_COUNT</x:v>
      </x:c>
      <x:c r="R97" s="20" t="str">
        <x:v>NOT_APPLICABLE</x:v>
      </x:c>
    </x:row>
    <x:row r="98" ht="34" customHeight="1">
      <x:c r="A98" s="25" t="str">
        <x:v>FT-SEED-R1B-P-0607-04</x:v>
      </x:c>
      <x:c r="B98" s="19" t="str">
        <x:v>2006–2007</x:v>
      </x:c>
      <x:c r="C98" s="28" t="n">
        <x:v>4</x:v>
      </x:c>
      <x:c r="D98" s="31" t="str">
        <x:v>global surface temperature</x:v>
      </x:c>
      <x:c r="E98" s="19" t="str">
        <x:v>INTERNET_ARCHIVE_METADATA_TEXT_ITEM_COUNT</x:v>
      </x:c>
      <x:c r="F98" s="28" t="str">
        <x:v>INTERNET_ARCHIVE_ADVANCEDSEARCH_NUMFOUND</x:v>
      </x:c>
      <x:c r="G98" s="31" t="str">
        <x:v>"global surface temperature" AND mediatype:texts</x:v>
      </x:c>
      <x:c r="H98" s="19" t="str">
        <x:v>PHRASE_METADATA_SEARCH</x:v>
      </x:c>
      <x:c r="I98" s="31" t="str">
        <x:v>EXACT_PHRASE</x:v>
      </x:c>
      <x:c r="J98" s="28" t="n">
        <x:v>34</x:v>
      </x:c>
      <x:c r="K98" s="28" t="n">
        <x:v>0</x:v>
      </x:c>
      <x:c r="L98" s="28" t="n">
        <x:v>2</x:v>
      </x:c>
      <x:c r="M98" s="31" t="str">
        <x:v>COMPLETED_NONZERO</x:v>
      </x:c>
      <x:c r="N98" s="43" t="str">
        <x:v>2026-08-26</x:v>
      </x:c>
      <x:c r="O98" s="31" t="str">
        <x:v>https://archive.org/advancedsearch.php</x:v>
      </x:c>
      <x:c r="P98" s="31" t="str">
        <x:v>Metadata text-item count; not a full-text lexical frequency. Secondary metric: NOT_RUN_OPENALEX_DAILY_BUDGET_EXHAUSTED: shared provider response retained; no count fabricated.</x:v>
      </x:c>
      <x:c r="Q98" s="19" t="str">
        <x:v>OPENALEX_WORK_COUNT</x:v>
      </x:c>
      <x:c r="R98" s="20" t="str">
        <x:v>NOT_APPLICABLE</x:v>
      </x:c>
    </x:row>
    <x:row r="99" ht="34" customHeight="1">
      <x:c r="A99" s="25" t="str">
        <x:v>FT-SEED-R1B-P-0607-05</x:v>
      </x:c>
      <x:c r="B99" s="19" t="str">
        <x:v>2006–2007</x:v>
      </x:c>
      <x:c r="C99" s="28" t="n">
        <x:v>5</x:v>
      </x:c>
      <x:c r="D99" s="31" t="str">
        <x:v>temperature increase</x:v>
      </x:c>
      <x:c r="E99" s="19" t="str">
        <x:v>INTERNET_ARCHIVE_METADATA_TEXT_ITEM_COUNT</x:v>
      </x:c>
      <x:c r="F99" s="28" t="str">
        <x:v>INTERNET_ARCHIVE_ADVANCEDSEARCH_NUMFOUND</x:v>
      </x:c>
      <x:c r="G99" s="31" t="str">
        <x:v>"temperature increase" AND mediatype:texts</x:v>
      </x:c>
      <x:c r="H99" s="19" t="str">
        <x:v>PHRASE_METADATA_SEARCH</x:v>
      </x:c>
      <x:c r="I99" s="31" t="str">
        <x:v>EXACT_PHRASE</x:v>
      </x:c>
      <x:c r="J99" s="28" t="n">
        <x:v>442</x:v>
      </x:c>
      <x:c r="K99" s="28" t="n">
        <x:v>17</x:v>
      </x:c>
      <x:c r="L99" s="28" t="n">
        <x:v>29</x:v>
      </x:c>
      <x:c r="M99" s="31" t="str">
        <x:v>COMPLETED_NONZERO</x:v>
      </x:c>
      <x:c r="N99" s="43" t="str">
        <x:v>2026-08-26</x:v>
      </x:c>
      <x:c r="O99" s="31" t="str">
        <x:v>https://archive.org/advancedsearch.php</x:v>
      </x:c>
      <x:c r="P99" s="31" t="str">
        <x:v>Metadata text-item count; not a full-text lexical frequency. Secondary metric: NOT_RUN_OPENALEX_DAILY_BUDGET_EXHAUSTED: shared provider response retained; no count fabricated.</x:v>
      </x:c>
      <x:c r="Q99" s="19" t="str">
        <x:v>OPENALEX_WORK_COUNT</x:v>
      </x:c>
      <x:c r="R99" s="20" t="str">
        <x:v>NOT_APPLICABLE</x:v>
      </x:c>
    </x:row>
    <x:row r="100" ht="34" customHeight="1">
      <x:c r="A100" s="25" t="str">
        <x:v>FT-SEED-R1B-P-0607-06</x:v>
      </x:c>
      <x:c r="B100" s="19" t="str">
        <x:v>2006–2007</x:v>
      </x:c>
      <x:c r="C100" s="28" t="n">
        <x:v>6</x:v>
      </x:c>
      <x:c r="D100" s="31" t="str">
        <x:v>rising global average sea level</x:v>
      </x:c>
      <x:c r="E100" s="19" t="str">
        <x:v>INTERNET_ARCHIVE_METADATA_TEXT_ITEM_COUNT</x:v>
      </x:c>
      <x:c r="F100" s="28" t="str">
        <x:v>INTERNET_ARCHIVE_ADVANCEDSEARCH_NUMFOUND</x:v>
      </x:c>
      <x:c r="G100" s="31" t="str">
        <x:v>"rising global average sea level" AND mediatype:texts</x:v>
      </x:c>
      <x:c r="H100" s="19" t="str">
        <x:v>PHRASE_METADATA_SEARCH</x:v>
      </x:c>
      <x:c r="I100" s="31" t="str">
        <x:v>EXACT_PHRASE</x:v>
      </x:c>
      <x:c r="J100" s="28" t="n">
        <x:v>0</x:v>
      </x:c>
      <x:c r="K100" s="28" t="n">
        <x:v>0</x:v>
      </x:c>
      <x:c r="L100" s="28" t="n">
        <x:v>0</x:v>
      </x:c>
      <x:c r="M100" s="31" t="str">
        <x:v>COMPLETED_ZERO</x:v>
      </x:c>
      <x:c r="N100" s="43" t="str">
        <x:v>2026-08-26</x:v>
      </x:c>
      <x:c r="O100" s="31" t="str">
        <x:v>https://archive.org/advancedsearch.php</x:v>
      </x:c>
      <x:c r="P100" s="31" t="str">
        <x:v>Metadata text-item count; not a full-text lexical frequency. Secondary metric: NOT_RUN_OPENALEX_DAILY_BUDGET_EXHAUSTED: shared provider response retained; no count fabricated.</x:v>
      </x:c>
      <x:c r="Q100" s="19" t="str">
        <x:v>OPENALEX_WORK_COUNT</x:v>
      </x:c>
      <x:c r="R100" s="20" t="str">
        <x:v>NOT_APPLICABLE</x:v>
      </x:c>
    </x:row>
    <x:row r="101" ht="34" customHeight="1">
      <x:c r="A101" s="25" t="str">
        <x:v>FT-SEED-R1B-P-0607-07</x:v>
      </x:c>
      <x:c r="B101" s="19" t="str">
        <x:v>2006–2007</x:v>
      </x:c>
      <x:c r="C101" s="28" t="n">
        <x:v>7</x:v>
      </x:c>
      <x:c r="D101" s="31" t="str">
        <x:v>widespread melting of snow and ice</x:v>
      </x:c>
      <x:c r="E101" s="19" t="str">
        <x:v>INTERNET_ARCHIVE_METADATA_TEXT_ITEM_COUNT</x:v>
      </x:c>
      <x:c r="F101" s="28" t="str">
        <x:v>INTERNET_ARCHIVE_ADVANCEDSEARCH_NUMFOUND</x:v>
      </x:c>
      <x:c r="G101" s="31" t="str">
        <x:v>"widespread melting of snow and ice" AND mediatype:texts</x:v>
      </x:c>
      <x:c r="H101" s="19" t="str">
        <x:v>PHRASE_METADATA_SEARCH</x:v>
      </x:c>
      <x:c r="I101" s="31" t="str">
        <x:v>EXACT_PHRASE</x:v>
      </x:c>
      <x:c r="J101" s="28" t="n">
        <x:v>0</x:v>
      </x:c>
      <x:c r="K101" s="28" t="n">
        <x:v>0</x:v>
      </x:c>
      <x:c r="L101" s="28" t="n">
        <x:v>0</x:v>
      </x:c>
      <x:c r="M101" s="31" t="str">
        <x:v>COMPLETED_ZERO</x:v>
      </x:c>
      <x:c r="N101" s="43" t="str">
        <x:v>2026-08-26</x:v>
      </x:c>
      <x:c r="O101" s="31" t="str">
        <x:v>https://archive.org/advancedsearch.php</x:v>
      </x:c>
      <x:c r="P101" s="31" t="str">
        <x:v>Metadata text-item count; not a full-text lexical frequency. Secondary metric: NOT_RUN_OPENALEX_DAILY_BUDGET_EXHAUSTED: shared provider response retained; no count fabricated.</x:v>
      </x:c>
      <x:c r="Q101" s="19" t="str">
        <x:v>OPENALEX_WORK_COUNT</x:v>
      </x:c>
      <x:c r="R101" s="20" t="str">
        <x:v>NOT_APPLICABLE</x:v>
      </x:c>
    </x:row>
    <x:row r="102" ht="34" customHeight="1">
      <x:c r="A102" s="25" t="str">
        <x:v>FT-SEED-R1B-P-0607-08</x:v>
      </x:c>
      <x:c r="B102" s="19" t="str">
        <x:v>2006–2007</x:v>
      </x:c>
      <x:c r="C102" s="28" t="n">
        <x:v>8</x:v>
      </x:c>
      <x:c r="D102" s="31" t="str">
        <x:v>anthropogenic CO₂</x:v>
      </x:c>
      <x:c r="E102" s="19" t="str">
        <x:v>INTERNET_ARCHIVE_METADATA_TEXT_ITEM_COUNT</x:v>
      </x:c>
      <x:c r="F102" s="28" t="str">
        <x:v>INTERNET_ARCHIVE_ADVANCEDSEARCH_NUMFOUND</x:v>
      </x:c>
      <x:c r="G102" s="31" t="str">
        <x:v>"anthropogenic CO₂" AND mediatype:texts</x:v>
      </x:c>
      <x:c r="H102" s="19" t="str">
        <x:v>PHRASE_METADATA_SEARCH</x:v>
      </x:c>
      <x:c r="I102" s="31" t="str">
        <x:v>EXACT_PHRASE</x:v>
      </x:c>
      <x:c r="J102" s="28" t="n">
        <x:v>8</x:v>
      </x:c>
      <x:c r="K102" s="28" t="n">
        <x:v>0</x:v>
      </x:c>
      <x:c r="L102" s="28" t="n">
        <x:v>0</x:v>
      </x:c>
      <x:c r="M102" s="31" t="str">
        <x:v>COMPLETED_NONZERO</x:v>
      </x:c>
      <x:c r="N102" s="43" t="str">
        <x:v>2026-08-26</x:v>
      </x:c>
      <x:c r="O102" s="31" t="str">
        <x:v>https://archive.org/advancedsearch.php</x:v>
      </x:c>
      <x:c r="P102" s="31" t="str">
        <x:v>Metadata text-item count; not a full-text lexical frequency. Secondary metric: Scholarly work discoverability count over OpenAlex search fields; not a corpus word frequency.</x:v>
      </x:c>
      <x:c r="Q102" s="19" t="str">
        <x:v>OPENALEX_WORK_COUNT</x:v>
      </x:c>
      <x:c r="R102" s="20" t="str">
        <x:v>19164</x:v>
      </x:c>
    </x:row>
    <x:row r="103" ht="34" customHeight="1">
      <x:c r="A103" s="25" t="str">
        <x:v>FT-SEED-R1B-P-0607-09</x:v>
      </x:c>
      <x:c r="B103" s="19" t="str">
        <x:v>2006–2007</x:v>
      </x:c>
      <x:c r="C103" s="28" t="n">
        <x:v>9</x:v>
      </x:c>
      <x:c r="D103" s="31" t="str">
        <x:v>anthropogenic GHG emissions</x:v>
      </x:c>
      <x:c r="E103" s="19" t="str">
        <x:v>INTERNET_ARCHIVE_METADATA_TEXT_ITEM_COUNT</x:v>
      </x:c>
      <x:c r="F103" s="28" t="str">
        <x:v>INTERNET_ARCHIVE_ADVANCEDSEARCH_NUMFOUND</x:v>
      </x:c>
      <x:c r="G103" s="31" t="str">
        <x:v>"anthropogenic GHG emissions" AND mediatype:texts</x:v>
      </x:c>
      <x:c r="H103" s="19" t="str">
        <x:v>PHRASE_METADATA_SEARCH</x:v>
      </x:c>
      <x:c r="I103" s="31" t="str">
        <x:v>EXACT_PHRASE</x:v>
      </x:c>
      <x:c r="J103" s="28" t="n">
        <x:v>4</x:v>
      </x:c>
      <x:c r="K103" s="28" t="n">
        <x:v>0</x:v>
      </x:c>
      <x:c r="L103" s="28" t="n">
        <x:v>0</x:v>
      </x:c>
      <x:c r="M103" s="31" t="str">
        <x:v>COMPLETED_NONZERO</x:v>
      </x:c>
      <x:c r="N103" s="43" t="str">
        <x:v>2026-08-26</x:v>
      </x:c>
      <x:c r="O103" s="31" t="str">
        <x:v>https://archive.org/advancedsearch.php</x:v>
      </x:c>
      <x:c r="P103" s="31" t="str">
        <x:v>Metadata text-item count; not a full-text lexical frequency. Secondary metric: Scholarly work discoverability count over OpenAlex search fields; not a corpus word frequency.</x:v>
      </x:c>
      <x:c r="Q103" s="19" t="str">
        <x:v>OPENALEX_WORK_COUNT</x:v>
      </x:c>
      <x:c r="R103" s="20" t="str">
        <x:v>5913</x:v>
      </x:c>
    </x:row>
    <x:row r="104" ht="34" customHeight="1">
      <x:c r="A104" s="25" t="str">
        <x:v>FT-SEED-R1B-P-0607-10</x:v>
      </x:c>
      <x:c r="B104" s="19" t="str">
        <x:v>2006–2007</x:v>
      </x:c>
      <x:c r="C104" s="28" t="n">
        <x:v>10</x:v>
      </x:c>
      <x:c r="D104" s="31" t="str">
        <x:v>climate change</x:v>
      </x:c>
      <x:c r="E104" s="19" t="str">
        <x:v>INTERNET_ARCHIVE_METADATA_TEXT_ITEM_COUNT</x:v>
      </x:c>
      <x:c r="F104" s="28" t="str">
        <x:v>INTERNET_ARCHIVE_ADVANCEDSEARCH_NUMFOUND</x:v>
      </x:c>
      <x:c r="G104" s="31" t="str">
        <x:v>"climate change" AND mediatype:texts</x:v>
      </x:c>
      <x:c r="H104" s="19" t="str">
        <x:v>PHRASE_METADATA_SEARCH</x:v>
      </x:c>
      <x:c r="I104" s="31" t="str">
        <x:v>EXACT_PHRASE</x:v>
      </x:c>
      <x:c r="J104" s="28" t="n">
        <x:v>30525</x:v>
      </x:c>
      <x:c r="K104" s="28" t="n">
        <x:v>656</x:v>
      </x:c>
      <x:c r="L104" s="28" t="n">
        <x:v>1334</x:v>
      </x:c>
      <x:c r="M104" s="31" t="str">
        <x:v>COMPLETED_NONZERO</x:v>
      </x:c>
      <x:c r="N104" s="43" t="str">
        <x:v>2026-08-26</x:v>
      </x:c>
      <x:c r="O104" s="31" t="str">
        <x:v>https://archive.org/advancedsearch.php</x:v>
      </x:c>
      <x:c r="P104" s="31" t="str">
        <x:v>Metadata text-item count; not a full-text lexical frequency. Secondary metric: Scholarly work discoverability count over OpenAlex search fields; not a corpus word frequency.</x:v>
      </x:c>
      <x:c r="Q104" s="19" t="str">
        <x:v>OPENALEX_WORK_COUNT</x:v>
      </x:c>
      <x:c r="R104" s="20" t="str">
        <x:v>2549592</x:v>
      </x:c>
    </x:row>
    <x:row r="105" ht="34" customHeight="1">
      <x:c r="A105" s="25" t="str">
        <x:v>FT-SEED-R1B-P-0607-11</x:v>
      </x:c>
      <x:c r="B105" s="19" t="str">
        <x:v>2006–2007</x:v>
      </x:c>
      <x:c r="C105" s="28" t="n">
        <x:v>11</x:v>
      </x:c>
      <x:c r="D105" s="31" t="str">
        <x:v>global warming</x:v>
      </x:c>
      <x:c r="E105" s="19" t="str">
        <x:v>INTERNET_ARCHIVE_METADATA_TEXT_ITEM_COUNT</x:v>
      </x:c>
      <x:c r="F105" s="28" t="str">
        <x:v>INTERNET_ARCHIVE_ADVANCEDSEARCH_NUMFOUND</x:v>
      </x:c>
      <x:c r="G105" s="31" t="str">
        <x:v>"global warming" AND mediatype:texts</x:v>
      </x:c>
      <x:c r="H105" s="19" t="str">
        <x:v>PHRASE_METADATA_SEARCH</x:v>
      </x:c>
      <x:c r="I105" s="31" t="str">
        <x:v>EXACT_PHRASE</x:v>
      </x:c>
      <x:c r="J105" s="28" t="n">
        <x:v>5619</x:v>
      </x:c>
      <x:c r="K105" s="28" t="n">
        <x:v>11</x:v>
      </x:c>
      <x:c r="L105" s="28" t="n">
        <x:v>123</x:v>
      </x:c>
      <x:c r="M105" s="31" t="str">
        <x:v>COMPLETED_NONZERO</x:v>
      </x:c>
      <x:c r="N105" s="43" t="str">
        <x:v>2026-08-26</x:v>
      </x:c>
      <x:c r="O105" s="31" t="str">
        <x:v>https://archive.org/advancedsearch.php</x:v>
      </x:c>
      <x:c r="P105" s="31" t="str">
        <x:v>Metadata text-item count; not a full-text lexical frequency. Secondary metric: NOT_RUN_OPENALEX_DAILY_BUDGET_EXHAUSTED: shared provider response retained; no count fabricated.</x:v>
      </x:c>
      <x:c r="Q105" s="19" t="str">
        <x:v>OPENALEX_WORK_COUNT</x:v>
      </x:c>
      <x:c r="R105" s="20" t="str">
        <x:v>NOT_APPLICABLE</x:v>
      </x:c>
    </x:row>
    <x:row r="106" ht="34" customHeight="1">
      <x:c r="A106" s="25" t="str">
        <x:v>FT-SEED-R1B-P-0607-12</x:v>
      </x:c>
      <x:c r="B106" s="19" t="str">
        <x:v>2006–2007</x:v>
      </x:c>
      <x:c r="C106" s="28" t="n">
        <x:v>12</x:v>
      </x:c>
      <x:c r="D106" s="31" t="str">
        <x:v>serious global threat</x:v>
      </x:c>
      <x:c r="E106" s="19" t="str">
        <x:v>INTERNET_ARCHIVE_METADATA_TEXT_ITEM_COUNT</x:v>
      </x:c>
      <x:c r="F106" s="28" t="str">
        <x:v>INTERNET_ARCHIVE_ADVANCEDSEARCH_NUMFOUND</x:v>
      </x:c>
      <x:c r="G106" s="31" t="str">
        <x:v>"serious global threat" AND mediatype:texts</x:v>
      </x:c>
      <x:c r="H106" s="19" t="str">
        <x:v>PHRASE_METADATA_SEARCH</x:v>
      </x:c>
      <x:c r="I106" s="31" t="str">
        <x:v>EXACT_PHRASE</x:v>
      </x:c>
      <x:c r="J106" s="28" t="n">
        <x:v>3</x:v>
      </x:c>
      <x:c r="K106" s="28" t="n">
        <x:v>0</x:v>
      </x:c>
      <x:c r="L106" s="28" t="n">
        <x:v>1</x:v>
      </x:c>
      <x:c r="M106" s="31" t="str">
        <x:v>COMPLETED_NONZERO</x:v>
      </x:c>
      <x:c r="N106" s="43" t="str">
        <x:v>2026-08-26</x:v>
      </x:c>
      <x:c r="O106" s="31" t="str">
        <x:v>https://archive.org/advancedsearch.php</x:v>
      </x:c>
      <x:c r="P106" s="31" t="str">
        <x:v>Metadata text-item count; not a full-text lexical frequency. Secondary metric: NOT_RUN_OPENALEX_DAILY_BUDGET_EXHAUSTED: shared provider response retained; no count fabricated.</x:v>
      </x:c>
      <x:c r="Q106" s="19" t="str">
        <x:v>OPENALEX_WORK_COUNT</x:v>
      </x:c>
      <x:c r="R106" s="20" t="str">
        <x:v>NOT_APPLICABLE</x:v>
      </x:c>
    </x:row>
    <x:row r="107" ht="34" customHeight="1">
      <x:c r="A107" s="25" t="str">
        <x:v>FT-SEED-R1B-P-0607-13</x:v>
      </x:c>
      <x:c r="B107" s="19" t="str">
        <x:v>2006–2007</x:v>
      </x:c>
      <x:c r="C107" s="28" t="n">
        <x:v>13</x:v>
      </x:c>
      <x:c r="D107" s="31" t="str">
        <x:v>urgent global response</x:v>
      </x:c>
      <x:c r="E107" s="19" t="str">
        <x:v>INTERNET_ARCHIVE_METADATA_TEXT_ITEM_COUNT</x:v>
      </x:c>
      <x:c r="F107" s="28" t="str">
        <x:v>INTERNET_ARCHIVE_ADVANCEDSEARCH_NUMFOUND</x:v>
      </x:c>
      <x:c r="G107" s="31" t="str">
        <x:v>"urgent global response" AND mediatype:texts</x:v>
      </x:c>
      <x:c r="H107" s="19" t="str">
        <x:v>PHRASE_METADATA_SEARCH</x:v>
      </x:c>
      <x:c r="I107" s="31" t="str">
        <x:v>EXACT_PHRASE</x:v>
      </x:c>
      <x:c r="J107" s="28" t="n">
        <x:v>0</x:v>
      </x:c>
      <x:c r="K107" s="28" t="n">
        <x:v>0</x:v>
      </x:c>
      <x:c r="L107" s="28" t="n">
        <x:v>0</x:v>
      </x:c>
      <x:c r="M107" s="31" t="str">
        <x:v>COMPLETED_ZERO</x:v>
      </x:c>
      <x:c r="N107" s="43" t="str">
        <x:v>2026-08-26</x:v>
      </x:c>
      <x:c r="O107" s="31" t="str">
        <x:v>https://archive.org/advancedsearch.php</x:v>
      </x:c>
      <x:c r="P107" s="31" t="str">
        <x:v>Metadata text-item count; not a full-text lexical frequency. Secondary metric: NOT_RUN_OPENALEX_DAILY_BUDGET_EXHAUSTED: shared provider response retained; no count fabricated.</x:v>
      </x:c>
      <x:c r="Q107" s="19" t="str">
        <x:v>OPENALEX_WORK_COUNT</x:v>
      </x:c>
      <x:c r="R107" s="20" t="str">
        <x:v>NOT_APPLICABLE</x:v>
      </x:c>
    </x:row>
    <x:row r="108" ht="34" customHeight="1">
      <x:c r="A108" s="25" t="str">
        <x:v>FT-SEED-R1B-P-0607-14</x:v>
      </x:c>
      <x:c r="B108" s="19" t="str">
        <x:v>2006–2007</x:v>
      </x:c>
      <x:c r="C108" s="28" t="n">
        <x:v>14</x:v>
      </x:c>
      <x:c r="D108" s="31" t="str">
        <x:v>costs and risks of climate change</x:v>
      </x:c>
      <x:c r="E108" s="19" t="str">
        <x:v>INTERNET_ARCHIVE_METADATA_TEXT_ITEM_COUNT</x:v>
      </x:c>
      <x:c r="F108" s="28" t="str">
        <x:v>INTERNET_ARCHIVE_ADVANCEDSEARCH_NUMFOUND</x:v>
      </x:c>
      <x:c r="G108" s="31" t="str">
        <x:v>"costs and risks of climate change" AND mediatype:texts</x:v>
      </x:c>
      <x:c r="H108" s="19" t="str">
        <x:v>PHRASE_METADATA_SEARCH</x:v>
      </x:c>
      <x:c r="I108" s="31" t="str">
        <x:v>EXACT_PHRASE</x:v>
      </x:c>
      <x:c r="J108" s="28" t="n">
        <x:v>0</x:v>
      </x:c>
      <x:c r="K108" s="28" t="n">
        <x:v>0</x:v>
      </x:c>
      <x:c r="L108" s="28" t="n">
        <x:v>0</x:v>
      </x:c>
      <x:c r="M108" s="31" t="str">
        <x:v>COMPLETED_ZERO</x:v>
      </x:c>
      <x:c r="N108" s="43" t="str">
        <x:v>2026-08-26</x:v>
      </x:c>
      <x:c r="O108" s="31" t="str">
        <x:v>https://archive.org/advancedsearch.php</x:v>
      </x:c>
      <x:c r="P108"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https://openalex.org/pricing","retryAfter":62990,"costUsd":0.001,"daily</x:v>
      </x:c>
      <x:c r="Q108" s="19" t="str">
        <x:v>OPENALEX_WORK_COUNT</x:v>
      </x:c>
      <x:c r="R108" s="20" t="str">
        <x:v>NOT_APPLICABLE</x:v>
      </x:c>
    </x:row>
    <x:row r="109" ht="34" customHeight="1">
      <x:c r="A109" s="25" t="str">
        <x:v>FT-SEED-R1B-P-0607-15</x:v>
      </x:c>
      <x:c r="B109" s="19" t="str">
        <x:v>2006–2007</x:v>
      </x:c>
      <x:c r="C109" s="28" t="n">
        <x:v>15</x:v>
      </x:c>
      <x:c r="D109" s="31" t="str">
        <x:v>impacts of climate change</x:v>
      </x:c>
      <x:c r="E109" s="19" t="str">
        <x:v>INTERNET_ARCHIVE_METADATA_TEXT_ITEM_COUNT</x:v>
      </x:c>
      <x:c r="F109" s="28" t="str">
        <x:v>INTERNET_ARCHIVE_ADVANCEDSEARCH_NUMFOUND</x:v>
      </x:c>
      <x:c r="G109" s="31" t="str">
        <x:v>"impacts of climate change" AND mediatype:texts</x:v>
      </x:c>
      <x:c r="H109" s="19" t="str">
        <x:v>PHRASE_METADATA_SEARCH</x:v>
      </x:c>
      <x:c r="I109" s="31" t="str">
        <x:v>EXACT_PHRASE</x:v>
      </x:c>
      <x:c r="J109" s="28" t="n">
        <x:v>656</x:v>
      </x:c>
      <x:c r="K109" s="28" t="n">
        <x:v>18</x:v>
      </x:c>
      <x:c r="L109" s="28" t="n">
        <x:v>33</x:v>
      </x:c>
      <x:c r="M109" s="31" t="str">
        <x:v>COMPLETED_NONZERO</x:v>
      </x:c>
      <x:c r="N109" s="43" t="str">
        <x:v>2026-08-26</x:v>
      </x:c>
      <x:c r="O109" s="31" t="str">
        <x:v>https://archive.org/advancedsearch.php</x:v>
      </x:c>
      <x:c r="P109" s="31" t="str">
        <x:v>Metadata text-item count; not a full-text lexical frequency. Secondary metric: NOT_RUN_OPENALEX_DAILY_BUDGET_EXHAUSTED: shared provider response retained; no count fabricated.</x:v>
      </x:c>
      <x:c r="Q109" s="19" t="str">
        <x:v>OPENALEX_WORK_COUNT</x:v>
      </x:c>
      <x:c r="R109" s="20" t="str">
        <x:v>NOT_APPLICABLE</x:v>
      </x:c>
    </x:row>
    <x:row r="110" ht="34" customHeight="1">
      <x:c r="A110" s="25" t="str">
        <x:v>FT-SEED-R1B-P-0607-16</x:v>
      </x:c>
      <x:c r="B110" s="19" t="str">
        <x:v>2006–2007</x:v>
      </x:c>
      <x:c r="C110" s="28" t="n">
        <x:v>16</x:v>
      </x:c>
      <x:c r="D110" s="31" t="str">
        <x:v>damage</x:v>
      </x:c>
      <x:c r="E110" s="19" t="str">
        <x:v>INTERNET_ARCHIVE_METADATA_TEXT_ITEM_COUNT</x:v>
      </x:c>
      <x:c r="F110" s="28" t="str">
        <x:v>INTERNET_ARCHIVE_ADVANCEDSEARCH_NUMFOUND</x:v>
      </x:c>
      <x:c r="G110" s="31" t="str">
        <x:v>"damage" AND mediatype:texts</x:v>
      </x:c>
      <x:c r="H110" s="19" t="str">
        <x:v>PHRASE_METADATA_SEARCH</x:v>
      </x:c>
      <x:c r="I110" s="31" t="str">
        <x:v>EXACT_PHRASE</x:v>
      </x:c>
      <x:c r="J110" s="28" t="n">
        <x:v>71319</x:v>
      </x:c>
      <x:c r="K110" s="28" t="n">
        <x:v>1697</x:v>
      </x:c>
      <x:c r="L110" s="28" t="n">
        <x:v>3470</x:v>
      </x:c>
      <x:c r="M110" s="31" t="str">
        <x:v>COMPLETED_NONZERO</x:v>
      </x:c>
      <x:c r="N110" s="43" t="str">
        <x:v>2026-08-26</x:v>
      </x:c>
      <x:c r="O110" s="31" t="str">
        <x:v>https://archive.org/advancedsearch.php</x:v>
      </x:c>
      <x:c r="P110"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https://openalex.org/pricing","retryAfter":62943,"costUsd":0.001,"daily</x:v>
      </x:c>
      <x:c r="Q110" s="19" t="str">
        <x:v>OPENALEX_WORK_COUNT</x:v>
      </x:c>
      <x:c r="R110" s="20" t="str">
        <x:v>NOT_APPLICABLE</x:v>
      </x:c>
    </x:row>
    <x:row r="111" ht="34" customHeight="1">
      <x:c r="A111" s="25" t="str">
        <x:v>FT-SEED-R1B-P-0607-17</x:v>
      </x:c>
      <x:c r="B111" s="19" t="str">
        <x:v>2006–2007</x:v>
      </x:c>
      <x:c r="C111" s="28" t="n">
        <x:v>17</x:v>
      </x:c>
      <x:c r="D111" s="31" t="str">
        <x:v>hunger</x:v>
      </x:c>
      <x:c r="E111" s="19" t="str">
        <x:v>INTERNET_ARCHIVE_METADATA_TEXT_ITEM_COUNT</x:v>
      </x:c>
      <x:c r="F111" s="28" t="str">
        <x:v>INTERNET_ARCHIVE_ADVANCEDSEARCH_NUMFOUND</x:v>
      </x:c>
      <x:c r="G111" s="31" t="str">
        <x:v>"hunger" AND mediatype:texts</x:v>
      </x:c>
      <x:c r="H111" s="19" t="str">
        <x:v>PHRASE_METADATA_SEARCH</x:v>
      </x:c>
      <x:c r="I111" s="31" t="str">
        <x:v>EXACT_PHRASE</x:v>
      </x:c>
      <x:c r="J111" s="28" t="n">
        <x:v>8913</x:v>
      </x:c>
      <x:c r="K111" s="28" t="n">
        <x:v>273</x:v>
      </x:c>
      <x:c r="L111" s="28" t="n">
        <x:v>544</x:v>
      </x:c>
      <x:c r="M111" s="31" t="str">
        <x:v>COMPLETED_NONZERO</x:v>
      </x:c>
      <x:c r="N111" s="43" t="str">
        <x:v>2026-08-26</x:v>
      </x:c>
      <x:c r="O111" s="31" t="str">
        <x:v>https://archive.org/advancedsearch.php</x:v>
      </x:c>
      <x:c r="P111" s="31" t="str">
        <x:v>Metadata text-item count; not a full-text lexical frequency. Secondary metric: NOT_RUN_OPENALEX_DAILY_BUDGET_EXHAUSTED: shared provider response retained; no count fabricated.</x:v>
      </x:c>
      <x:c r="Q111" s="19" t="str">
        <x:v>OPENALEX_WORK_COUNT</x:v>
      </x:c>
      <x:c r="R111" s="20" t="str">
        <x:v>NOT_APPLICABLE</x:v>
      </x:c>
    </x:row>
    <x:row r="112" ht="34" customHeight="1">
      <x:c r="A112" s="25" t="str">
        <x:v>FT-SEED-R1B-P-0607-18</x:v>
      </x:c>
      <x:c r="B112" s="19" t="str">
        <x:v>2006–2007</x:v>
      </x:c>
      <x:c r="C112" s="28" t="n">
        <x:v>18</x:v>
      </x:c>
      <x:c r="D112" s="31" t="str">
        <x:v>water shortages</x:v>
      </x:c>
      <x:c r="E112" s="19" t="str">
        <x:v>INTERNET_ARCHIVE_METADATA_TEXT_ITEM_COUNT</x:v>
      </x:c>
      <x:c r="F112" s="28" t="str">
        <x:v>INTERNET_ARCHIVE_ADVANCEDSEARCH_NUMFOUND</x:v>
      </x:c>
      <x:c r="G112" s="31" t="str">
        <x:v>"water shortages" AND mediatype:texts</x:v>
      </x:c>
      <x:c r="H112" s="19" t="str">
        <x:v>PHRASE_METADATA_SEARCH</x:v>
      </x:c>
      <x:c r="I112" s="31" t="str">
        <x:v>EXACT_PHRASE</x:v>
      </x:c>
      <x:c r="J112" s="28" t="n">
        <x:v>223</x:v>
      </x:c>
      <x:c r="K112" s="28" t="n">
        <x:v>4</x:v>
      </x:c>
      <x:c r="L112" s="28" t="n">
        <x:v>10</x:v>
      </x:c>
      <x:c r="M112" s="31" t="str">
        <x:v>COMPLETED_NONZERO</x:v>
      </x:c>
      <x:c r="N112" s="43" t="str">
        <x:v>2026-08-26</x:v>
      </x:c>
      <x:c r="O112" s="31" t="str">
        <x:v>https://archive.org/advancedsearch.php</x:v>
      </x:c>
      <x:c r="P112" s="31" t="str">
        <x:v>Metadata text-item count; not a full-text lexical frequency. Secondary metric: NOT_RUN_OPENALEX_DAILY_BUDGET_EXHAUSTED: shared provider response retained; no count fabricated.</x:v>
      </x:c>
      <x:c r="Q112" s="19" t="str">
        <x:v>OPENALEX_WORK_COUNT</x:v>
      </x:c>
      <x:c r="R112" s="20" t="str">
        <x:v>NOT_APPLICABLE</x:v>
      </x:c>
    </x:row>
    <x:row r="113" ht="34" customHeight="1">
      <x:c r="A113" s="25" t="str">
        <x:v>FT-SEED-R1B-P-0607-19</x:v>
      </x:c>
      <x:c r="B113" s="19" t="str">
        <x:v>2006–2007</x:v>
      </x:c>
      <x:c r="C113" s="28" t="n">
        <x:v>19</x:v>
      </x:c>
      <x:c r="D113" s="31" t="str">
        <x:v>coastal flooding</x:v>
      </x:c>
      <x:c r="E113" s="19" t="str">
        <x:v>INTERNET_ARCHIVE_METADATA_TEXT_ITEM_COUNT</x:v>
      </x:c>
      <x:c r="F113" s="28" t="str">
        <x:v>INTERNET_ARCHIVE_ADVANCEDSEARCH_NUMFOUND</x:v>
      </x:c>
      <x:c r="G113" s="31" t="str">
        <x:v>"coastal flooding" AND mediatype:texts</x:v>
      </x:c>
      <x:c r="H113" s="19" t="str">
        <x:v>PHRASE_METADATA_SEARCH</x:v>
      </x:c>
      <x:c r="I113" s="31" t="str">
        <x:v>EXACT_PHRASE</x:v>
      </x:c>
      <x:c r="J113" s="28" t="n">
        <x:v>87</x:v>
      </x:c>
      <x:c r="K113" s="28" t="n">
        <x:v>1</x:v>
      </x:c>
      <x:c r="L113" s="28" t="n">
        <x:v>4</x:v>
      </x:c>
      <x:c r="M113" s="31" t="str">
        <x:v>COMPLETED_NONZERO</x:v>
      </x:c>
      <x:c r="N113" s="43" t="str">
        <x:v>2026-08-26</x:v>
      </x:c>
      <x:c r="O113" s="31" t="str">
        <x:v>https://archive.org/advancedsearch.php</x:v>
      </x:c>
      <x:c r="P113" s="31" t="str">
        <x:v>Metadata text-item count; not a full-text lexical frequency. Secondary metric: Scholarly work discoverability count over OpenAlex search fields; not a corpus word frequency.</x:v>
      </x:c>
      <x:c r="Q113" s="19" t="str">
        <x:v>OPENALEX_WORK_COUNT</x:v>
      </x:c>
      <x:c r="R113" s="20" t="str">
        <x:v>22058</x:v>
      </x:c>
    </x:row>
    <x:row r="114" ht="34" customHeight="1">
      <x:c r="A114" s="25" t="str">
        <x:v>FT-SEED-R1B-P-0607-20</x:v>
      </x:c>
      <x:c r="B114" s="19" t="str">
        <x:v>2006–2007</x:v>
      </x:c>
      <x:c r="C114" s="28" t="n">
        <x:v>20</x:v>
      </x:c>
      <x:c r="D114" s="31" t="str">
        <x:v>worst impacts</x:v>
      </x:c>
      <x:c r="E114" s="19" t="str">
        <x:v>INTERNET_ARCHIVE_METADATA_TEXT_ITEM_COUNT</x:v>
      </x:c>
      <x:c r="F114" s="28" t="str">
        <x:v>INTERNET_ARCHIVE_ADVANCEDSEARCH_NUMFOUND</x:v>
      </x:c>
      <x:c r="G114" s="31" t="str">
        <x:v>"worst impacts" AND mediatype:texts</x:v>
      </x:c>
      <x:c r="H114" s="19" t="str">
        <x:v>PHRASE_METADATA_SEARCH</x:v>
      </x:c>
      <x:c r="I114" s="31" t="str">
        <x:v>EXACT_PHRASE</x:v>
      </x:c>
      <x:c r="J114" s="28" t="n">
        <x:v>13</x:v>
      </x:c>
      <x:c r="K114" s="28" t="n">
        <x:v>0</x:v>
      </x:c>
      <x:c r="L114" s="28" t="n">
        <x:v>1</x:v>
      </x:c>
      <x:c r="M114" s="31" t="str">
        <x:v>COMPLETED_NONZERO</x:v>
      </x:c>
      <x:c r="N114" s="43" t="str">
        <x:v>2026-08-26</x:v>
      </x:c>
      <x:c r="O114" s="31" t="str">
        <x:v>https://archive.org/advancedsearch.php</x:v>
      </x:c>
      <x:c r="P114" s="31" t="str">
        <x:v>Metadata text-item count; not a full-text lexical frequency. Secondary metric: NOT_RUN_OPENALEX_DAILY_BUDGET_EXHAUSTED: shared provider response retained; no count fabricated.</x:v>
      </x:c>
      <x:c r="Q114" s="19" t="str">
        <x:v>OPENALEX_WORK_COUNT</x:v>
      </x:c>
      <x:c r="R114" s="20" t="str">
        <x:v>NOT_APPLICABLE</x:v>
      </x:c>
    </x:row>
    <x:row r="115" ht="34" customHeight="1">
      <x:c r="A115" s="25" t="str">
        <x:v>FT-SEED-R1B-P-0607-21</x:v>
      </x:c>
      <x:c r="B115" s="19" t="str">
        <x:v>2006–2007</x:v>
      </x:c>
      <x:c r="C115" s="28" t="n">
        <x:v>21</x:v>
      </x:c>
      <x:c r="D115" s="31" t="str">
        <x:v>Be Worried. Be Very Worried.</x:v>
      </x:c>
      <x:c r="E115" s="19" t="str">
        <x:v>INTERNET_ARCHIVE_METADATA_TEXT_ITEM_COUNT</x:v>
      </x:c>
      <x:c r="F115" s="28" t="str">
        <x:v>INTERNET_ARCHIVE_ADVANCEDSEARCH_NUMFOUND</x:v>
      </x:c>
      <x:c r="G115" s="31" t="str">
        <x:v>"Be Worried. Be Very Worried." AND mediatype:texts</x:v>
      </x:c>
      <x:c r="H115" s="19" t="str">
        <x:v>PHRASE_METADATA_SEARCH</x:v>
      </x:c>
      <x:c r="I115" s="31" t="str">
        <x:v>EXACT_PHRASE</x:v>
      </x:c>
      <x:c r="J115" s="28" t="n">
        <x:v>0</x:v>
      </x:c>
      <x:c r="K115" s="28" t="n">
        <x:v>0</x:v>
      </x:c>
      <x:c r="L115" s="28" t="n">
        <x:v>0</x:v>
      </x:c>
      <x:c r="M115" s="31" t="str">
        <x:v>COMPLETED_ZERO</x:v>
      </x:c>
      <x:c r="N115" s="43" t="str">
        <x:v>2026-08-26</x:v>
      </x:c>
      <x:c r="O115" s="31" t="str">
        <x:v>https://archive.org/advancedsearch.php</x:v>
      </x:c>
      <x:c r="P115" s="31" t="str">
        <x:v>Metadata text-item count; not a full-text lexical frequency. Secondary metric: Scholarly work discoverability count over OpenAlex search fields; not a corpus word frequency.</x:v>
      </x:c>
      <x:c r="Q115" s="19" t="str">
        <x:v>OPENALEX_WORK_COUNT</x:v>
      </x:c>
      <x:c r="R115" s="20" t="str">
        <x:v>41</x:v>
      </x:c>
    </x:row>
    <x:row r="116" ht="34" customHeight="1">
      <x:c r="A116" s="25" t="str">
        <x:v>FT-SEED-R1B-P-0607-22</x:v>
      </x:c>
      <x:c r="B116" s="19" t="str">
        <x:v>2006–2007</x:v>
      </x:c>
      <x:c r="C116" s="28" t="n">
        <x:v>22</x:v>
      </x:c>
      <x:c r="D116" s="31" t="str">
        <x:v>personally worry</x:v>
      </x:c>
      <x:c r="E116" s="19" t="str">
        <x:v>INTERNET_ARCHIVE_METADATA_TEXT_ITEM_COUNT</x:v>
      </x:c>
      <x:c r="F116" s="28" t="str">
        <x:v>INTERNET_ARCHIVE_ADVANCEDSEARCH_NUMFOUND</x:v>
      </x:c>
      <x:c r="G116" s="31" t="str">
        <x:v>"personally worry" AND mediatype:texts</x:v>
      </x:c>
      <x:c r="H116" s="19" t="str">
        <x:v>PHRASE_METADATA_SEARCH</x:v>
      </x:c>
      <x:c r="I116" s="31" t="str">
        <x:v>EXACT_PHRASE</x:v>
      </x:c>
      <x:c r="J116" s="28" t="n">
        <x:v>0</x:v>
      </x:c>
      <x:c r="K116" s="28" t="n">
        <x:v>0</x:v>
      </x:c>
      <x:c r="L116" s="28" t="n">
        <x:v>0</x:v>
      </x:c>
      <x:c r="M116" s="31" t="str">
        <x:v>COMPLETED_ZERO</x:v>
      </x:c>
      <x:c r="N116" s="43" t="str">
        <x:v>2026-08-26</x:v>
      </x:c>
      <x:c r="O116" s="31" t="str">
        <x:v>https://archive.org/advancedsearch.php</x:v>
      </x:c>
      <x:c r="P116" s="31" t="str">
        <x:v>Metadata text-item count; not a full-text lexical frequency. Secondary metric: NOT_RUN_OPENALEX_DAILY_BUDGET_EXHAUSTED: shared provider response retained; no count fabricated.</x:v>
      </x:c>
      <x:c r="Q116" s="19" t="str">
        <x:v>OPENALEX_WORK_COUNT</x:v>
      </x:c>
      <x:c r="R116" s="20" t="str">
        <x:v>NOT_APPLICABLE</x:v>
      </x:c>
    </x:row>
    <x:row r="117" ht="34" customHeight="1">
      <x:c r="A117" s="25" t="str">
        <x:v>FT-SEED-R1B-P-0607-23</x:v>
      </x:c>
      <x:c r="B117" s="19" t="str">
        <x:v>2006–2007</x:v>
      </x:c>
      <x:c r="C117" s="28" t="n">
        <x:v>23</x:v>
      </x:c>
      <x:c r="D117" s="31" t="str">
        <x:v>worry a great deal</x:v>
      </x:c>
      <x:c r="E117" s="19" t="str">
        <x:v>INTERNET_ARCHIVE_METADATA_TEXT_ITEM_COUNT</x:v>
      </x:c>
      <x:c r="F117" s="28" t="str">
        <x:v>INTERNET_ARCHIVE_ADVANCEDSEARCH_NUMFOUND</x:v>
      </x:c>
      <x:c r="G117" s="31" t="str">
        <x:v>"worry a great deal" AND mediatype:texts</x:v>
      </x:c>
      <x:c r="H117" s="19" t="str">
        <x:v>PHRASE_METADATA_SEARCH</x:v>
      </x:c>
      <x:c r="I117" s="31" t="str">
        <x:v>EXACT_PHRASE</x:v>
      </x:c>
      <x:c r="J117" s="28" t="n">
        <x:v>3</x:v>
      </x:c>
      <x:c r="K117" s="28" t="n">
        <x:v>0</x:v>
      </x:c>
      <x:c r="L117" s="28" t="n">
        <x:v>0</x:v>
      </x:c>
      <x:c r="M117" s="31" t="str">
        <x:v>COMPLETED_NONZERO</x:v>
      </x:c>
      <x:c r="N117" s="43" t="str">
        <x:v>2026-08-26</x:v>
      </x:c>
      <x:c r="O117" s="31" t="str">
        <x:v>https://archive.org/advancedsearch.php</x:v>
      </x:c>
      <x:c r="P117" s="31" t="str">
        <x:v>Metadata text-item count; not a full-text lexical frequency. Secondary metric: NOT_RUN_OPENALEX_DAILY_BUDGET_EXHAUSTED: shared provider response retained; no count fabricated.</x:v>
      </x:c>
      <x:c r="Q117" s="19" t="str">
        <x:v>OPENALEX_WORK_COUNT</x:v>
      </x:c>
      <x:c r="R117" s="20" t="str">
        <x:v>NOT_APPLICABLE</x:v>
      </x:c>
    </x:row>
    <x:row r="118" ht="34" customHeight="1">
      <x:c r="A118" s="25" t="str">
        <x:v>FT-SEED-R1B-P-0607-24</x:v>
      </x:c>
      <x:c r="B118" s="19" t="str">
        <x:v>2006–2007</x:v>
      </x:c>
      <x:c r="C118" s="28" t="n">
        <x:v>24</x:v>
      </x:c>
      <x:c r="D118" s="31" t="str">
        <x:v>serious problem</x:v>
      </x:c>
      <x:c r="E118" s="19" t="str">
        <x:v>INTERNET_ARCHIVE_METADATA_TEXT_ITEM_COUNT</x:v>
      </x:c>
      <x:c r="F118" s="28" t="str">
        <x:v>INTERNET_ARCHIVE_ADVANCEDSEARCH_NUMFOUND</x:v>
      </x:c>
      <x:c r="G118" s="31" t="str">
        <x:v>"serious problem" AND mediatype:texts</x:v>
      </x:c>
      <x:c r="H118" s="19" t="str">
        <x:v>PHRASE_METADATA_SEARCH</x:v>
      </x:c>
      <x:c r="I118" s="31" t="str">
        <x:v>EXACT_PHRASE</x:v>
      </x:c>
      <x:c r="J118" s="28" t="n">
        <x:v>2579</x:v>
      </x:c>
      <x:c r="K118" s="28" t="n">
        <x:v>80</x:v>
      </x:c>
      <x:c r="L118" s="28" t="n">
        <x:v>147</x:v>
      </x:c>
      <x:c r="M118" s="31" t="str">
        <x:v>COMPLETED_NONZERO</x:v>
      </x:c>
      <x:c r="N118" s="43" t="str">
        <x:v>2026-08-26</x:v>
      </x:c>
      <x:c r="O118" s="31" t="str">
        <x:v>https://archive.org/advancedsearch.php</x:v>
      </x:c>
      <x:c r="P118" s="31" t="str">
        <x:v>Metadata text-item count; not a full-text lexical frequency. Secondary metric: NOT_RUN_OPENALEX_DAILY_BUDGET_EXHAUSTED: shared provider response retained; no count fabricated.</x:v>
      </x:c>
      <x:c r="Q118" s="19" t="str">
        <x:v>OPENALEX_WORK_COUNT</x:v>
      </x:c>
      <x:c r="R118" s="20" t="str">
        <x:v>NOT_APPLICABLE</x:v>
      </x:c>
    </x:row>
    <x:row r="119" ht="34" customHeight="1">
      <x:c r="A119" s="25" t="str">
        <x:v>FT-SEED-R1B-P-0607-25</x:v>
      </x:c>
      <x:c r="B119" s="19" t="str">
        <x:v>2006–2007</x:v>
      </x:c>
      <x:c r="C119" s="28" t="n">
        <x:v>25</x:v>
      </x:c>
      <x:c r="D119" s="31" t="str">
        <x:v>danger</x:v>
      </x:c>
      <x:c r="E119" s="19" t="str">
        <x:v>INTERNET_ARCHIVE_METADATA_TEXT_ITEM_COUNT</x:v>
      </x:c>
      <x:c r="F119" s="28" t="str">
        <x:v>INTERNET_ARCHIVE_ADVANCEDSEARCH_NUMFOUND</x:v>
      </x:c>
      <x:c r="G119" s="31" t="str">
        <x:v>"danger" AND mediatype:texts</x:v>
      </x:c>
      <x:c r="H119" s="19" t="str">
        <x:v>PHRASE_METADATA_SEARCH</x:v>
      </x:c>
      <x:c r="I119" s="31" t="str">
        <x:v>EXACT_PHRASE</x:v>
      </x:c>
      <x:c r="J119" s="28" t="n">
        <x:v>37158</x:v>
      </x:c>
      <x:c r="K119" s="28" t="n">
        <x:v>1050</x:v>
      </x:c>
      <x:c r="L119" s="28" t="n">
        <x:v>2139</x:v>
      </x:c>
      <x:c r="M119" s="31" t="str">
        <x:v>COMPLETED_NONZERO</x:v>
      </x:c>
      <x:c r="N119" s="43" t="str">
        <x:v>2026-08-26</x:v>
      </x:c>
      <x:c r="O119" s="31" t="str">
        <x:v>https://archive.org/advancedsearch.php</x:v>
      </x:c>
      <x:c r="P119"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https://openalex.org/pricing","retryAfter":62814,"costUsd":0.001,"daily</x:v>
      </x:c>
      <x:c r="Q119" s="19" t="str">
        <x:v>OPENALEX_WORK_COUNT</x:v>
      </x:c>
      <x:c r="R119" s="20" t="str">
        <x:v>NOT_APPLICABLE</x:v>
      </x:c>
    </x:row>
    <x:row r="120" ht="34" customHeight="1">
      <x:c r="A120" s="25" t="str">
        <x:v>FT-SEED-R1B-P-0607-26</x:v>
      </x:c>
      <x:c r="B120" s="19" t="str">
        <x:v>2006–2007</x:v>
      </x:c>
      <x:c r="C120" s="28" t="n">
        <x:v>26</x:v>
      </x:c>
      <x:c r="D120" s="31" t="str">
        <x:v>urgent threat</x:v>
      </x:c>
      <x:c r="E120" s="19" t="str">
        <x:v>INTERNET_ARCHIVE_METADATA_TEXT_ITEM_COUNT</x:v>
      </x:c>
      <x:c r="F120" s="28" t="str">
        <x:v>INTERNET_ARCHIVE_ADVANCEDSEARCH_NUMFOUND</x:v>
      </x:c>
      <x:c r="G120" s="31" t="str">
        <x:v>"urgent threat" AND mediatype:texts</x:v>
      </x:c>
      <x:c r="H120" s="19" t="str">
        <x:v>PHRASE_METADATA_SEARCH</x:v>
      </x:c>
      <x:c r="I120" s="31" t="str">
        <x:v>EXACT_PHRASE</x:v>
      </x:c>
      <x:c r="J120" s="28" t="n">
        <x:v>11</x:v>
      </x:c>
      <x:c r="K120" s="28" t="n">
        <x:v>0</x:v>
      </x:c>
      <x:c r="L120" s="28" t="n">
        <x:v>0</x:v>
      </x:c>
      <x:c r="M120" s="31" t="str">
        <x:v>COMPLETED_NONZERO</x:v>
      </x:c>
      <x:c r="N120" s="43" t="str">
        <x:v>2026-08-26</x:v>
      </x:c>
      <x:c r="O120" s="31" t="str">
        <x:v>https://archive.org/advancedsearch.php</x:v>
      </x:c>
      <x:c r="P120" s="31" t="str">
        <x:v>Metadata text-item count; not a full-text lexical frequency. Secondary metric: NOT_RUN_OPENALEX_DAILY_BUDGET_EXHAUSTED: shared provider response retained; no count fabricated.</x:v>
      </x:c>
      <x:c r="Q120" s="19" t="str">
        <x:v>OPENALEX_WORK_COUNT</x:v>
      </x:c>
      <x:c r="R120" s="20" t="str">
        <x:v>NOT_APPLICABLE</x:v>
      </x:c>
    </x:row>
    <x:row r="121" ht="34" customHeight="1">
      <x:c r="A121" s="25" t="str">
        <x:v>FT-SEED-R1B-P-0607-27</x:v>
      </x:c>
      <x:c r="B121" s="19" t="str">
        <x:v>2006–2007</x:v>
      </x:c>
      <x:c r="C121" s="28" t="n">
        <x:v>27</x:v>
      </x:c>
      <x:c r="D121" s="31" t="str">
        <x:v>dangerous impacts</x:v>
      </x:c>
      <x:c r="E121" s="19" t="str">
        <x:v>INTERNET_ARCHIVE_METADATA_TEXT_ITEM_COUNT</x:v>
      </x:c>
      <x:c r="F121" s="28" t="str">
        <x:v>INTERNET_ARCHIVE_ADVANCEDSEARCH_NUMFOUND</x:v>
      </x:c>
      <x:c r="G121" s="31" t="str">
        <x:v>"dangerous impacts" AND mediatype:texts</x:v>
      </x:c>
      <x:c r="H121" s="19" t="str">
        <x:v>PHRASE_METADATA_SEARCH</x:v>
      </x:c>
      <x:c r="I121" s="31" t="str">
        <x:v>EXACT_PHRASE</x:v>
      </x:c>
      <x:c r="J121" s="28" t="n">
        <x:v>3</x:v>
      </x:c>
      <x:c r="K121" s="28" t="n">
        <x:v>0</x:v>
      </x:c>
      <x:c r="L121" s="28" t="n">
        <x:v>0</x:v>
      </x:c>
      <x:c r="M121" s="31" t="str">
        <x:v>COMPLETED_NONZERO</x:v>
      </x:c>
      <x:c r="N121" s="43" t="str">
        <x:v>2026-08-26</x:v>
      </x:c>
      <x:c r="O121" s="31" t="str">
        <x:v>https://archive.org/advancedsearch.php</x:v>
      </x:c>
      <x:c r="P121" s="31" t="str">
        <x:v>Metadata text-item count; not a full-text lexical frequency. Secondary metric: NOT_RUN_OPENALEX_DAILY_BUDGET_EXHAUSTED: shared provider response retained; no count fabricated.</x:v>
      </x:c>
      <x:c r="Q121" s="19" t="str">
        <x:v>OPENALEX_WORK_COUNT</x:v>
      </x:c>
      <x:c r="R121" s="20" t="str">
        <x:v>NOT_APPLICABLE</x:v>
      </x:c>
    </x:row>
    <x:row r="122" ht="34" customHeight="1">
      <x:c r="A122" s="25" t="str">
        <x:v>FT-SEED-R1B-P-0607-28</x:v>
      </x:c>
      <x:c r="B122" s="19" t="str">
        <x:v>2006–2007</x:v>
      </x:c>
      <x:c r="C122" s="28" t="n">
        <x:v>28</x:v>
      </x:c>
      <x:c r="D122" s="31" t="str">
        <x:v>drastic action</x:v>
      </x:c>
      <x:c r="E122" s="19" t="str">
        <x:v>INTERNET_ARCHIVE_METADATA_TEXT_ITEM_COUNT</x:v>
      </x:c>
      <x:c r="F122" s="28" t="str">
        <x:v>INTERNET_ARCHIVE_ADVANCEDSEARCH_NUMFOUND</x:v>
      </x:c>
      <x:c r="G122" s="31" t="str">
        <x:v>"drastic action" AND mediatype:texts</x:v>
      </x:c>
      <x:c r="H122" s="19" t="str">
        <x:v>PHRASE_METADATA_SEARCH</x:v>
      </x:c>
      <x:c r="I122" s="31" t="str">
        <x:v>EXACT_PHRASE</x:v>
      </x:c>
      <x:c r="J122" s="28" t="n">
        <x:v>532</x:v>
      </x:c>
      <x:c r="K122" s="28" t="n">
        <x:v>2</x:v>
      </x:c>
      <x:c r="L122" s="28" t="n">
        <x:v>4</x:v>
      </x:c>
      <x:c r="M122" s="31" t="str">
        <x:v>COMPLETED_NONZERO</x:v>
      </x:c>
      <x:c r="N122" s="43" t="str">
        <x:v>2026-08-26</x:v>
      </x:c>
      <x:c r="O122" s="31" t="str">
        <x:v>https://archive.org/advancedsearch.php</x:v>
      </x:c>
      <x:c r="P122" s="31" t="str">
        <x:v>Metadata text-item count; not a full-text lexical frequency. Secondary metric: NOT_RUN_OPENALEX_DAILY_BUDGET_EXHAUSTED: shared provider response retained; no count fabricated.</x:v>
      </x:c>
      <x:c r="Q122" s="19" t="str">
        <x:v>OPENALEX_WORK_COUNT</x:v>
      </x:c>
      <x:c r="R122" s="20" t="str">
        <x:v>NOT_APPLICABLE</x:v>
      </x:c>
    </x:row>
    <x:row r="123" ht="34" customHeight="1">
      <x:c r="A123" s="25" t="str">
        <x:v>FT-SEED-R1B-P-0607-29</x:v>
      </x:c>
      <x:c r="B123" s="19" t="str">
        <x:v>2006–2007</x:v>
      </x:c>
      <x:c r="C123" s="28" t="n">
        <x:v>29</x:v>
      </x:c>
      <x:c r="D123" s="31" t="str">
        <x:v>dangerous climate change</x:v>
      </x:c>
      <x:c r="E123" s="19" t="str">
        <x:v>INTERNET_ARCHIVE_METADATA_TEXT_ITEM_COUNT</x:v>
      </x:c>
      <x:c r="F123" s="28" t="str">
        <x:v>INTERNET_ARCHIVE_ADVANCEDSEARCH_NUMFOUND</x:v>
      </x:c>
      <x:c r="G123" s="31" t="str">
        <x:v>"dangerous climate change" AND mediatype:texts</x:v>
      </x:c>
      <x:c r="H123" s="19" t="str">
        <x:v>PHRASE_METADATA_SEARCH</x:v>
      </x:c>
      <x:c r="I123" s="31" t="str">
        <x:v>EXACT_PHRASE</x:v>
      </x:c>
      <x:c r="J123" s="28" t="n">
        <x:v>28</x:v>
      </x:c>
      <x:c r="K123" s="28" t="n">
        <x:v>2</x:v>
      </x:c>
      <x:c r="L123" s="28" t="n">
        <x:v>5</x:v>
      </x:c>
      <x:c r="M123" s="31" t="str">
        <x:v>COMPLETED_NONZERO</x:v>
      </x:c>
      <x:c r="N123" s="43" t="str">
        <x:v>2026-08-26</x:v>
      </x:c>
      <x:c r="O123" s="31" t="str">
        <x:v>https://archive.org/advancedsearch.php</x:v>
      </x:c>
      <x:c r="P123"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https://openalex.org/pricing","retryAfter":62768,"costUsd":0.001,"daily</x:v>
      </x:c>
      <x:c r="Q123" s="19" t="str">
        <x:v>OPENALEX_WORK_COUNT</x:v>
      </x:c>
      <x:c r="R123" s="20" t="str">
        <x:v>NOT_APPLICABLE</x:v>
      </x:c>
    </x:row>
    <x:row r="124" ht="34" customHeight="1">
      <x:c r="A124" s="25" t="str">
        <x:v>FT-SEED-R1B-P-0607-30</x:v>
      </x:c>
      <x:c r="B124" s="19" t="str">
        <x:v>2006–2007</x:v>
      </x:c>
      <x:c r="C124" s="28" t="n">
        <x:v>30</x:v>
      </x:c>
      <x:c r="D124" s="31" t="str">
        <x:v>threatens serious negative effects</x:v>
      </x:c>
      <x:c r="E124" s="19" t="str">
        <x:v>INTERNET_ARCHIVE_METADATA_TEXT_ITEM_COUNT</x:v>
      </x:c>
      <x:c r="F124" s="28" t="str">
        <x:v>INTERNET_ARCHIVE_ADVANCEDSEARCH_NUMFOUND</x:v>
      </x:c>
      <x:c r="G124" s="31" t="str">
        <x:v>"threatens serious negative effects" AND mediatype:texts</x:v>
      </x:c>
      <x:c r="H124" s="19" t="str">
        <x:v>PHRASE_METADATA_SEARCH</x:v>
      </x:c>
      <x:c r="I124" s="31" t="str">
        <x:v>EXACT_PHRASE</x:v>
      </x:c>
      <x:c r="J124" s="28" t="n">
        <x:v>0</x:v>
      </x:c>
      <x:c r="K124" s="28" t="n">
        <x:v>0</x:v>
      </x:c>
      <x:c r="L124" s="28" t="n">
        <x:v>0</x:v>
      </x:c>
      <x:c r="M124" s="31" t="str">
        <x:v>COMPLETED_ZERO</x:v>
      </x:c>
      <x:c r="N124" s="43" t="str">
        <x:v>2026-08-26</x:v>
      </x:c>
      <x:c r="O124" s="31" t="str">
        <x:v>https://archive.org/advancedsearch.php</x:v>
      </x:c>
      <x:c r="P124" s="31" t="str">
        <x:v>Metadata text-item count; not a full-text lexical frequency. Secondary metric: NOT_RUN_OPENALEX_DAILY_BUDGET_EXHAUSTED: shared provider response retained; no count fabricated.</x:v>
      </x:c>
      <x:c r="Q124" s="19" t="str">
        <x:v>OPENALEX_WORK_COUNT</x:v>
      </x:c>
      <x:c r="R124" s="20" t="str">
        <x:v>NOT_APPLICABLE</x:v>
      </x:c>
    </x:row>
    <x:row r="125" ht="34" customHeight="1">
      <x:c r="A125" s="25" t="str">
        <x:v>FT-SEED-R1B-P-2015-01</x:v>
      </x:c>
      <x:c r="B125" s="19" t="str">
        <x:v>2015</x:v>
      </x:c>
      <x:c r="C125" s="28" t="n">
        <x:v>1</x:v>
      </x:c>
      <x:c r="D125" s="31" t="str">
        <x:v>climate change</x:v>
      </x:c>
      <x:c r="E125" s="19" t="str">
        <x:v>INTERNET_ARCHIVE_METADATA_TEXT_ITEM_COUNT</x:v>
      </x:c>
      <x:c r="F125" s="28" t="str">
        <x:v>INTERNET_ARCHIVE_ADVANCEDSEARCH_NUMFOUND</x:v>
      </x:c>
      <x:c r="G125" s="31" t="str">
        <x:v>"climate change" AND mediatype:texts</x:v>
      </x:c>
      <x:c r="H125" s="19" t="str">
        <x:v>PHRASE_METADATA_SEARCH</x:v>
      </x:c>
      <x:c r="I125" s="31" t="str">
        <x:v>EXACT_PHRASE</x:v>
      </x:c>
      <x:c r="J125" s="28" t="n">
        <x:v>30525</x:v>
      </x:c>
      <x:c r="K125" s="28" t="n">
        <x:v>656</x:v>
      </x:c>
      <x:c r="L125" s="28" t="n">
        <x:v>1334</x:v>
      </x:c>
      <x:c r="M125" s="31" t="str">
        <x:v>COMPLETED_NONZERO</x:v>
      </x:c>
      <x:c r="N125" s="43" t="str">
        <x:v>2026-08-26</x:v>
      </x:c>
      <x:c r="O125" s="31" t="str">
        <x:v>https://archive.org/advancedsearch.php</x:v>
      </x:c>
      <x:c r="P125" s="31" t="str">
        <x:v>Metadata text-item count; not a full-text lexical frequency. Secondary metric: Scholarly work discoverability count over OpenAlex search fields; not a corpus word frequency.</x:v>
      </x:c>
      <x:c r="Q125" s="19" t="str">
        <x:v>OPENALEX_WORK_COUNT</x:v>
      </x:c>
      <x:c r="R125" s="20" t="str">
        <x:v>2549592</x:v>
      </x:c>
    </x:row>
    <x:row r="126" ht="34" customHeight="1">
      <x:c r="A126" s="25" t="str">
        <x:v>FT-SEED-R1B-P-2015-02</x:v>
      </x:c>
      <x:c r="B126" s="19" t="str">
        <x:v>2015</x:v>
      </x:c>
      <x:c r="C126" s="28" t="n">
        <x:v>2</x:v>
      </x:c>
      <x:c r="D126" s="31" t="str">
        <x:v>threat of climate change</x:v>
      </x:c>
      <x:c r="E126" s="19" t="str">
        <x:v>INTERNET_ARCHIVE_METADATA_TEXT_ITEM_COUNT</x:v>
      </x:c>
      <x:c r="F126" s="28" t="str">
        <x:v>INTERNET_ARCHIVE_ADVANCEDSEARCH_NUMFOUND</x:v>
      </x:c>
      <x:c r="G126" s="31" t="str">
        <x:v>"threat of climate change" AND mediatype:texts</x:v>
      </x:c>
      <x:c r="H126" s="19" t="str">
        <x:v>PHRASE_METADATA_SEARCH</x:v>
      </x:c>
      <x:c r="I126" s="31" t="str">
        <x:v>EXACT_PHRASE</x:v>
      </x:c>
      <x:c r="J126" s="28" t="n">
        <x:v>42</x:v>
      </x:c>
      <x:c r="K126" s="28" t="n">
        <x:v>2</x:v>
      </x:c>
      <x:c r="L126" s="28" t="n">
        <x:v>3</x:v>
      </x:c>
      <x:c r="M126" s="31" t="str">
        <x:v>COMPLETED_NONZERO</x:v>
      </x:c>
      <x:c r="N126" s="43" t="str">
        <x:v>2026-08-26</x:v>
      </x:c>
      <x:c r="O126" s="31" t="str">
        <x:v>https://archive.org/advancedsearch.php</x:v>
      </x:c>
      <x:c r="P126" s="31" t="str">
        <x:v>Metadata text-item count; not a full-text lexical frequency. Secondary metric: NOT_RUN_OPENALEX_DAILY_BUDGET_EXHAUSTED: shared provider response retained; no count fabricated.</x:v>
      </x:c>
      <x:c r="Q126" s="19" t="str">
        <x:v>OPENALEX_WORK_COUNT</x:v>
      </x:c>
      <x:c r="R126" s="20" t="str">
        <x:v>NOT_APPLICABLE</x:v>
      </x:c>
    </x:row>
    <x:row r="127" ht="34" customHeight="1">
      <x:c r="A127" s="25" t="str">
        <x:v>FT-SEED-R1B-P-2015-03</x:v>
      </x:c>
      <x:c r="B127" s="19" t="str">
        <x:v>2015</x:v>
      </x:c>
      <x:c r="C127" s="28" t="n">
        <x:v>3</x:v>
      </x:c>
      <x:c r="D127" s="31" t="str">
        <x:v>global average temperature</x:v>
      </x:c>
      <x:c r="E127" s="19" t="str">
        <x:v>INTERNET_ARCHIVE_METADATA_TEXT_ITEM_COUNT</x:v>
      </x:c>
      <x:c r="F127" s="28" t="str">
        <x:v>INTERNET_ARCHIVE_ADVANCEDSEARCH_NUMFOUND</x:v>
      </x:c>
      <x:c r="G127" s="31" t="str">
        <x:v>"global average temperature" AND mediatype:texts</x:v>
      </x:c>
      <x:c r="H127" s="19" t="str">
        <x:v>PHRASE_METADATA_SEARCH</x:v>
      </x:c>
      <x:c r="I127" s="31" t="str">
        <x:v>EXACT_PHRASE</x:v>
      </x:c>
      <x:c r="J127" s="28" t="n">
        <x:v>25</x:v>
      </x:c>
      <x:c r="K127" s="28" t="n">
        <x:v>1</x:v>
      </x:c>
      <x:c r="L127" s="28" t="n">
        <x:v>2</x:v>
      </x:c>
      <x:c r="M127" s="31" t="str">
        <x:v>COMPLETED_NONZERO</x:v>
      </x:c>
      <x:c r="N127" s="43" t="str">
        <x:v>2026-08-26</x:v>
      </x:c>
      <x:c r="O127" s="31" t="str">
        <x:v>https://archive.org/advancedsearch.php</x:v>
      </x:c>
      <x:c r="P127" s="31" t="str">
        <x:v>Metadata text-item count; not a full-text lexical frequency. Secondary metric: NOT_RUN_OPENALEX_DAILY_BUDGET_EXHAUSTED: shared provider response retained; no count fabricated.</x:v>
      </x:c>
      <x:c r="Q127" s="19" t="str">
        <x:v>OPENALEX_WORK_COUNT</x:v>
      </x:c>
      <x:c r="R127" s="20" t="str">
        <x:v>NOT_APPLICABLE</x:v>
      </x:c>
    </x:row>
    <x:row r="128" ht="34" customHeight="1">
      <x:c r="A128" s="25" t="str">
        <x:v>FT-SEED-R1B-P-2015-04</x:v>
      </x:c>
      <x:c r="B128" s="19" t="str">
        <x:v>2015</x:v>
      </x:c>
      <x:c r="C128" s="28" t="n">
        <x:v>4</x:v>
      </x:c>
      <x:c r="D128" s="31" t="str">
        <x:v>well below 2°C above pre-industrial levels</x:v>
      </x:c>
      <x:c r="E128" s="19" t="str">
        <x:v>INTERNET_ARCHIVE_METADATA_TEXT_ITEM_COUNT</x:v>
      </x:c>
      <x:c r="F128" s="28" t="str">
        <x:v>INTERNET_ARCHIVE_ADVANCEDSEARCH_NUMFOUND</x:v>
      </x:c>
      <x:c r="G128" s="31" t="str">
        <x:v>"well below 2°C above pre-industrial levels" AND mediatype:texts</x:v>
      </x:c>
      <x:c r="H128" s="19" t="str">
        <x:v>PHRASE_METADATA_SEARCH</x:v>
      </x:c>
      <x:c r="I128" s="31" t="str">
        <x:v>EXACT_PHRASE</x:v>
      </x:c>
      <x:c r="J128" s="28" t="n">
        <x:v>2</x:v>
      </x:c>
      <x:c r="K128" s="28" t="n">
        <x:v>1</x:v>
      </x:c>
      <x:c r="L128" s="28" t="n">
        <x:v>1</x:v>
      </x:c>
      <x:c r="M128" s="31" t="str">
        <x:v>COMPLETED_NONZERO</x:v>
      </x:c>
      <x:c r="N128" s="43" t="str">
        <x:v>2026-08-26</x:v>
      </x:c>
      <x:c r="O128" s="31" t="str">
        <x:v>https://archive.org/advancedsearch.php</x:v>
      </x:c>
      <x:c r="P128" s="31" t="str">
        <x:v>Metadata text-item count; not a full-text lexical frequency. Secondary metric: NOT_RUN_OPENALEX_DAILY_BUDGET_EXHAUSTED: shared provider response retained; no count fabricated.</x:v>
      </x:c>
      <x:c r="Q128" s="19" t="str">
        <x:v>OPENALEX_WORK_COUNT</x:v>
      </x:c>
      <x:c r="R128" s="20" t="str">
        <x:v>NOT_APPLICABLE</x:v>
      </x:c>
    </x:row>
    <x:row r="129" ht="34" customHeight="1">
      <x:c r="A129" s="25" t="str">
        <x:v>FT-SEED-R1B-P-2015-05</x:v>
      </x:c>
      <x:c r="B129" s="19" t="str">
        <x:v>2015</x:v>
      </x:c>
      <x:c r="C129" s="28" t="n">
        <x:v>5</x:v>
      </x:c>
      <x:c r="D129" s="31" t="str">
        <x:v>1.5°C above pre-industrial levels</x:v>
      </x:c>
      <x:c r="E129" s="19" t="str">
        <x:v>INTERNET_ARCHIVE_METADATA_TEXT_ITEM_COUNT</x:v>
      </x:c>
      <x:c r="F129" s="28" t="str">
        <x:v>INTERNET_ARCHIVE_ADVANCEDSEARCH_NUMFOUND</x:v>
      </x:c>
      <x:c r="G129" s="31" t="str">
        <x:v>"1.5°C above pre-industrial levels" AND mediatype:texts</x:v>
      </x:c>
      <x:c r="H129" s="19" t="str">
        <x:v>PHRASE_METADATA_SEARCH</x:v>
      </x:c>
      <x:c r="I129" s="31" t="str">
        <x:v>EXACT_PHRASE</x:v>
      </x:c>
      <x:c r="J129" s="28" t="n">
        <x:v>3</x:v>
      </x:c>
      <x:c r="K129" s="28" t="n">
        <x:v>1</x:v>
      </x:c>
      <x:c r="L129" s="28" t="n">
        <x:v>1</x:v>
      </x:c>
      <x:c r="M129" s="31" t="str">
        <x:v>COMPLETED_NONZERO</x:v>
      </x:c>
      <x:c r="N129" s="43" t="str">
        <x:v>2026-08-26</x:v>
      </x:c>
      <x:c r="O129" s="31" t="str">
        <x:v>https://archive.org/advancedsearch.php</x:v>
      </x:c>
      <x:c r="P129" s="31" t="str">
        <x:v>Metadata text-item count; not a full-text lexical frequency. Secondary metric: Scholarly work discoverability count over OpenAlex search fields; not a corpus word frequency.</x:v>
      </x:c>
      <x:c r="Q129" s="19" t="str">
        <x:v>OPENALEX_WORK_COUNT</x:v>
      </x:c>
      <x:c r="R129" s="20" t="str">
        <x:v>11609</x:v>
      </x:c>
    </x:row>
    <x:row r="130" ht="34" customHeight="1">
      <x:c r="A130" s="25" t="str">
        <x:v>FT-SEED-R1B-P-2015-06</x:v>
      </x:c>
      <x:c r="B130" s="19" t="str">
        <x:v>2015</x:v>
      </x:c>
      <x:c r="C130" s="28" t="n">
        <x:v>6</x:v>
      </x:c>
      <x:c r="D130" s="31" t="str">
        <x:v>pre-industrial levels</x:v>
      </x:c>
      <x:c r="E130" s="19" t="str">
        <x:v>INTERNET_ARCHIVE_METADATA_TEXT_ITEM_COUNT</x:v>
      </x:c>
      <x:c r="F130" s="28" t="str">
        <x:v>INTERNET_ARCHIVE_ADVANCEDSEARCH_NUMFOUND</x:v>
      </x:c>
      <x:c r="G130" s="31" t="str">
        <x:v>"pre-industrial levels" AND mediatype:texts</x:v>
      </x:c>
      <x:c r="H130" s="19" t="str">
        <x:v>PHRASE_METADATA_SEARCH</x:v>
      </x:c>
      <x:c r="I130" s="31" t="str">
        <x:v>EXACT_PHRASE</x:v>
      </x:c>
      <x:c r="J130" s="28" t="n">
        <x:v>30</x:v>
      </x:c>
      <x:c r="K130" s="28" t="n">
        <x:v>1</x:v>
      </x:c>
      <x:c r="L130" s="28" t="n">
        <x:v>1</x:v>
      </x:c>
      <x:c r="M130" s="31" t="str">
        <x:v>COMPLETED_NONZERO</x:v>
      </x:c>
      <x:c r="N130" s="43" t="str">
        <x:v>2026-08-26</x:v>
      </x:c>
      <x:c r="O130" s="31" t="str">
        <x:v>https://archive.org/advancedsearch.php</x:v>
      </x:c>
      <x:c r="P130" s="31" t="str">
        <x:v>Metadata text-item count; not a full-text lexical frequency. Secondary metric: NOT_RUN_OPENALEX_DAILY_BUDGET_EXHAUSTED: shared provider response retained; no count fabricated.</x:v>
      </x:c>
      <x:c r="Q130" s="19" t="str">
        <x:v>OPENALEX_WORK_COUNT</x:v>
      </x:c>
      <x:c r="R130" s="20" t="str">
        <x:v>NOT_APPLICABLE</x:v>
      </x:c>
    </x:row>
    <x:row r="131" ht="34" customHeight="1">
      <x:c r="A131" s="25" t="str">
        <x:v>FT-SEED-R1B-P-2015-07</x:v>
      </x:c>
      <x:c r="B131" s="19" t="str">
        <x:v>2015</x:v>
      </x:c>
      <x:c r="C131" s="28" t="n">
        <x:v>7</x:v>
      </x:c>
      <x:c r="D131" s="31" t="str">
        <x:v>risks and impacts</x:v>
      </x:c>
      <x:c r="E131" s="19" t="str">
        <x:v>INTERNET_ARCHIVE_METADATA_TEXT_ITEM_COUNT</x:v>
      </x:c>
      <x:c r="F131" s="28" t="str">
        <x:v>INTERNET_ARCHIVE_ADVANCEDSEARCH_NUMFOUND</x:v>
      </x:c>
      <x:c r="G131" s="31" t="str">
        <x:v>"risks and impacts" AND mediatype:texts</x:v>
      </x:c>
      <x:c r="H131" s="19" t="str">
        <x:v>PHRASE_METADATA_SEARCH</x:v>
      </x:c>
      <x:c r="I131" s="31" t="str">
        <x:v>EXACT_PHRASE</x:v>
      </x:c>
      <x:c r="J131" s="28" t="n">
        <x:v>27</x:v>
      </x:c>
      <x:c r="K131" s="28" t="n">
        <x:v>1</x:v>
      </x:c>
      <x:c r="L131" s="28" t="n">
        <x:v>3</x:v>
      </x:c>
      <x:c r="M131" s="31" t="str">
        <x:v>COMPLETED_NONZERO</x:v>
      </x:c>
      <x:c r="N131" s="43" t="str">
        <x:v>2026-08-26</x:v>
      </x:c>
      <x:c r="O131" s="31" t="str">
        <x:v>https://archive.org/advancedsearch.php</x:v>
      </x:c>
      <x:c r="P131" s="31" t="str">
        <x:v>Metadata text-item count; not a full-text lexical frequency. Secondary metric: NOT_RUN_OPENALEX_DAILY_BUDGET_EXHAUSTED: shared provider response retained; no count fabricated.</x:v>
      </x:c>
      <x:c r="Q131" s="19" t="str">
        <x:v>OPENALEX_WORK_COUNT</x:v>
      </x:c>
      <x:c r="R131" s="20" t="str">
        <x:v>NOT_APPLICABLE</x:v>
      </x:c>
    </x:row>
    <x:row r="132" ht="34" customHeight="1">
      <x:c r="A132" s="25" t="str">
        <x:v>FT-SEED-R1B-P-2015-08</x:v>
      </x:c>
      <x:c r="B132" s="19" t="str">
        <x:v>2015</x:v>
      </x:c>
      <x:c r="C132" s="28" t="n">
        <x:v>8</x:v>
      </x:c>
      <x:c r="D132" s="31" t="str">
        <x:v>adverse impacts</x:v>
      </x:c>
      <x:c r="E132" s="19" t="str">
        <x:v>INTERNET_ARCHIVE_METADATA_TEXT_ITEM_COUNT</x:v>
      </x:c>
      <x:c r="F132" s="28" t="str">
        <x:v>INTERNET_ARCHIVE_ADVANCEDSEARCH_NUMFOUND</x:v>
      </x:c>
      <x:c r="G132" s="31" t="str">
        <x:v>"adverse impacts" AND mediatype:texts</x:v>
      </x:c>
      <x:c r="H132" s="19" t="str">
        <x:v>PHRASE_METADATA_SEARCH</x:v>
      </x:c>
      <x:c r="I132" s="31" t="str">
        <x:v>EXACT_PHRASE</x:v>
      </x:c>
      <x:c r="J132" s="28" t="n">
        <x:v>442</x:v>
      </x:c>
      <x:c r="K132" s="28" t="n">
        <x:v>4</x:v>
      </x:c>
      <x:c r="L132" s="28" t="n">
        <x:v>25</x:v>
      </x:c>
      <x:c r="M132" s="31" t="str">
        <x:v>COMPLETED_NONZERO</x:v>
      </x:c>
      <x:c r="N132" s="43" t="str">
        <x:v>2026-08-26</x:v>
      </x:c>
      <x:c r="O132" s="31" t="str">
        <x:v>https://archive.org/advancedsearch.php</x:v>
      </x:c>
      <x:c r="P132" s="31" t="str">
        <x:v>Metadata text-item count; not a full-text lexical frequency. Secondary metric: Scholarly work discoverability count over OpenAlex search fields; not a corpus word frequency.</x:v>
      </x:c>
      <x:c r="Q132" s="19" t="str">
        <x:v>OPENALEX_WORK_COUNT</x:v>
      </x:c>
      <x:c r="R132" s="20" t="str">
        <x:v>115739</x:v>
      </x:c>
    </x:row>
    <x:row r="133" ht="34" customHeight="1">
      <x:c r="A133" s="25" t="str">
        <x:v>FT-SEED-R1B-P-2015-09</x:v>
      </x:c>
      <x:c r="B133" s="19" t="str">
        <x:v>2015</x:v>
      </x:c>
      <x:c r="C133" s="28" t="n">
        <x:v>9</x:v>
      </x:c>
      <x:c r="D133" s="31" t="str">
        <x:v>adverse effects of climate change</x:v>
      </x:c>
      <x:c r="E133" s="19" t="str">
        <x:v>INTERNET_ARCHIVE_METADATA_TEXT_ITEM_COUNT</x:v>
      </x:c>
      <x:c r="F133" s="28" t="str">
        <x:v>INTERNET_ARCHIVE_ADVANCEDSEARCH_NUMFOUND</x:v>
      </x:c>
      <x:c r="G133" s="31" t="str">
        <x:v>"adverse effects of climate change" AND mediatype:texts</x:v>
      </x:c>
      <x:c r="H133" s="19" t="str">
        <x:v>PHRASE_METADATA_SEARCH</x:v>
      </x:c>
      <x:c r="I133" s="31" t="str">
        <x:v>EXACT_PHRASE</x:v>
      </x:c>
      <x:c r="J133" s="28" t="n">
        <x:v>41</x:v>
      </x:c>
      <x:c r="K133" s="28" t="n">
        <x:v>1</x:v>
      </x:c>
      <x:c r="L133" s="28" t="n">
        <x:v>1</x:v>
      </x:c>
      <x:c r="M133" s="31" t="str">
        <x:v>COMPLETED_NONZERO</x:v>
      </x:c>
      <x:c r="N133" s="43" t="str">
        <x:v>2026-08-26</x:v>
      </x:c>
      <x:c r="O133" s="31" t="str">
        <x:v>https://archive.org/advancedsearch.php</x:v>
      </x:c>
      <x:c r="P133" s="31" t="str">
        <x:v>Metadata text-item count; not a full-text lexical frequency. Secondary metric: Scholarly work discoverability count over OpenAlex search fields; not a corpus word frequency.</x:v>
      </x:c>
      <x:c r="Q133" s="19" t="str">
        <x:v>OPENALEX_WORK_COUNT</x:v>
      </x:c>
      <x:c r="R133" s="20" t="str">
        <x:v>12883</x:v>
      </x:c>
    </x:row>
    <x:row r="134" ht="34" customHeight="1">
      <x:c r="A134" s="25" t="str">
        <x:v>FT-SEED-R1B-P-2015-10</x:v>
      </x:c>
      <x:c r="B134" s="19" t="str">
        <x:v>2015</x:v>
      </x:c>
      <x:c r="C134" s="28" t="n">
        <x:v>10</x:v>
      </x:c>
      <x:c r="D134" s="31" t="str">
        <x:v>greenhouse gas emissions</x:v>
      </x:c>
      <x:c r="E134" s="19" t="str">
        <x:v>INTERNET_ARCHIVE_METADATA_TEXT_ITEM_COUNT</x:v>
      </x:c>
      <x:c r="F134" s="28" t="str">
        <x:v>INTERNET_ARCHIVE_ADVANCEDSEARCH_NUMFOUND</x:v>
      </x:c>
      <x:c r="G134" s="31" t="str">
        <x:v>"greenhouse gas emissions" AND mediatype:texts</x:v>
      </x:c>
      <x:c r="H134" s="19" t="str">
        <x:v>PHRASE_METADATA_SEARCH</x:v>
      </x:c>
      <x:c r="I134" s="31" t="str">
        <x:v>EXACT_PHRASE</x:v>
      </x:c>
      <x:c r="J134" s="28" t="n">
        <x:v>1078</x:v>
      </x:c>
      <x:c r="K134" s="28" t="n">
        <x:v>22</x:v>
      </x:c>
      <x:c r="L134" s="28" t="n">
        <x:v>102</x:v>
      </x:c>
      <x:c r="M134" s="31" t="str">
        <x:v>COMPLETED_NONZERO</x:v>
      </x:c>
      <x:c r="N134" s="43" t="str">
        <x:v>2026-08-26</x:v>
      </x:c>
      <x:c r="O134" s="31" t="str">
        <x:v>https://archive.org/advancedsearch.php</x:v>
      </x:c>
      <x:c r="P134" s="31" t="str">
        <x:v>Metadata text-item count; not a full-text lexical frequency. Secondary metric: NOT_RUN_OPENALEX_DAILY_BUDGET_EXHAUSTED: shared provider response retained; no count fabricated.</x:v>
      </x:c>
      <x:c r="Q134" s="19" t="str">
        <x:v>OPENALEX_WORK_COUNT</x:v>
      </x:c>
      <x:c r="R134" s="20" t="str">
        <x:v>NOT_APPLICABLE</x:v>
      </x:c>
    </x:row>
    <x:row r="135" ht="34" customHeight="1">
      <x:c r="A135" s="25" t="str">
        <x:v>FT-SEED-R1B-P-2015-11</x:v>
      </x:c>
      <x:c r="B135" s="19" t="str">
        <x:v>2015</x:v>
      </x:c>
      <x:c r="C135" s="28" t="n">
        <x:v>11</x:v>
      </x:c>
      <x:c r="D135" s="31" t="str">
        <x:v>climate resilience</x:v>
      </x:c>
      <x:c r="E135" s="19" t="str">
        <x:v>INTERNET_ARCHIVE_METADATA_TEXT_ITEM_COUNT</x:v>
      </x:c>
      <x:c r="F135" s="28" t="str">
        <x:v>INTERNET_ARCHIVE_ADVANCEDSEARCH_NUMFOUND</x:v>
      </x:c>
      <x:c r="G135" s="31" t="str">
        <x:v>"climate resilience" AND mediatype:texts</x:v>
      </x:c>
      <x:c r="H135" s="19" t="str">
        <x:v>PHRASE_METADATA_SEARCH</x:v>
      </x:c>
      <x:c r="I135" s="31" t="str">
        <x:v>EXACT_PHRASE</x:v>
      </x:c>
      <x:c r="J135" s="28" t="n">
        <x:v>196</x:v>
      </x:c>
      <x:c r="K135" s="28" t="n">
        <x:v>4</x:v>
      </x:c>
      <x:c r="L135" s="28" t="n">
        <x:v>7</x:v>
      </x:c>
      <x:c r="M135" s="31" t="str">
        <x:v>COMPLETED_NONZERO</x:v>
      </x:c>
      <x:c r="N135" s="43" t="str">
        <x:v>2026-08-26</x:v>
      </x:c>
      <x:c r="O135" s="31" t="str">
        <x:v>https://archive.org/advancedsearch.php</x:v>
      </x:c>
      <x:c r="P135" s="31" t="str">
        <x:v>Metadata text-item count; not a full-text lexical frequency. Secondary metric: Scholarly work discoverability count over OpenAlex search fields; not a corpus word frequency.</x:v>
      </x:c>
      <x:c r="Q135" s="19" t="str">
        <x:v>OPENALEX_WORK_COUNT</x:v>
      </x:c>
      <x:c r="R135" s="20" t="str">
        <x:v>71130</x:v>
      </x:c>
    </x:row>
    <x:row r="136" ht="34" customHeight="1">
      <x:c r="A136" s="25" t="str">
        <x:v>FT-SEED-R1B-P-2015-12</x:v>
      </x:c>
      <x:c r="B136" s="19" t="str">
        <x:v>2015</x:v>
      </x:c>
      <x:c r="C136" s="28" t="n">
        <x:v>12</x:v>
      </x:c>
      <x:c r="D136" s="31" t="str">
        <x:v>vulnerability</x:v>
      </x:c>
      <x:c r="E136" s="19" t="str">
        <x:v>INTERNET_ARCHIVE_METADATA_TEXT_ITEM_COUNT</x:v>
      </x:c>
      <x:c r="F136" s="28" t="str">
        <x:v>INTERNET_ARCHIVE_ADVANCEDSEARCH_NUMFOUND</x:v>
      </x:c>
      <x:c r="G136" s="31" t="str">
        <x:v>"vulnerability" AND mediatype:texts</x:v>
      </x:c>
      <x:c r="H136" s="19" t="str">
        <x:v>PHRASE_METADATA_SEARCH</x:v>
      </x:c>
      <x:c r="I136" s="31" t="str">
        <x:v>EXACT_PHRASE</x:v>
      </x:c>
      <x:c r="J136" s="28" t="n">
        <x:v>13888</x:v>
      </x:c>
      <x:c r="K136" s="28" t="n">
        <x:v>333</x:v>
      </x:c>
      <x:c r="L136" s="28" t="n">
        <x:v>1289</x:v>
      </x:c>
      <x:c r="M136" s="31" t="str">
        <x:v>COMPLETED_NONZERO</x:v>
      </x:c>
      <x:c r="N136" s="43" t="str">
        <x:v>2026-08-26</x:v>
      </x:c>
      <x:c r="O136" s="31" t="str">
        <x:v>https://archive.org/advancedsearch.php</x:v>
      </x:c>
      <x:c r="P136" s="31" t="str">
        <x:v>Metadata text-item count; not a full-text lexical frequency. Secondary metric: NOT_RUN_OPENALEX_DAILY_BUDGET_EXHAUSTED: shared provider response retained; no count fabricated.</x:v>
      </x:c>
      <x:c r="Q136" s="19" t="str">
        <x:v>OPENALEX_WORK_COUNT</x:v>
      </x:c>
      <x:c r="R136" s="20" t="str">
        <x:v>NOT_APPLICABLE</x:v>
      </x:c>
    </x:row>
    <x:row r="137" ht="34" customHeight="1">
      <x:c r="A137" s="25" t="str">
        <x:v>FT-SEED-R1B-P-2015-13</x:v>
      </x:c>
      <x:c r="B137" s="19" t="str">
        <x:v>2015</x:v>
      </x:c>
      <x:c r="C137" s="28" t="n">
        <x:v>13</x:v>
      </x:c>
      <x:c r="D137" s="31" t="str">
        <x:v>vulnerable groups</x:v>
      </x:c>
      <x:c r="E137" s="19" t="str">
        <x:v>INTERNET_ARCHIVE_METADATA_TEXT_ITEM_COUNT</x:v>
      </x:c>
      <x:c r="F137" s="28" t="str">
        <x:v>INTERNET_ARCHIVE_ADVANCEDSEARCH_NUMFOUND</x:v>
      </x:c>
      <x:c r="G137" s="31" t="str">
        <x:v>"vulnerable groups" AND mediatype:texts</x:v>
      </x:c>
      <x:c r="H137" s="19" t="str">
        <x:v>PHRASE_METADATA_SEARCH</x:v>
      </x:c>
      <x:c r="I137" s="31" t="str">
        <x:v>EXACT_PHRASE</x:v>
      </x:c>
      <x:c r="J137" s="28" t="n">
        <x:v>359</x:v>
      </x:c>
      <x:c r="K137" s="28" t="n">
        <x:v>12</x:v>
      </x:c>
      <x:c r="L137" s="28" t="n">
        <x:v>49</x:v>
      </x:c>
      <x:c r="M137" s="31" t="str">
        <x:v>COMPLETED_NONZERO</x:v>
      </x:c>
      <x:c r="N137" s="43" t="str">
        <x:v>2026-08-26</x:v>
      </x:c>
      <x:c r="O137" s="31" t="str">
        <x:v>https://archive.org/advancedsearch.php</x:v>
      </x:c>
      <x:c r="P137" s="31" t="str">
        <x:v>Metadata text-item count; not a full-text lexical frequency. Secondary metric: NOT_RUN_OPENALEX_DAILY_BUDGET_EXHAUSTED: shared provider response retained; no count fabricated.</x:v>
      </x:c>
      <x:c r="Q137" s="19" t="str">
        <x:v>OPENALEX_WORK_COUNT</x:v>
      </x:c>
      <x:c r="R137" s="20" t="str">
        <x:v>NOT_APPLICABLE</x:v>
      </x:c>
    </x:row>
    <x:row r="138" ht="34" customHeight="1">
      <x:c r="A138" s="25" t="str">
        <x:v>FT-SEED-R1B-P-2015-14</x:v>
      </x:c>
      <x:c r="B138" s="19" t="str">
        <x:v>2015</x:v>
      </x:c>
      <x:c r="C138" s="28" t="n">
        <x:v>14</x:v>
      </x:c>
      <x:c r="D138" s="31" t="str">
        <x:v>loss and damage</x:v>
      </x:c>
      <x:c r="E138" s="19" t="str">
        <x:v>INTERNET_ARCHIVE_METADATA_TEXT_ITEM_COUNT</x:v>
      </x:c>
      <x:c r="F138" s="28" t="str">
        <x:v>INTERNET_ARCHIVE_ADVANCEDSEARCH_NUMFOUND</x:v>
      </x:c>
      <x:c r="G138" s="31" t="str">
        <x:v>"loss and damage" AND mediatype:texts</x:v>
      </x:c>
      <x:c r="H138" s="19" t="str">
        <x:v>PHRASE_METADATA_SEARCH</x:v>
      </x:c>
      <x:c r="I138" s="31" t="str">
        <x:v>EXACT_PHRASE</x:v>
      </x:c>
      <x:c r="J138" s="28" t="n">
        <x:v>86</x:v>
      </x:c>
      <x:c r="K138" s="28" t="n">
        <x:v>4</x:v>
      </x:c>
      <x:c r="L138" s="28" t="n">
        <x:v>4</x:v>
      </x:c>
      <x:c r="M138" s="31" t="str">
        <x:v>COMPLETED_NONZERO</x:v>
      </x:c>
      <x:c r="N138" s="43" t="str">
        <x:v>2026-08-26</x:v>
      </x:c>
      <x:c r="O138" s="31" t="str">
        <x:v>https://archive.org/advancedsearch.php</x:v>
      </x:c>
      <x:c r="P138" s="31" t="str">
        <x:v>Metadata text-item count; not a full-text lexical frequency. Secondary metric: NOT_RUN_OPENALEX_DAILY_BUDGET_EXHAUSTED: shared provider response retained; no count fabricated.</x:v>
      </x:c>
      <x:c r="Q138" s="19" t="str">
        <x:v>OPENALEX_WORK_COUNT</x:v>
      </x:c>
      <x:c r="R138" s="20" t="str">
        <x:v>NOT_APPLICABLE</x:v>
      </x:c>
    </x:row>
    <x:row r="139" ht="34" customHeight="1">
      <x:c r="A139" s="25" t="str">
        <x:v>FT-SEED-R1B-P-2015-15</x:v>
      </x:c>
      <x:c r="B139" s="19" t="str">
        <x:v>2015</x:v>
      </x:c>
      <x:c r="C139" s="28" t="n">
        <x:v>15</x:v>
      </x:c>
      <x:c r="D139" s="31" t="str">
        <x:v>extreme weather events</x:v>
      </x:c>
      <x:c r="E139" s="19" t="str">
        <x:v>INTERNET_ARCHIVE_METADATA_TEXT_ITEM_COUNT</x:v>
      </x:c>
      <x:c r="F139" s="28" t="str">
        <x:v>INTERNET_ARCHIVE_ADVANCEDSEARCH_NUMFOUND</x:v>
      </x:c>
      <x:c r="G139" s="31" t="str">
        <x:v>"extreme weather events" AND mediatype:texts</x:v>
      </x:c>
      <x:c r="H139" s="19" t="str">
        <x:v>PHRASE_METADATA_SEARCH</x:v>
      </x:c>
      <x:c r="I139" s="31" t="str">
        <x:v>EXACT_PHRASE</x:v>
      </x:c>
      <x:c r="J139" s="28" t="n">
        <x:v>251</x:v>
      </x:c>
      <x:c r="K139" s="28" t="n">
        <x:v>9</x:v>
      </x:c>
      <x:c r="L139" s="28" t="n">
        <x:v>30</x:v>
      </x:c>
      <x:c r="M139" s="31" t="str">
        <x:v>COMPLETED_NONZERO</x:v>
      </x:c>
      <x:c r="N139" s="43" t="str">
        <x:v>2026-08-26</x:v>
      </x:c>
      <x:c r="O139" s="31" t="str">
        <x:v>https://archive.org/advancedsearch.php</x:v>
      </x:c>
      <x:c r="P139" s="31" t="str">
        <x:v>Metadata text-item count; not a full-text lexical frequency. Secondary metric: NOT_RUN_OPENALEX_DAILY_BUDGET_EXHAUSTED: shared provider response retained; no count fabricated.</x:v>
      </x:c>
      <x:c r="Q139" s="19" t="str">
        <x:v>OPENALEX_WORK_COUNT</x:v>
      </x:c>
      <x:c r="R139" s="20" t="str">
        <x:v>NOT_APPLICABLE</x:v>
      </x:c>
    </x:row>
    <x:row r="140" ht="34" customHeight="1">
      <x:c r="A140" s="25" t="str">
        <x:v>FT-SEED-R1B-P-2015-16</x:v>
      </x:c>
      <x:c r="B140" s="19" t="str">
        <x:v>2015</x:v>
      </x:c>
      <x:c r="C140" s="28" t="n">
        <x:v>16</x:v>
      </x:c>
      <x:c r="D140" s="31" t="str">
        <x:v>slow onset events</x:v>
      </x:c>
      <x:c r="E140" s="19" t="str">
        <x:v>INTERNET_ARCHIVE_METADATA_TEXT_ITEM_COUNT</x:v>
      </x:c>
      <x:c r="F140" s="28" t="str">
        <x:v>INTERNET_ARCHIVE_ADVANCEDSEARCH_NUMFOUND</x:v>
      </x:c>
      <x:c r="G140" s="31" t="str">
        <x:v>"slow onset events" AND mediatype:texts</x:v>
      </x:c>
      <x:c r="H140" s="19" t="str">
        <x:v>PHRASE_METADATA_SEARCH</x:v>
      </x:c>
      <x:c r="I140" s="31" t="str">
        <x:v>EXACT_PHRASE</x:v>
      </x:c>
      <x:c r="J140" s="28" t="n">
        <x:v>2</x:v>
      </x:c>
      <x:c r="K140" s="28" t="n">
        <x:v>1</x:v>
      </x:c>
      <x:c r="L140" s="28" t="n">
        <x:v>1</x:v>
      </x:c>
      <x:c r="M140" s="31" t="str">
        <x:v>COMPLETED_NONZERO</x:v>
      </x:c>
      <x:c r="N140" s="43" t="str">
        <x:v>2026-08-26</x:v>
      </x:c>
      <x:c r="O140" s="31" t="str">
        <x:v>https://archive.org/advancedsearch.php</x:v>
      </x:c>
      <x:c r="P140" s="31" t="str">
        <x:v>Metadata text-item count; not a full-text lexical frequency. Secondary metric: NOT_RUN_OPENALEX_DAILY_BUDGET_EXHAUSTED: shared provider response retained; no count fabricated.</x:v>
      </x:c>
      <x:c r="Q140" s="19" t="str">
        <x:v>OPENALEX_WORK_COUNT</x:v>
      </x:c>
      <x:c r="R140" s="20" t="str">
        <x:v>NOT_APPLICABLE</x:v>
      </x:c>
    </x:row>
    <x:row r="141" ht="34" customHeight="1">
      <x:c r="A141" s="25" t="str">
        <x:v>FT-SEED-R1B-P-2015-17</x:v>
      </x:c>
      <x:c r="B141" s="19" t="str">
        <x:v>2015</x:v>
      </x:c>
      <x:c r="C141" s="28" t="n">
        <x:v>17</x:v>
      </x:c>
      <x:c r="D141" s="31" t="str">
        <x:v>risk of loss and damage</x:v>
      </x:c>
      <x:c r="E141" s="19" t="str">
        <x:v>INTERNET_ARCHIVE_METADATA_TEXT_ITEM_COUNT</x:v>
      </x:c>
      <x:c r="F141" s="28" t="str">
        <x:v>INTERNET_ARCHIVE_ADVANCEDSEARCH_NUMFOUND</x:v>
      </x:c>
      <x:c r="G141" s="31" t="str">
        <x:v>"risk of loss and damage" AND mediatype:texts</x:v>
      </x:c>
      <x:c r="H141" s="19" t="str">
        <x:v>PHRASE_METADATA_SEARCH</x:v>
      </x:c>
      <x:c r="I141" s="31" t="str">
        <x:v>EXACT_PHRASE</x:v>
      </x:c>
      <x:c r="J141" s="28" t="n">
        <x:v>2</x:v>
      </x:c>
      <x:c r="K141" s="28" t="n">
        <x:v>1</x:v>
      </x:c>
      <x:c r="L141" s="28" t="n">
        <x:v>1</x:v>
      </x:c>
      <x:c r="M141" s="31" t="str">
        <x:v>COMPLETED_NONZERO</x:v>
      </x:c>
      <x:c r="N141" s="43" t="str">
        <x:v>2026-08-26</x:v>
      </x:c>
      <x:c r="O141" s="31" t="str">
        <x:v>https://archive.org/advancedsearch.php</x:v>
      </x:c>
      <x:c r="P141" s="31" t="str">
        <x:v>Metadata text-item count; not a full-text lexical frequency. Secondary metric: NOT_RUN_OPENALEX_DAILY_BUDGET_EXHAUSTED: shared provider response retained; no count fabricated.</x:v>
      </x:c>
      <x:c r="Q141" s="19" t="str">
        <x:v>OPENALEX_WORK_COUNT</x:v>
      </x:c>
      <x:c r="R141" s="20" t="str">
        <x:v>NOT_APPLICABLE</x:v>
      </x:c>
    </x:row>
    <x:row r="142" ht="34" customHeight="1">
      <x:c r="A142" s="25" t="str">
        <x:v>FT-SEED-R1B-P-2015-18</x:v>
      </x:c>
      <x:c r="B142" s="19" t="str">
        <x:v>2015</x:v>
      </x:c>
      <x:c r="C142" s="28" t="n">
        <x:v>18</x:v>
      </x:c>
      <x:c r="D142" s="31" t="str">
        <x:v>early warning systems</x:v>
      </x:c>
      <x:c r="E142" s="19" t="str">
        <x:v>INTERNET_ARCHIVE_METADATA_TEXT_ITEM_COUNT</x:v>
      </x:c>
      <x:c r="F142" s="28" t="str">
        <x:v>INTERNET_ARCHIVE_ADVANCEDSEARCH_NUMFOUND</x:v>
      </x:c>
      <x:c r="G142" s="31" t="str">
        <x:v>"early warning systems" AND mediatype:texts</x:v>
      </x:c>
      <x:c r="H142" s="19" t="str">
        <x:v>PHRASE_METADATA_SEARCH</x:v>
      </x:c>
      <x:c r="I142" s="31" t="str">
        <x:v>EXACT_PHRASE</x:v>
      </x:c>
      <x:c r="J142" s="28" t="n">
        <x:v>833</x:v>
      </x:c>
      <x:c r="K142" s="28" t="n">
        <x:v>18</x:v>
      </x:c>
      <x:c r="L142" s="28" t="n">
        <x:v>56</x:v>
      </x:c>
      <x:c r="M142" s="31" t="str">
        <x:v>COMPLETED_NONZERO</x:v>
      </x:c>
      <x:c r="N142" s="43" t="str">
        <x:v>2026-08-26</x:v>
      </x:c>
      <x:c r="O142" s="31" t="str">
        <x:v>https://archive.org/advancedsearch.php</x:v>
      </x:c>
      <x:c r="P142" s="31" t="str">
        <x:v>Metadata text-item count; not a full-text lexical frequency. Secondary metric: NOT_RUN_OPENALEX_DAILY_BUDGET_EXHAUSTED: shared provider response retained; no count fabricated.</x:v>
      </x:c>
      <x:c r="Q142" s="19" t="str">
        <x:v>OPENALEX_WORK_COUNT</x:v>
      </x:c>
      <x:c r="R142" s="20" t="str">
        <x:v>NOT_APPLICABLE</x:v>
      </x:c>
    </x:row>
    <x:row r="143" ht="34" customHeight="1">
      <x:c r="A143" s="25" t="str">
        <x:v>FT-SEED-R1B-P-2015-19</x:v>
      </x:c>
      <x:c r="B143" s="19" t="str">
        <x:v>2015</x:v>
      </x:c>
      <x:c r="C143" s="28" t="n">
        <x:v>19</x:v>
      </x:c>
      <x:c r="D143" s="31" t="str">
        <x:v>emergency preparedness</x:v>
      </x:c>
      <x:c r="E143" s="19" t="str">
        <x:v>INTERNET_ARCHIVE_METADATA_TEXT_ITEM_COUNT</x:v>
      </x:c>
      <x:c r="F143" s="28" t="str">
        <x:v>INTERNET_ARCHIVE_ADVANCEDSEARCH_NUMFOUND</x:v>
      </x:c>
      <x:c r="G143" s="31" t="str">
        <x:v>"emergency preparedness" AND mediatype:texts</x:v>
      </x:c>
      <x:c r="H143" s="19" t="str">
        <x:v>PHRASE_METADATA_SEARCH</x:v>
      </x:c>
      <x:c r="I143" s="31" t="str">
        <x:v>EXACT_PHRASE</x:v>
      </x:c>
      <x:c r="J143" s="28" t="n">
        <x:v>1406</x:v>
      </x:c>
      <x:c r="K143" s="28" t="n">
        <x:v>30</x:v>
      </x:c>
      <x:c r="L143" s="28" t="n">
        <x:v>100</x:v>
      </x:c>
      <x:c r="M143" s="31" t="str">
        <x:v>COMPLETED_NONZERO</x:v>
      </x:c>
      <x:c r="N143" s="43" t="str">
        <x:v>2026-08-26</x:v>
      </x:c>
      <x:c r="O143" s="31" t="str">
        <x:v>https://archive.org/advancedsearch.php</x:v>
      </x:c>
      <x:c r="P143" s="31" t="str">
        <x:v>Metadata text-item count; not a full-text lexical frequency. Secondary metric: NOT_RUN_OPENALEX_DAILY_BUDGET_EXHAUSTED: shared provider response retained; no count fabricated.</x:v>
      </x:c>
      <x:c r="Q143" s="19" t="str">
        <x:v>OPENALEX_WORK_COUNT</x:v>
      </x:c>
      <x:c r="R143" s="20" t="str">
        <x:v>NOT_APPLICABLE</x:v>
      </x:c>
    </x:row>
    <x:row r="144" ht="34" customHeight="1">
      <x:c r="A144" s="25" t="str">
        <x:v>FT-SEED-R1B-P-2015-20</x:v>
      </x:c>
      <x:c r="B144" s="19" t="str">
        <x:v>2015</x:v>
      </x:c>
      <x:c r="C144" s="28" t="n">
        <x:v>20</x:v>
      </x:c>
      <x:c r="D144" s="31" t="str">
        <x:v>irreversible and permanent loss and damage</x:v>
      </x:c>
      <x:c r="E144" s="19" t="str">
        <x:v>INTERNET_ARCHIVE_METADATA_TEXT_ITEM_COUNT</x:v>
      </x:c>
      <x:c r="F144" s="28" t="str">
        <x:v>INTERNET_ARCHIVE_ADVANCEDSEARCH_NUMFOUND</x:v>
      </x:c>
      <x:c r="G144" s="31" t="str">
        <x:v>"irreversible and permanent loss and damage" AND mediatype:texts</x:v>
      </x:c>
      <x:c r="H144" s="19" t="str">
        <x:v>PHRASE_METADATA_SEARCH</x:v>
      </x:c>
      <x:c r="I144" s="31" t="str">
        <x:v>EXACT_PHRASE</x:v>
      </x:c>
      <x:c r="J144" s="28" t="n">
        <x:v>1</x:v>
      </x:c>
      <x:c r="K144" s="28" t="n">
        <x:v>1</x:v>
      </x:c>
      <x:c r="L144" s="28" t="n">
        <x:v>1</x:v>
      </x:c>
      <x:c r="M144" s="31" t="str">
        <x:v>COMPLETED_NONZERO</x:v>
      </x:c>
      <x:c r="N144" s="43" t="str">
        <x:v>2026-08-26</x:v>
      </x:c>
      <x:c r="O144" s="31" t="str">
        <x:v>https://archive.org/advancedsearch.php</x:v>
      </x:c>
      <x:c r="P144" s="31" t="str">
        <x:v>Metadata text-item count; not a full-text lexical frequency. Secondary metric: NOT_RUN_OPENALEX_DAILY_BUDGET_EXHAUSTED: shared provider response retained; no count fabricated.</x:v>
      </x:c>
      <x:c r="Q144" s="19" t="str">
        <x:v>OPENALEX_WORK_COUNT</x:v>
      </x:c>
      <x:c r="R144" s="20" t="str">
        <x:v>NOT_APPLICABLE</x:v>
      </x:c>
    </x:row>
    <x:row r="145" ht="34" customHeight="1">
      <x:c r="A145" s="25" t="str">
        <x:v>FT-SEED-R1B-P-2015-21</x:v>
      </x:c>
      <x:c r="B145" s="19" t="str">
        <x:v>2015</x:v>
      </x:c>
      <x:c r="C145" s="28" t="n">
        <x:v>21</x:v>
      </x:c>
      <x:c r="D145" s="31" t="str">
        <x:v>comprehensive risk assessment and management</x:v>
      </x:c>
      <x:c r="E145" s="19" t="str">
        <x:v>INTERNET_ARCHIVE_METADATA_TEXT_ITEM_COUNT</x:v>
      </x:c>
      <x:c r="F145" s="28" t="str">
        <x:v>INTERNET_ARCHIVE_ADVANCEDSEARCH_NUMFOUND</x:v>
      </x:c>
      <x:c r="G145" s="31" t="str">
        <x:v>"comprehensive risk assessment and management" AND mediatype:texts</x:v>
      </x:c>
      <x:c r="H145" s="19" t="str">
        <x:v>PHRASE_METADATA_SEARCH</x:v>
      </x:c>
      <x:c r="I145" s="31" t="str">
        <x:v>EXACT_PHRASE</x:v>
      </x:c>
      <x:c r="J145" s="28" t="n">
        <x:v>1</x:v>
      </x:c>
      <x:c r="K145" s="28" t="n">
        <x:v>1</x:v>
      </x:c>
      <x:c r="L145" s="28" t="n">
        <x:v>1</x:v>
      </x:c>
      <x:c r="M145" s="31" t="str">
        <x:v>COMPLETED_NONZERO</x:v>
      </x:c>
      <x:c r="N145" s="43" t="str">
        <x:v>2026-08-26</x:v>
      </x:c>
      <x:c r="O145" s="31" t="str">
        <x:v>https://archive.org/advancedsearch.php</x:v>
      </x:c>
      <x:c r="P145" s="31" t="str">
        <x:v>Metadata text-item count; not a full-text lexical frequency. Secondary metric: HTTP 429: {"error":"Rate limit exceeded","message":"Insufficient budget. This request costs $0.001 but you only have $0 remaining. Resets at midnight UTC. Need more? Add funds at https://openalex.org/pricing","retryAfter":63036,"costUsd":0.001,"daily</x:v>
      </x:c>
      <x:c r="Q145" s="19" t="str">
        <x:v>OPENALEX_WORK_COUNT</x:v>
      </x:c>
      <x:c r="R145" s="20" t="str">
        <x:v>NOT_APPLICABLE</x:v>
      </x:c>
    </x:row>
    <x:row r="146" ht="34" customHeight="1">
      <x:c r="A146" s="25" t="str">
        <x:v>FT-SEED-R1B-P-2015-22</x:v>
      </x:c>
      <x:c r="B146" s="19" t="str">
        <x:v>2015</x:v>
      </x:c>
      <x:c r="C146" s="28" t="n">
        <x:v>22</x:v>
      </x:c>
      <x:c r="D146" s="31" t="str">
        <x:v>non-economic losses</x:v>
      </x:c>
      <x:c r="E146" s="19" t="str">
        <x:v>INTERNET_ARCHIVE_METADATA_TEXT_ITEM_COUNT</x:v>
      </x:c>
      <x:c r="F146" s="28" t="str">
        <x:v>INTERNET_ARCHIVE_ADVANCEDSEARCH_NUMFOUND</x:v>
      </x:c>
      <x:c r="G146" s="31" t="str">
        <x:v>"non-economic losses" AND mediatype:texts</x:v>
      </x:c>
      <x:c r="H146" s="19" t="str">
        <x:v>PHRASE_METADATA_SEARCH</x:v>
      </x:c>
      <x:c r="I146" s="31" t="str">
        <x:v>EXACT_PHRASE</x:v>
      </x:c>
      <x:c r="J146" s="28" t="n">
        <x:v>1</x:v>
      </x:c>
      <x:c r="K146" s="28" t="n">
        <x:v>1</x:v>
      </x:c>
      <x:c r="L146" s="28" t="n">
        <x:v>1</x:v>
      </x:c>
      <x:c r="M146" s="31" t="str">
        <x:v>COMPLETED_NONZERO</x:v>
      </x:c>
      <x:c r="N146" s="43" t="str">
        <x:v>2026-08-26</x:v>
      </x:c>
      <x:c r="O146" s="31" t="str">
        <x:v>https://archive.org/advancedsearch.php</x:v>
      </x:c>
      <x:c r="P146" s="31" t="str">
        <x:v>Metadata text-item count; not a full-text lexical frequency. Secondary metric: NOT_RUN_OPENALEX_DAILY_BUDGET_EXHAUSTED: shared provider response retained; no count fabricated.</x:v>
      </x:c>
      <x:c r="Q146" s="19" t="str">
        <x:v>OPENALEX_WORK_COUNT</x:v>
      </x:c>
      <x:c r="R146" s="20" t="str">
        <x:v>NOT_APPLICABLE</x:v>
      </x:c>
    </x:row>
    <x:row r="147" ht="34" customHeight="1">
      <x:c r="A147" s="25" t="str">
        <x:v>FT-SEED-R1B-P-2015-23</x:v>
      </x:c>
      <x:c r="B147" s="19" t="str">
        <x:v>2015</x:v>
      </x:c>
      <x:c r="C147" s="28" t="n">
        <x:v>23</x:v>
      </x:c>
      <x:c r="D147" s="31" t="str">
        <x:v>common concern of humankind</x:v>
      </x:c>
      <x:c r="E147" s="19" t="str">
        <x:v>INTERNET_ARCHIVE_METADATA_TEXT_ITEM_COUNT</x:v>
      </x:c>
      <x:c r="F147" s="28" t="str">
        <x:v>INTERNET_ARCHIVE_ADVANCEDSEARCH_NUMFOUND</x:v>
      </x:c>
      <x:c r="G147" s="31" t="str">
        <x:v>"common concern of humankind" AND mediatype:texts</x:v>
      </x:c>
      <x:c r="H147" s="19" t="str">
        <x:v>PHRASE_METADATA_SEARCH</x:v>
      </x:c>
      <x:c r="I147" s="31" t="str">
        <x:v>EXACT_PHRASE</x:v>
      </x:c>
      <x:c r="J147" s="28" t="n">
        <x:v>5</x:v>
      </x:c>
      <x:c r="K147" s="28" t="n">
        <x:v>0</x:v>
      </x:c>
      <x:c r="L147" s="28" t="n">
        <x:v>0</x:v>
      </x:c>
      <x:c r="M147" s="31" t="str">
        <x:v>COMPLETED_NONZERO</x:v>
      </x:c>
      <x:c r="N147" s="43" t="str">
        <x:v>2026-08-26</x:v>
      </x:c>
      <x:c r="O147" s="31" t="str">
        <x:v>https://archive.org/advancedsearch.php</x:v>
      </x:c>
      <x:c r="P147" s="31" t="str">
        <x:v>Metadata text-item count; not a full-text lexical frequency. Secondary metric: Scholarly work discoverability count over OpenAlex search fields; not a corpus word frequency.</x:v>
      </x:c>
      <x:c r="Q147" s="19" t="str">
        <x:v>OPENALEX_WORK_COUNT</x:v>
      </x:c>
      <x:c r="R147" s="20" t="str">
        <x:v>1078</x:v>
      </x:c>
    </x:row>
    <x:row r="148" ht="34" customHeight="1">
      <x:c r="A148" s="25" t="str">
        <x:v>FT-SEED-R1B-P-2015-24</x:v>
      </x:c>
      <x:c r="B148" s="19" t="str">
        <x:v>2015</x:v>
      </x:c>
      <x:c r="C148" s="28" t="n">
        <x:v>24</x:v>
      </x:c>
      <x:c r="D148" s="31" t="str">
        <x:v>climate justice</x:v>
      </x:c>
      <x:c r="E148" s="19" t="str">
        <x:v>INTERNET_ARCHIVE_METADATA_TEXT_ITEM_COUNT</x:v>
      </x:c>
      <x:c r="F148" s="28" t="str">
        <x:v>INTERNET_ARCHIVE_ADVANCEDSEARCH_NUMFOUND</x:v>
      </x:c>
      <x:c r="G148" s="31" t="str">
        <x:v>"climate justice" AND mediatype:texts</x:v>
      </x:c>
      <x:c r="H148" s="19" t="str">
        <x:v>PHRASE_METADATA_SEARCH</x:v>
      </x:c>
      <x:c r="I148" s="31" t="str">
        <x:v>EXACT_PHRASE</x:v>
      </x:c>
      <x:c r="J148" s="28" t="n">
        <x:v>145</x:v>
      </x:c>
      <x:c r="K148" s="28" t="n">
        <x:v>8</x:v>
      </x:c>
      <x:c r="L148" s="28" t="n">
        <x:v>20</x:v>
      </x:c>
      <x:c r="M148" s="31" t="str">
        <x:v>COMPLETED_NONZERO</x:v>
      </x:c>
      <x:c r="N148" s="43" t="str">
        <x:v>2026-08-26</x:v>
      </x:c>
      <x:c r="O148" s="31" t="str">
        <x:v>https://archive.org/advancedsearch.php</x:v>
      </x:c>
      <x:c r="P148" s="31" t="str">
        <x:v>Metadata text-item count; not a full-text lexical frequency. Secondary metric: Scholarly work discoverability count over OpenAlex search fields; not a corpus word frequency.</x:v>
      </x:c>
      <x:c r="Q148" s="19" t="str">
        <x:v>OPENALEX_WORK_COUNT</x:v>
      </x:c>
      <x:c r="R148" s="20" t="str">
        <x:v>30786</x:v>
      </x:c>
    </x:row>
    <x:row r="149" ht="34" customHeight="1">
      <x:c r="A149" s="25" t="str">
        <x:v>FT-SEED-R1B-P-2015-25</x:v>
      </x:c>
      <x:c r="B149" s="19" t="str">
        <x:v>2015</x:v>
      </x:c>
      <x:c r="C149" s="28" t="n">
        <x:v>25</x:v>
      </x:c>
      <x:c r="D149" s="31" t="str">
        <x:v>very worried</x:v>
      </x:c>
      <x:c r="E149" s="19" t="str">
        <x:v>INTERNET_ARCHIVE_METADATA_TEXT_ITEM_COUNT</x:v>
      </x:c>
      <x:c r="F149" s="28" t="str">
        <x:v>INTERNET_ARCHIVE_ADVANCEDSEARCH_NUMFOUND</x:v>
      </x:c>
      <x:c r="G149" s="31" t="str">
        <x:v>"very worried" AND mediatype:texts</x:v>
      </x:c>
      <x:c r="H149" s="19" t="str">
        <x:v>PHRASE_METADATA_SEARCH</x:v>
      </x:c>
      <x:c r="I149" s="31" t="str">
        <x:v>EXACT_PHRASE</x:v>
      </x:c>
      <x:c r="J149" s="28" t="n">
        <x:v>131</x:v>
      </x:c>
      <x:c r="K149" s="28" t="n">
        <x:v>2</x:v>
      </x:c>
      <x:c r="L149" s="28" t="n">
        <x:v>4</x:v>
      </x:c>
      <x:c r="M149" s="31" t="str">
        <x:v>COMPLETED_NONZERO</x:v>
      </x:c>
      <x:c r="N149" s="43" t="str">
        <x:v>2026-08-26</x:v>
      </x:c>
      <x:c r="O149" s="31" t="str">
        <x:v>https://archive.org/advancedsearch.php</x:v>
      </x:c>
      <x:c r="P149" s="31" t="str">
        <x:v>Metadata text-item count; not a full-text lexical frequency. Secondary metric: NOT_RUN_OPENALEX_DAILY_BUDGET_EXHAUSTED: shared provider response retained; no count fabricated.</x:v>
      </x:c>
      <x:c r="Q149" s="19" t="str">
        <x:v>OPENALEX_WORK_COUNT</x:v>
      </x:c>
      <x:c r="R149" s="20" t="str">
        <x:v>NOT_APPLICABLE</x:v>
      </x:c>
    </x:row>
    <x:row r="150" ht="34" customHeight="1">
      <x:c r="A150" s="25" t="str">
        <x:v>FT-SEED-R1B-P-2015-26</x:v>
      </x:c>
      <x:c r="B150" s="19" t="str">
        <x:v>2015</x:v>
      </x:c>
      <x:c r="C150" s="28" t="n">
        <x:v>26</x:v>
      </x:c>
      <x:c r="D150" s="31" t="str">
        <x:v>somewhat worried</x:v>
      </x:c>
      <x:c r="E150" s="19" t="str">
        <x:v>INTERNET_ARCHIVE_METADATA_TEXT_ITEM_COUNT</x:v>
      </x:c>
      <x:c r="F150" s="28" t="str">
        <x:v>INTERNET_ARCHIVE_ADVANCEDSEARCH_NUMFOUND</x:v>
      </x:c>
      <x:c r="G150" s="31" t="str">
        <x:v>"somewhat worried" AND mediatype:texts</x:v>
      </x:c>
      <x:c r="H150" s="19" t="str">
        <x:v>PHRASE_METADATA_SEARCH</x:v>
      </x:c>
      <x:c r="I150" s="31" t="str">
        <x:v>EXACT_PHRASE</x:v>
      </x:c>
      <x:c r="J150" s="28" t="n">
        <x:v>15</x:v>
      </x:c>
      <x:c r="K150" s="28" t="n">
        <x:v>0</x:v>
      </x:c>
      <x:c r="L150" s="28" t="n">
        <x:v>2</x:v>
      </x:c>
      <x:c r="M150" s="31" t="str">
        <x:v>COMPLETED_NONZERO</x:v>
      </x:c>
      <x:c r="N150" s="43" t="str">
        <x:v>2026-08-26</x:v>
      </x:c>
      <x:c r="O150" s="31" t="str">
        <x:v>https://archive.org/advancedsearch.php</x:v>
      </x:c>
      <x:c r="P150" s="31" t="str">
        <x:v>Metadata text-item count; not a full-text lexical frequency. Secondary metric: NOT_RUN_OPENALEX_DAILY_BUDGET_EXHAUSTED: shared provider response retained; no count fabricated.</x:v>
      </x:c>
      <x:c r="Q150" s="19" t="str">
        <x:v>OPENALEX_WORK_COUNT</x:v>
      </x:c>
      <x:c r="R150" s="20" t="str">
        <x:v>NOT_APPLICABLE</x:v>
      </x:c>
    </x:row>
    <x:row r="151" ht="34" customHeight="1">
      <x:c r="A151" s="25" t="str">
        <x:v>FT-SEED-R1B-P-2015-27</x:v>
      </x:c>
      <x:c r="B151" s="19" t="str">
        <x:v>2015</x:v>
      </x:c>
      <x:c r="C151" s="28" t="n">
        <x:v>27</x:v>
      </x:c>
      <x:c r="D151" s="31" t="str">
        <x:v>very serious problem</x:v>
      </x:c>
      <x:c r="E151" s="19" t="str">
        <x:v>INTERNET_ARCHIVE_METADATA_TEXT_ITEM_COUNT</x:v>
      </x:c>
      <x:c r="F151" s="28" t="str">
        <x:v>INTERNET_ARCHIVE_ADVANCEDSEARCH_NUMFOUND</x:v>
      </x:c>
      <x:c r="G151" s="31" t="str">
        <x:v>"very serious problem" AND mediatype:texts</x:v>
      </x:c>
      <x:c r="H151" s="19" t="str">
        <x:v>PHRASE_METADATA_SEARCH</x:v>
      </x:c>
      <x:c r="I151" s="31" t="str">
        <x:v>EXACT_PHRASE</x:v>
      </x:c>
      <x:c r="J151" s="28" t="n">
        <x:v>101</x:v>
      </x:c>
      <x:c r="K151" s="28" t="n">
        <x:v>0</x:v>
      </x:c>
      <x:c r="L151" s="28" t="n">
        <x:v>5</x:v>
      </x:c>
      <x:c r="M151" s="31" t="str">
        <x:v>COMPLETED_NONZERO</x:v>
      </x:c>
      <x:c r="N151" s="43" t="str">
        <x:v>2026-08-26</x:v>
      </x:c>
      <x:c r="O151" s="31" t="str">
        <x:v>https://archive.org/advancedsearch.php</x:v>
      </x:c>
      <x:c r="P151" s="31" t="str">
        <x:v>Metadata text-item count; not a full-text lexical frequency. Secondary metric: NOT_RUN_OPENALEX_DAILY_BUDGET_EXHAUSTED: shared provider response retained; no count fabricated.</x:v>
      </x:c>
      <x:c r="Q151" s="19" t="str">
        <x:v>OPENALEX_WORK_COUNT</x:v>
      </x:c>
      <x:c r="R151" s="20" t="str">
        <x:v>NOT_APPLICABLE</x:v>
      </x:c>
    </x:row>
    <x:row r="152" ht="34" customHeight="1">
      <x:c r="A152" s="25" t="str">
        <x:v>FT-SEED-R1B-P-2015-28</x:v>
      </x:c>
      <x:c r="B152" s="19" t="str">
        <x:v>2015</x:v>
      </x:c>
      <x:c r="C152" s="28" t="n">
        <x:v>28</x:v>
      </x:c>
      <x:c r="D152" s="31" t="str">
        <x:v>harm them personally</x:v>
      </x:c>
      <x:c r="E152" s="19" t="str">
        <x:v>INTERNET_ARCHIVE_METADATA_TEXT_ITEM_COUNT</x:v>
      </x:c>
      <x:c r="F152" s="28" t="str">
        <x:v>INTERNET_ARCHIVE_ADVANCEDSEARCH_NUMFOUND</x:v>
      </x:c>
      <x:c r="G152" s="31" t="str">
        <x:v>"harm them personally" AND mediatype:texts</x:v>
      </x:c>
      <x:c r="H152" s="19" t="str">
        <x:v>PHRASE_METADATA_SEARCH</x:v>
      </x:c>
      <x:c r="I152" s="31" t="str">
        <x:v>EXACT_PHRASE</x:v>
      </x:c>
      <x:c r="J152" s="28" t="n">
        <x:v>0</x:v>
      </x:c>
      <x:c r="K152" s="28" t="n">
        <x:v>0</x:v>
      </x:c>
      <x:c r="L152" s="28" t="n">
        <x:v>0</x:v>
      </x:c>
      <x:c r="M152" s="31" t="str">
        <x:v>COMPLETED_ZERO</x:v>
      </x:c>
      <x:c r="N152" s="43" t="str">
        <x:v>2026-08-26</x:v>
      </x:c>
      <x:c r="O152" s="31" t="str">
        <x:v>https://archive.org/advancedsearch.php</x:v>
      </x:c>
      <x:c r="P152" s="31" t="str">
        <x:v>Metadata text-item count; not a full-text lexical frequency. Secondary metric: NOT_RUN_OPENALEX_DAILY_BUDGET_EXHAUSTED: shared provider response retained; no count fabricated.</x:v>
      </x:c>
      <x:c r="Q152" s="19" t="str">
        <x:v>OPENALEX_WORK_COUNT</x:v>
      </x:c>
      <x:c r="R152" s="20" t="str">
        <x:v>NOT_APPLICABLE</x:v>
      </x:c>
    </x:row>
    <x:row r="153" ht="34" customHeight="1">
      <x:c r="A153" s="25" t="str">
        <x:v>FT-SEED-R1B-P-2015-29</x:v>
      </x:c>
      <x:c r="B153" s="19" t="str">
        <x:v>2015</x:v>
      </x:c>
      <x:c r="C153" s="28" t="n">
        <x:v>29</x:v>
      </x:c>
      <x:c r="D153" s="31" t="str">
        <x:v>drought or water shortages</x:v>
      </x:c>
      <x:c r="E153" s="19" t="str">
        <x:v>INTERNET_ARCHIVE_METADATA_TEXT_ITEM_COUNT</x:v>
      </x:c>
      <x:c r="F153" s="28" t="str">
        <x:v>INTERNET_ARCHIVE_ADVANCEDSEARCH_NUMFOUND</x:v>
      </x:c>
      <x:c r="G153" s="31" t="str">
        <x:v>"drought or water shortages" AND mediatype:texts</x:v>
      </x:c>
      <x:c r="H153" s="19" t="str">
        <x:v>PHRASE_METADATA_SEARCH</x:v>
      </x:c>
      <x:c r="I153" s="31" t="str">
        <x:v>EXACT_PHRASE</x:v>
      </x:c>
      <x:c r="J153" s="28" t="n">
        <x:v>1</x:v>
      </x:c>
      <x:c r="K153" s="28" t="n">
        <x:v>1</x:v>
      </x:c>
      <x:c r="L153" s="28" t="n">
        <x:v>1</x:v>
      </x:c>
      <x:c r="M153" s="31" t="str">
        <x:v>COMPLETED_NONZERO</x:v>
      </x:c>
      <x:c r="N153" s="43" t="str">
        <x:v>2026-08-26</x:v>
      </x:c>
      <x:c r="O153" s="31" t="str">
        <x:v>https://archive.org/advancedsearch.php</x:v>
      </x:c>
      <x:c r="P153" s="31" t="str">
        <x:v>Metadata text-item count; not a full-text lexical frequency. Secondary metric: NOT_RUN_OPENALEX_DAILY_BUDGET_EXHAUSTED: shared provider response retained; no count fabricated.</x:v>
      </x:c>
      <x:c r="Q153" s="19" t="str">
        <x:v>OPENALEX_WORK_COUNT</x:v>
      </x:c>
      <x:c r="R153" s="20" t="str">
        <x:v>NOT_APPLICABLE</x:v>
      </x:c>
    </x:row>
    <x:row r="154" ht="34" customHeight="1">
      <x:c r="A154" s="25" t="str">
        <x:v>FT-SEED-R1B-P-2015-30</x:v>
      </x:c>
      <x:c r="B154" s="19" t="str">
        <x:v>2015</x:v>
      </x:c>
      <x:c r="C154" s="28" t="n">
        <x:v>30</x:v>
      </x:c>
      <x:c r="D154" s="31" t="str">
        <x:v>We are nature defending itself</x:v>
      </x:c>
      <x:c r="E154" s="19" t="str">
        <x:v>INTERNET_ARCHIVE_METADATA_TEXT_ITEM_COUNT</x:v>
      </x:c>
      <x:c r="F154" s="28" t="str">
        <x:v>INTERNET_ARCHIVE_ADVANCEDSEARCH_NUMFOUND</x:v>
      </x:c>
      <x:c r="G154" s="31" t="str">
        <x:v>"We are nature defending itself" AND mediatype:texts</x:v>
      </x:c>
      <x:c r="H154" s="19" t="str">
        <x:v>PHRASE_METADATA_SEARCH</x:v>
      </x:c>
      <x:c r="I154" s="31" t="str">
        <x:v>EXACT_PHRASE</x:v>
      </x:c>
      <x:c r="J154" s="28" t="n">
        <x:v>0</x:v>
      </x:c>
      <x:c r="K154" s="28" t="n">
        <x:v>0</x:v>
      </x:c>
      <x:c r="L154" s="28" t="n">
        <x:v>0</x:v>
      </x:c>
      <x:c r="M154" s="31" t="str">
        <x:v>COMPLETED_ZERO</x:v>
      </x:c>
      <x:c r="N154" s="43" t="str">
        <x:v>2026-08-26</x:v>
      </x:c>
      <x:c r="O154" s="31" t="str">
        <x:v>https://archive.org/advancedsearch.php</x:v>
      </x:c>
      <x:c r="P154" s="31" t="str">
        <x:v>Metadata text-item count; not a full-text lexical frequency. Secondary metric: NOT_RUN_OPENALEX_DAILY_BUDGET_EXHAUSTED: shared provider response retained; no count fabricated.</x:v>
      </x:c>
      <x:c r="Q154" s="19" t="str">
        <x:v>OPENALEX_WORK_COUNT</x:v>
      </x:c>
      <x:c r="R154" s="20" t="str">
        <x:v>NOT_APPLICABLE</x:v>
      </x:c>
    </x:row>
    <x:row r="155" ht="34" customHeight="1">
      <x:c r="A155" s="25" t="str">
        <x:v>FT-SEED-R1B-P-2022-01</x:v>
      </x:c>
      <x:c r="B155" s="19" t="str">
        <x:v>2022</x:v>
      </x:c>
      <x:c r="C155" s="28" t="n">
        <x:v>1</x:v>
      </x:c>
      <x:c r="D155" s="31" t="str">
        <x:v>climate change</x:v>
      </x:c>
      <x:c r="E155" s="19" t="str">
        <x:v>INTERNET_ARCHIVE_METADATA_TEXT_ITEM_COUNT</x:v>
      </x:c>
      <x:c r="F155" s="28" t="str">
        <x:v>INTERNET_ARCHIVE_ADVANCEDSEARCH_NUMFOUND</x:v>
      </x:c>
      <x:c r="G155" s="31" t="str">
        <x:v>"climate change" AND mediatype:texts</x:v>
      </x:c>
      <x:c r="H155" s="19" t="str">
        <x:v>PHRASE_METADATA_SEARCH</x:v>
      </x:c>
      <x:c r="I155" s="31" t="str">
        <x:v>EXACT_PHRASE</x:v>
      </x:c>
      <x:c r="J155" s="28" t="n">
        <x:v>30525</x:v>
      </x:c>
      <x:c r="K155" s="28" t="n">
        <x:v>656</x:v>
      </x:c>
      <x:c r="L155" s="28" t="n">
        <x:v>1334</x:v>
      </x:c>
      <x:c r="M155" s="31" t="str">
        <x:v>COMPLETED_NONZERO</x:v>
      </x:c>
      <x:c r="N155" s="43" t="str">
        <x:v>2026-08-26</x:v>
      </x:c>
      <x:c r="O155" s="31" t="str">
        <x:v>https://archive.org/advancedsearch.php</x:v>
      </x:c>
      <x:c r="P155" s="31" t="str">
        <x:v>Metadata text-item count; not a full-text lexical frequency. Secondary metric: Scholarly work discoverability count over OpenAlex search fields; not a corpus word frequency.</x:v>
      </x:c>
      <x:c r="Q155" s="19" t="str">
        <x:v>OPENALEX_WORK_COUNT</x:v>
      </x:c>
      <x:c r="R155" s="20" t="str">
        <x:v>2549592</x:v>
      </x:c>
    </x:row>
    <x:row r="156" ht="34" customHeight="1">
      <x:c r="A156" s="25" t="str">
        <x:v>FT-SEED-R1B-P-2022-02</x:v>
      </x:c>
      <x:c r="B156" s="19" t="str">
        <x:v>2022</x:v>
      </x:c>
      <x:c r="C156" s="28" t="n">
        <x:v>2</x:v>
      </x:c>
      <x:c r="D156" s="31" t="str">
        <x:v>global warming</x:v>
      </x:c>
      <x:c r="E156" s="19" t="str">
        <x:v>INTERNET_ARCHIVE_METADATA_TEXT_ITEM_COUNT</x:v>
      </x:c>
      <x:c r="F156" s="28" t="str">
        <x:v>INTERNET_ARCHIVE_ADVANCEDSEARCH_NUMFOUND</x:v>
      </x:c>
      <x:c r="G156" s="31" t="str">
        <x:v>"global warming" AND mediatype:texts</x:v>
      </x:c>
      <x:c r="H156" s="19" t="str">
        <x:v>PHRASE_METADATA_SEARCH</x:v>
      </x:c>
      <x:c r="I156" s="31" t="str">
        <x:v>EXACT_PHRASE</x:v>
      </x:c>
      <x:c r="J156" s="28" t="n">
        <x:v>5619</x:v>
      </x:c>
      <x:c r="K156" s="28" t="n">
        <x:v>11</x:v>
      </x:c>
      <x:c r="L156" s="28" t="n">
        <x:v>123</x:v>
      </x:c>
      <x:c r="M156" s="31" t="str">
        <x:v>COMPLETED_NONZERO</x:v>
      </x:c>
      <x:c r="N156" s="43" t="str">
        <x:v>2026-08-26</x:v>
      </x:c>
      <x:c r="O156" s="31" t="str">
        <x:v>https://archive.org/advancedsearch.php</x:v>
      </x:c>
      <x:c r="P156" s="31" t="str">
        <x:v>Metadata text-item count; not a full-text lexical frequency. Secondary metric: NOT_RUN_OPENALEX_DAILY_BUDGET_EXHAUSTED: shared provider response retained; no count fabricated.</x:v>
      </x:c>
      <x:c r="Q156" s="19" t="str">
        <x:v>OPENALEX_WORK_COUNT</x:v>
      </x:c>
      <x:c r="R156" s="20" t="str">
        <x:v>NOT_APPLICABLE</x:v>
      </x:c>
    </x:row>
    <x:row r="157" ht="34" customHeight="1">
      <x:c r="A157" s="25" t="str">
        <x:v>FT-SEED-R1B-P-2022-03</x:v>
      </x:c>
      <x:c r="B157" s="19" t="str">
        <x:v>2022</x:v>
      </x:c>
      <x:c r="C157" s="28" t="n">
        <x:v>3</x:v>
      </x:c>
      <x:c r="D157" s="31" t="str">
        <x:v>very worried</x:v>
      </x:c>
      <x:c r="E157" s="19" t="str">
        <x:v>INTERNET_ARCHIVE_METADATA_TEXT_ITEM_COUNT</x:v>
      </x:c>
      <x:c r="F157" s="28" t="str">
        <x:v>INTERNET_ARCHIVE_ADVANCEDSEARCH_NUMFOUND</x:v>
      </x:c>
      <x:c r="G157" s="31" t="str">
        <x:v>"very worried" AND mediatype:texts</x:v>
      </x:c>
      <x:c r="H157" s="19" t="str">
        <x:v>PHRASE_METADATA_SEARCH</x:v>
      </x:c>
      <x:c r="I157" s="31" t="str">
        <x:v>EXACT_PHRASE</x:v>
      </x:c>
      <x:c r="J157" s="28" t="n">
        <x:v>131</x:v>
      </x:c>
      <x:c r="K157" s="28" t="n">
        <x:v>2</x:v>
      </x:c>
      <x:c r="L157" s="28" t="n">
        <x:v>4</x:v>
      </x:c>
      <x:c r="M157" s="31" t="str">
        <x:v>COMPLETED_NONZERO</x:v>
      </x:c>
      <x:c r="N157" s="43" t="str">
        <x:v>2026-08-26</x:v>
      </x:c>
      <x:c r="O157" s="31" t="str">
        <x:v>https://archive.org/advancedsearch.php</x:v>
      </x:c>
      <x:c r="P157" s="31" t="str">
        <x:v>Metadata text-item count; not a full-text lexical frequency. Secondary metric: NOT_RUN_OPENALEX_DAILY_BUDGET_EXHAUSTED: shared provider response retained; no count fabricated.</x:v>
      </x:c>
      <x:c r="Q157" s="19" t="str">
        <x:v>OPENALEX_WORK_COUNT</x:v>
      </x:c>
      <x:c r="R157" s="20" t="str">
        <x:v>NOT_APPLICABLE</x:v>
      </x:c>
    </x:row>
    <x:row r="158" ht="34" customHeight="1">
      <x:c r="A158" s="25" t="str">
        <x:v>FT-SEED-R1B-P-2022-04</x:v>
      </x:c>
      <x:c r="B158" s="19" t="str">
        <x:v>2022</x:v>
      </x:c>
      <x:c r="C158" s="28" t="n">
        <x:v>4</x:v>
      </x:c>
      <x:c r="D158" s="31" t="str">
        <x:v>somewhat worried</x:v>
      </x:c>
      <x:c r="E158" s="19" t="str">
        <x:v>INTERNET_ARCHIVE_METADATA_TEXT_ITEM_COUNT</x:v>
      </x:c>
      <x:c r="F158" s="28" t="str">
        <x:v>INTERNET_ARCHIVE_ADVANCEDSEARCH_NUMFOUND</x:v>
      </x:c>
      <x:c r="G158" s="31" t="str">
        <x:v>"somewhat worried" AND mediatype:texts</x:v>
      </x:c>
      <x:c r="H158" s="19" t="str">
        <x:v>PHRASE_METADATA_SEARCH</x:v>
      </x:c>
      <x:c r="I158" s="31" t="str">
        <x:v>EXACT_PHRASE</x:v>
      </x:c>
      <x:c r="J158" s="28" t="n">
        <x:v>15</x:v>
      </x:c>
      <x:c r="K158" s="28" t="n">
        <x:v>0</x:v>
      </x:c>
      <x:c r="L158" s="28" t="n">
        <x:v>2</x:v>
      </x:c>
      <x:c r="M158" s="31" t="str">
        <x:v>COMPLETED_NONZERO</x:v>
      </x:c>
      <x:c r="N158" s="43" t="str">
        <x:v>2026-08-26</x:v>
      </x:c>
      <x:c r="O158" s="31" t="str">
        <x:v>https://archive.org/advancedsearch.php</x:v>
      </x:c>
      <x:c r="P158" s="31" t="str">
        <x:v>Metadata text-item count; not a full-text lexical frequency. Secondary metric: NOT_RUN_OPENALEX_DAILY_BUDGET_EXHAUSTED: shared provider response retained; no count fabricated.</x:v>
      </x:c>
      <x:c r="Q158" s="19" t="str">
        <x:v>OPENALEX_WORK_COUNT</x:v>
      </x:c>
      <x:c r="R158" s="20" t="str">
        <x:v>NOT_APPLICABLE</x:v>
      </x:c>
    </x:row>
    <x:row r="159" ht="34" customHeight="1">
      <x:c r="A159" s="25" t="str">
        <x:v>FT-SEED-R1B-P-2022-05</x:v>
      </x:c>
      <x:c r="B159" s="19" t="str">
        <x:v>2022</x:v>
      </x:c>
      <x:c r="C159" s="28" t="n">
        <x:v>5</x:v>
      </x:c>
      <x:c r="D159" s="31" t="str">
        <x:v>afraid</x:v>
      </x:c>
      <x:c r="E159" s="19" t="str">
        <x:v>INTERNET_ARCHIVE_METADATA_TEXT_ITEM_COUNT</x:v>
      </x:c>
      <x:c r="F159" s="28" t="str">
        <x:v>INTERNET_ARCHIVE_ADVANCEDSEARCH_NUMFOUND</x:v>
      </x:c>
      <x:c r="G159" s="31" t="str">
        <x:v>"afraid" AND mediatype:texts</x:v>
      </x:c>
      <x:c r="H159" s="19" t="str">
        <x:v>PHRASE_METADATA_SEARCH</x:v>
      </x:c>
      <x:c r="I159" s="31" t="str">
        <x:v>EXACT_PHRASE</x:v>
      </x:c>
      <x:c r="J159" s="28" t="n">
        <x:v>9411</x:v>
      </x:c>
      <x:c r="K159" s="28" t="n">
        <x:v>44</x:v>
      </x:c>
      <x:c r="L159" s="28" t="n">
        <x:v>125</x:v>
      </x:c>
      <x:c r="M159" s="31" t="str">
        <x:v>COMPLETED_NONZERO</x:v>
      </x:c>
      <x:c r="N159" s="43" t="str">
        <x:v>2026-08-26</x:v>
      </x:c>
      <x:c r="O159" s="31" t="str">
        <x:v>https://archive.org/advancedsearch.php</x:v>
      </x:c>
      <x:c r="P159" s="31" t="str">
        <x:v>Metadata text-item count; not a full-text lexical frequency. Secondary metric: Scholarly work discoverability count over OpenAlex search fields; not a corpus word frequency.</x:v>
      </x:c>
      <x:c r="Q159" s="19" t="str">
        <x:v>OPENALEX_WORK_COUNT</x:v>
      </x:c>
      <x:c r="R159" s="20" t="str">
        <x:v>559397</x:v>
      </x:c>
    </x:row>
    <x:row r="160" ht="34" customHeight="1">
      <x:c r="A160" s="25" t="str">
        <x:v>FT-SEED-R1B-P-2022-06</x:v>
      </x:c>
      <x:c r="B160" s="19" t="str">
        <x:v>2022</x:v>
      </x:c>
      <x:c r="C160" s="28" t="n">
        <x:v>6</x:v>
      </x:c>
      <x:c r="D160" s="31" t="str">
        <x:v>anxious</x:v>
      </x:c>
      <x:c r="E160" s="19" t="str">
        <x:v>INTERNET_ARCHIVE_METADATA_TEXT_ITEM_COUNT</x:v>
      </x:c>
      <x:c r="F160" s="28" t="str">
        <x:v>INTERNET_ARCHIVE_ADVANCEDSEARCH_NUMFOUND</x:v>
      </x:c>
      <x:c r="G160" s="31" t="str">
        <x:v>"anxious" AND mediatype:texts</x:v>
      </x:c>
      <x:c r="H160" s="19" t="str">
        <x:v>PHRASE_METADATA_SEARCH</x:v>
      </x:c>
      <x:c r="I160" s="31" t="str">
        <x:v>EXACT_PHRASE</x:v>
      </x:c>
      <x:c r="J160" s="28" t="n">
        <x:v>9274</x:v>
      </x:c>
      <x:c r="K160" s="28" t="n">
        <x:v>43</x:v>
      </x:c>
      <x:c r="L160" s="28" t="n">
        <x:v>124</x:v>
      </x:c>
      <x:c r="M160" s="31" t="str">
        <x:v>COMPLETED_NONZERO</x:v>
      </x:c>
      <x:c r="N160" s="43" t="str">
        <x:v>2026-08-26</x:v>
      </x:c>
      <x:c r="O160" s="31" t="str">
        <x:v>https://archive.org/advancedsearch.php</x:v>
      </x:c>
      <x:c r="P160" s="31" t="str">
        <x:v>Metadata text-item count; not a full-text lexical frequency. Secondary metric: Scholarly work discoverability count over OpenAlex search fields; not a corpus word frequency.</x:v>
      </x:c>
      <x:c r="Q160" s="19" t="str">
        <x:v>OPENALEX_WORK_COUNT</x:v>
      </x:c>
      <x:c r="R160" s="20" t="str">
        <x:v>557474</x:v>
      </x:c>
    </x:row>
    <x:row r="161" ht="34" customHeight="1">
      <x:c r="A161" s="25" t="str">
        <x:v>FT-SEED-R1B-P-2022-07</x:v>
      </x:c>
      <x:c r="B161" s="19" t="str">
        <x:v>2022</x:v>
      </x:c>
      <x:c r="C161" s="28" t="n">
        <x:v>7</x:v>
      </x:c>
      <x:c r="D161" s="31" t="str">
        <x:v>hopeless</x:v>
      </x:c>
      <x:c r="E161" s="19" t="str">
        <x:v>INTERNET_ARCHIVE_METADATA_TEXT_ITEM_COUNT</x:v>
      </x:c>
      <x:c r="F161" s="28" t="str">
        <x:v>INTERNET_ARCHIVE_ADVANCEDSEARCH_NUMFOUND</x:v>
      </x:c>
      <x:c r="G161" s="31" t="str">
        <x:v>"hopeless" AND mediatype:texts</x:v>
      </x:c>
      <x:c r="H161" s="19" t="str">
        <x:v>PHRASE_METADATA_SEARCH</x:v>
      </x:c>
      <x:c r="I161" s="31" t="str">
        <x:v>EXACT_PHRASE</x:v>
      </x:c>
      <x:c r="J161" s="28" t="n">
        <x:v>2257</x:v>
      </x:c>
      <x:c r="K161" s="28" t="n">
        <x:v>15</x:v>
      </x:c>
      <x:c r="L161" s="28" t="n">
        <x:v>36</x:v>
      </x:c>
      <x:c r="M161" s="31" t="str">
        <x:v>COMPLETED_NONZERO</x:v>
      </x:c>
      <x:c r="N161" s="43" t="str">
        <x:v>2026-08-26</x:v>
      </x:c>
      <x:c r="O161" s="31" t="str">
        <x:v>https://archive.org/advancedsearch.php</x:v>
      </x:c>
      <x:c r="P161" s="31" t="str">
        <x:v>Metadata text-item count; not a full-text lexical frequency. Secondary metric: NOT_RUN_OPENALEX_DAILY_BUDGET_EXHAUSTED: shared provider response retained; no count fabricated.</x:v>
      </x:c>
      <x:c r="Q161" s="19" t="str">
        <x:v>OPENALEX_WORK_COUNT</x:v>
      </x:c>
      <x:c r="R161" s="20" t="str">
        <x:v>NOT_APPLICABLE</x:v>
      </x:c>
    </x:row>
    <x:row r="162" ht="34" customHeight="1">
      <x:c r="A162" s="25" t="str">
        <x:v>FT-SEED-R1B-P-2022-08</x:v>
      </x:c>
      <x:c r="B162" s="19" t="str">
        <x:v>2022</x:v>
      </x:c>
      <x:c r="C162" s="28" t="n">
        <x:v>8</x:v>
      </x:c>
      <x:c r="D162" s="31" t="str">
        <x:v>sad</x:v>
      </x:c>
      <x:c r="E162" s="19" t="str">
        <x:v>INTERNET_ARCHIVE_METADATA_TEXT_ITEM_COUNT</x:v>
      </x:c>
      <x:c r="F162" s="28" t="str">
        <x:v>INTERNET_ARCHIVE_ADVANCEDSEARCH_NUMFOUND</x:v>
      </x:c>
      <x:c r="G162" s="31" t="str">
        <x:v>"sad" AND mediatype:texts</x:v>
      </x:c>
      <x:c r="H162" s="19" t="str">
        <x:v>PHRASE_METADATA_SEARCH</x:v>
      </x:c>
      <x:c r="I162" s="31" t="str">
        <x:v>EXACT_PHRASE</x:v>
      </x:c>
      <x:c r="J162" s="28" t="n">
        <x:v>21781</x:v>
      </x:c>
      <x:c r="K162" s="28" t="n">
        <x:v>87</x:v>
      </x:c>
      <x:c r="L162" s="28" t="n">
        <x:v>272</x:v>
      </x:c>
      <x:c r="M162" s="31" t="str">
        <x:v>COMPLETED_NONZERO</x:v>
      </x:c>
      <x:c r="N162" s="43" t="str">
        <x:v>2026-08-26</x:v>
      </x:c>
      <x:c r="O162" s="31" t="str">
        <x:v>https://archive.org/advancedsearch.php</x:v>
      </x:c>
      <x:c r="P162" s="31" t="str">
        <x:v>Metadata text-item count; not a full-text lexical frequency. Secondary metric: NOT_RUN_OPENALEX_DAILY_BUDGET_EXHAUSTED: shared provider response retained; no count fabricated.</x:v>
      </x:c>
      <x:c r="Q162" s="19" t="str">
        <x:v>OPENALEX_WORK_COUNT</x:v>
      </x:c>
      <x:c r="R162" s="20" t="str">
        <x:v>NOT_APPLICABLE</x:v>
      </x:c>
    </x:row>
    <x:row r="163" ht="34" customHeight="1">
      <x:c r="A163" s="25" t="str">
        <x:v>FT-SEED-R1B-P-2022-09</x:v>
      </x:c>
      <x:c r="B163" s="19" t="str">
        <x:v>2022</x:v>
      </x:c>
      <x:c r="C163" s="28" t="n">
        <x:v>9</x:v>
      </x:c>
      <x:c r="D163" s="31" t="str">
        <x:v>angry</x:v>
      </x:c>
      <x:c r="E163" s="19" t="str">
        <x:v>INTERNET_ARCHIVE_METADATA_TEXT_ITEM_COUNT</x:v>
      </x:c>
      <x:c r="F163" s="28" t="str">
        <x:v>INTERNET_ARCHIVE_ADVANCEDSEARCH_NUMFOUND</x:v>
      </x:c>
      <x:c r="G163" s="31" t="str">
        <x:v>"angry" AND mediatype:texts</x:v>
      </x:c>
      <x:c r="H163" s="19" t="str">
        <x:v>PHRASE_METADATA_SEARCH</x:v>
      </x:c>
      <x:c r="I163" s="31" t="str">
        <x:v>EXACT_PHRASE</x:v>
      </x:c>
      <x:c r="J163" s="28" t="n">
        <x:v>8245</x:v>
      </x:c>
      <x:c r="K163" s="28" t="n">
        <x:v>34</x:v>
      </x:c>
      <x:c r="L163" s="28" t="n">
        <x:v>113</x:v>
      </x:c>
      <x:c r="M163" s="31" t="str">
        <x:v>COMPLETED_NONZERO</x:v>
      </x:c>
      <x:c r="N163" s="43" t="str">
        <x:v>2026-08-26</x:v>
      </x:c>
      <x:c r="O163" s="31" t="str">
        <x:v>https://archive.org/advancedsearch.php</x:v>
      </x:c>
      <x:c r="P163" s="31" t="str">
        <x:v>Metadata text-item count; not a full-text lexical frequency. Secondary metric: Scholarly work discoverability count over OpenAlex search fields; not a corpus word frequency.</x:v>
      </x:c>
      <x:c r="Q163" s="19" t="str">
        <x:v>OPENALEX_WORK_COUNT</x:v>
      </x:c>
      <x:c r="R163" s="20" t="str">
        <x:v>382339</x:v>
      </x:c>
    </x:row>
    <x:row r="164" ht="34" customHeight="1">
      <x:c r="A164" s="25" t="str">
        <x:v>FT-SEED-R1B-P-2022-10</x:v>
      </x:c>
      <x:c r="B164" s="19" t="str">
        <x:v>2022</x:v>
      </x:c>
      <x:c r="C164" s="28" t="n">
        <x:v>10</x:v>
      </x:c>
      <x:c r="D164" s="31" t="str">
        <x:v>frustrated</x:v>
      </x:c>
      <x:c r="E164" s="19" t="str">
        <x:v>INTERNET_ARCHIVE_METADATA_TEXT_ITEM_COUNT</x:v>
      </x:c>
      <x:c r="F164" s="28" t="str">
        <x:v>INTERNET_ARCHIVE_ADVANCEDSEARCH_NUMFOUND</x:v>
      </x:c>
      <x:c r="G164" s="31" t="str">
        <x:v>"frustrated" AND mediatype:texts</x:v>
      </x:c>
      <x:c r="H164" s="19" t="str">
        <x:v>PHRASE_METADATA_SEARCH</x:v>
      </x:c>
      <x:c r="I164" s="31" t="str">
        <x:v>EXACT_PHRASE</x:v>
      </x:c>
      <x:c r="J164" s="28" t="n">
        <x:v>6866</x:v>
      </x:c>
      <x:c r="K164" s="28" t="n">
        <x:v>18</x:v>
      </x:c>
      <x:c r="L164" s="28" t="n">
        <x:v>42</x:v>
      </x:c>
      <x:c r="M164" s="31" t="str">
        <x:v>COMPLETED_NONZERO</x:v>
      </x:c>
      <x:c r="N164" s="43" t="str">
        <x:v>2026-08-26</x:v>
      </x:c>
      <x:c r="O164" s="31" t="str">
        <x:v>https://archive.org/advancedsearch.php</x:v>
      </x:c>
      <x:c r="P164" s="31" t="str">
        <x:v>Metadata text-item count; not a full-text lexical frequency. Secondary metric: NOT_RUN_OPENALEX_DAILY_BUDGET_EXHAUSTED: shared provider response retained; no count fabricated.</x:v>
      </x:c>
      <x:c r="Q164" s="19" t="str">
        <x:v>OPENALEX_WORK_COUNT</x:v>
      </x:c>
      <x:c r="R164" s="20" t="str">
        <x:v>NOT_APPLICABLE</x:v>
      </x:c>
    </x:row>
    <x:row r="165" ht="34" customHeight="1">
      <x:c r="A165" s="25" t="str">
        <x:v>FT-SEED-R1B-P-2022-11</x:v>
      </x:c>
      <x:c r="B165" s="19" t="str">
        <x:v>2022</x:v>
      </x:c>
      <x:c r="C165" s="28" t="n">
        <x:v>11</x:v>
      </x:c>
      <x:c r="D165" s="31" t="str">
        <x:v>hopeful</x:v>
      </x:c>
      <x:c r="E165" s="19" t="str">
        <x:v>INTERNET_ARCHIVE_METADATA_TEXT_ITEM_COUNT</x:v>
      </x:c>
      <x:c r="F165" s="28" t="str">
        <x:v>INTERNET_ARCHIVE_ADVANCEDSEARCH_NUMFOUND</x:v>
      </x:c>
      <x:c r="G165" s="31" t="str">
        <x:v>"hopeful" AND mediatype:texts</x:v>
      </x:c>
      <x:c r="H165" s="19" t="str">
        <x:v>PHRASE_METADATA_SEARCH</x:v>
      </x:c>
      <x:c r="I165" s="31" t="str">
        <x:v>EXACT_PHRASE</x:v>
      </x:c>
      <x:c r="J165" s="28" t="n">
        <x:v>4932</x:v>
      </x:c>
      <x:c r="K165" s="28" t="n">
        <x:v>17</x:v>
      </x:c>
      <x:c r="L165" s="28" t="n">
        <x:v>66</x:v>
      </x:c>
      <x:c r="M165" s="31" t="str">
        <x:v>COMPLETED_NONZERO</x:v>
      </x:c>
      <x:c r="N165" s="43" t="str">
        <x:v>2026-08-26</x:v>
      </x:c>
      <x:c r="O165" s="31" t="str">
        <x:v>https://archive.org/advancedsearch.php</x:v>
      </x:c>
      <x:c r="P165" s="31" t="str">
        <x:v>Metadata text-item count; not a full-text lexical frequency. Secondary metric: NOT_RUN_OPENALEX_DAILY_BUDGET_EXHAUSTED: shared provider response retained; no count fabricated.</x:v>
      </x:c>
      <x:c r="Q165" s="19" t="str">
        <x:v>OPENALEX_WORK_COUNT</x:v>
      </x:c>
      <x:c r="R165" s="20" t="str">
        <x:v>NOT_APPLICABLE</x:v>
      </x:c>
    </x:row>
    <x:row r="166" ht="34" customHeight="1">
      <x:c r="A166" s="25" t="str">
        <x:v>FT-SEED-R1B-P-2022-12</x:v>
      </x:c>
      <x:c r="B166" s="19" t="str">
        <x:v>2022</x:v>
      </x:c>
      <x:c r="C166" s="28" t="n">
        <x:v>12</x:v>
      </x:c>
      <x:c r="D166" s="31" t="str">
        <x:v>disgusted</x:v>
      </x:c>
      <x:c r="E166" s="19" t="str">
        <x:v>INTERNET_ARCHIVE_METADATA_TEXT_ITEM_COUNT</x:v>
      </x:c>
      <x:c r="F166" s="28" t="str">
        <x:v>INTERNET_ARCHIVE_ADVANCEDSEARCH_NUMFOUND</x:v>
      </x:c>
      <x:c r="G166" s="31" t="str">
        <x:v>"disgusted" AND mediatype:texts</x:v>
      </x:c>
      <x:c r="H166" s="19" t="str">
        <x:v>PHRASE_METADATA_SEARCH</x:v>
      </x:c>
      <x:c r="I166" s="31" t="str">
        <x:v>EXACT_PHRASE</x:v>
      </x:c>
      <x:c r="J166" s="28" t="n">
        <x:v>556</x:v>
      </x:c>
      <x:c r="K166" s="28" t="n">
        <x:v>1</x:v>
      </x:c>
      <x:c r="L166" s="28" t="n">
        <x:v>9</x:v>
      </x:c>
      <x:c r="M166" s="31" t="str">
        <x:v>COMPLETED_NONZERO</x:v>
      </x:c>
      <x:c r="N166" s="43" t="str">
        <x:v>2026-08-26</x:v>
      </x:c>
      <x:c r="O166" s="31" t="str">
        <x:v>https://archive.org/advancedsearch.php</x:v>
      </x:c>
      <x:c r="P166" s="31" t="str">
        <x:v>Metadata text-item count; not a full-text lexical frequency. Secondary metric: NOT_RUN_OPENALEX_DAILY_BUDGET_EXHAUSTED: shared provider response retained; no count fabricated.</x:v>
      </x:c>
      <x:c r="Q166" s="19" t="str">
        <x:v>OPENALEX_WORK_COUNT</x:v>
      </x:c>
      <x:c r="R166" s="20" t="str">
        <x:v>NOT_APPLICABLE</x:v>
      </x:c>
    </x:row>
    <x:row r="167" ht="34" customHeight="1">
      <x:c r="A167" s="25" t="str">
        <x:v>FT-SEED-R1B-P-2022-13</x:v>
      </x:c>
      <x:c r="B167" s="19" t="str">
        <x:v>2022</x:v>
      </x:c>
      <x:c r="C167" s="28" t="n">
        <x:v>13</x:v>
      </x:c>
      <x:c r="D167" s="31" t="str">
        <x:v>outraged</x:v>
      </x:c>
      <x:c r="E167" s="19" t="str">
        <x:v>INTERNET_ARCHIVE_METADATA_TEXT_ITEM_COUNT</x:v>
      </x:c>
      <x:c r="F167" s="28" t="str">
        <x:v>INTERNET_ARCHIVE_ADVANCEDSEARCH_NUMFOUND</x:v>
      </x:c>
      <x:c r="G167" s="31" t="str">
        <x:v>"outraged" AND mediatype:texts</x:v>
      </x:c>
      <x:c r="H167" s="19" t="str">
        <x:v>PHRASE_METADATA_SEARCH</x:v>
      </x:c>
      <x:c r="I167" s="31" t="str">
        <x:v>EXACT_PHRASE</x:v>
      </x:c>
      <x:c r="J167" s="28" t="n">
        <x:v>1006</x:v>
      </x:c>
      <x:c r="K167" s="28" t="n">
        <x:v>1</x:v>
      </x:c>
      <x:c r="L167" s="28" t="n">
        <x:v>7</x:v>
      </x:c>
      <x:c r="M167" s="31" t="str">
        <x:v>COMPLETED_NONZERO</x:v>
      </x:c>
      <x:c r="N167" s="43" t="str">
        <x:v>2026-08-26</x:v>
      </x:c>
      <x:c r="O167" s="31" t="str">
        <x:v>https://archive.org/advancedsearch.php</x:v>
      </x:c>
      <x:c r="P167" s="31" t="str">
        <x:v>Metadata text-item count; not a full-text lexical frequency. Secondary metric: NOT_RUN_OPENALEX_DAILY_BUDGET_EXHAUSTED: shared provider response retained; no count fabricated.</x:v>
      </x:c>
      <x:c r="Q167" s="19" t="str">
        <x:v>OPENALEX_WORK_COUNT</x:v>
      </x:c>
      <x:c r="R167" s="20" t="str">
        <x:v>NOT_APPLICABLE</x:v>
      </x:c>
    </x:row>
    <x:row r="168" ht="34" customHeight="1">
      <x:c r="A168" s="25" t="str">
        <x:v>FT-SEED-R1B-P-2022-14</x:v>
      </x:c>
      <x:c r="B168" s="19" t="str">
        <x:v>2022</x:v>
      </x:c>
      <x:c r="C168" s="28" t="n">
        <x:v>14</x:v>
      </x:c>
      <x:c r="D168" s="31" t="str">
        <x:v>depressed</x:v>
      </x:c>
      <x:c r="E168" s="19" t="str">
        <x:v>INTERNET_ARCHIVE_METADATA_TEXT_ITEM_COUNT</x:v>
      </x:c>
      <x:c r="F168" s="28" t="str">
        <x:v>INTERNET_ARCHIVE_ADVANCEDSEARCH_NUMFOUND</x:v>
      </x:c>
      <x:c r="G168" s="31" t="str">
        <x:v>"depressed" AND mediatype:texts</x:v>
      </x:c>
      <x:c r="H168" s="19" t="str">
        <x:v>PHRASE_METADATA_SEARCH</x:v>
      </x:c>
      <x:c r="I168" s="31" t="str">
        <x:v>EXACT_PHRASE</x:v>
      </x:c>
      <x:c r="J168" s="28" t="n">
        <x:v>6441</x:v>
      </x:c>
      <x:c r="K168" s="28" t="n">
        <x:v>34</x:v>
      </x:c>
      <x:c r="L168" s="28" t="n">
        <x:v>85</x:v>
      </x:c>
      <x:c r="M168" s="31" t="str">
        <x:v>COMPLETED_NONZERO</x:v>
      </x:c>
      <x:c r="N168" s="43" t="str">
        <x:v>2026-08-26</x:v>
      </x:c>
      <x:c r="O168" s="31" t="str">
        <x:v>https://archive.org/advancedsearch.php</x:v>
      </x:c>
      <x:c r="P168" s="31" t="str">
        <x:v>Metadata text-item count; not a full-text lexical frequency. Secondary metric: NOT_RUN_OPENALEX_DAILY_BUDGET_EXHAUSTED: shared provider response retained; no count fabricated.</x:v>
      </x:c>
      <x:c r="Q168" s="19" t="str">
        <x:v>OPENALEX_WORK_COUNT</x:v>
      </x:c>
      <x:c r="R168" s="20" t="str">
        <x:v>NOT_APPLICABLE</x:v>
      </x:c>
    </x:row>
    <x:row r="169" ht="34" customHeight="1">
      <x:c r="A169" s="25" t="str">
        <x:v>FT-SEED-R1B-P-2022-15</x:v>
      </x:c>
      <x:c r="B169" s="19" t="str">
        <x:v>2022</x:v>
      </x:c>
      <x:c r="C169" s="28" t="n">
        <x:v>15</x:v>
      </x:c>
      <x:c r="D169" s="31" t="str">
        <x:v>symptoms of anxiety</x:v>
      </x:c>
      <x:c r="E169" s="19" t="str">
        <x:v>INTERNET_ARCHIVE_METADATA_TEXT_ITEM_COUNT</x:v>
      </x:c>
      <x:c r="F169" s="28" t="str">
        <x:v>INTERNET_ARCHIVE_ADVANCEDSEARCH_NUMFOUND</x:v>
      </x:c>
      <x:c r="G169" s="31" t="str">
        <x:v>"symptoms of anxiety" AND mediatype:texts</x:v>
      </x:c>
      <x:c r="H169" s="19" t="str">
        <x:v>PHRASE_METADATA_SEARCH</x:v>
      </x:c>
      <x:c r="I169" s="31" t="str">
        <x:v>EXACT_PHRASE</x:v>
      </x:c>
      <x:c r="J169" s="28" t="n">
        <x:v>96</x:v>
      </x:c>
      <x:c r="K169" s="28" t="n">
        <x:v>3</x:v>
      </x:c>
      <x:c r="L169" s="28" t="n">
        <x:v>5</x:v>
      </x:c>
      <x:c r="M169" s="31" t="str">
        <x:v>COMPLETED_NONZERO</x:v>
      </x:c>
      <x:c r="N169" s="43" t="str">
        <x:v>2026-08-26</x:v>
      </x:c>
      <x:c r="O169" s="31" t="str">
        <x:v>https://archive.org/advancedsearch.php</x:v>
      </x:c>
      <x:c r="P169" s="31" t="str">
        <x:v>Metadata text-item count; not a full-text lexical frequency. Secondary metric: NOT_RUN_OPENALEX_DAILY_BUDGET_EXHAUSTED: shared provider response retained; no count fabricated.</x:v>
      </x:c>
      <x:c r="Q169" s="19" t="str">
        <x:v>OPENALEX_WORK_COUNT</x:v>
      </x:c>
      <x:c r="R169" s="20" t="str">
        <x:v>NOT_APPLICABLE</x:v>
      </x:c>
    </x:row>
    <x:row r="170" ht="34" customHeight="1">
      <x:c r="A170" s="25" t="str">
        <x:v>FT-SEED-R1B-P-2022-16</x:v>
      </x:c>
      <x:c r="B170" s="19" t="str">
        <x:v>2022</x:v>
      </x:c>
      <x:c r="C170" s="28" t="n">
        <x:v>16</x:v>
      </x:c>
      <x:c r="D170" s="31" t="str">
        <x:v>climate anxiety</x:v>
      </x:c>
      <x:c r="E170" s="19" t="str">
        <x:v>INTERNET_ARCHIVE_METADATA_TEXT_ITEM_COUNT</x:v>
      </x:c>
      <x:c r="F170" s="28" t="str">
        <x:v>INTERNET_ARCHIVE_ADVANCEDSEARCH_NUMFOUND</x:v>
      </x:c>
      <x:c r="G170" s="31" t="str">
        <x:v>"climate anxiety" AND mediatype:texts</x:v>
      </x:c>
      <x:c r="H170" s="19" t="str">
        <x:v>PHRASE_METADATA_SEARCH</x:v>
      </x:c>
      <x:c r="I170" s="31" t="str">
        <x:v>EXACT_PHRASE</x:v>
      </x:c>
      <x:c r="J170" s="28" t="n">
        <x:v>17</x:v>
      </x:c>
      <x:c r="K170" s="28" t="n">
        <x:v>2</x:v>
      </x:c>
      <x:c r="L170" s="28" t="n">
        <x:v>4</x:v>
      </x:c>
      <x:c r="M170" s="31" t="str">
        <x:v>COMPLETED_NONZERO</x:v>
      </x:c>
      <x:c r="N170" s="43" t="str">
        <x:v>2026-08-26</x:v>
      </x:c>
      <x:c r="O170" s="31" t="str">
        <x:v>https://archive.org/advancedsearch.php</x:v>
      </x:c>
      <x:c r="P170" s="31" t="str">
        <x:v>Metadata text-item count; not a full-text lexical frequency. Secondary metric: Scholarly work discoverability count over OpenAlex search fields; not a corpus word frequency.</x:v>
      </x:c>
      <x:c r="Q170" s="19" t="str">
        <x:v>OPENALEX_WORK_COUNT</x:v>
      </x:c>
      <x:c r="R170" s="20" t="str">
        <x:v>5945</x:v>
      </x:c>
    </x:row>
    <x:row r="171" ht="34" customHeight="1">
      <x:c r="A171" s="25" t="str">
        <x:v>FT-SEED-R1B-P-2022-17</x:v>
      </x:c>
      <x:c r="B171" s="19" t="str">
        <x:v>2022</x:v>
      </x:c>
      <x:c r="C171" s="28" t="n">
        <x:v>17</x:v>
      </x:c>
      <x:c r="D171" s="31" t="str">
        <x:v>eco-anxiety</x:v>
      </x:c>
      <x:c r="E171" s="19" t="str">
        <x:v>INTERNET_ARCHIVE_METADATA_TEXT_ITEM_COUNT</x:v>
      </x:c>
      <x:c r="F171" s="28" t="str">
        <x:v>INTERNET_ARCHIVE_ADVANCEDSEARCH_NUMFOUND</x:v>
      </x:c>
      <x:c r="G171" s="31" t="str">
        <x:v>"eco-anxiety" AND mediatype:texts</x:v>
      </x:c>
      <x:c r="H171" s="19" t="str">
        <x:v>PHRASE_METADATA_SEARCH</x:v>
      </x:c>
      <x:c r="I171" s="31" t="str">
        <x:v>EXACT_PHRASE</x:v>
      </x:c>
      <x:c r="J171" s="28" t="n">
        <x:v>23</x:v>
      </x:c>
      <x:c r="K171" s="28" t="n">
        <x:v>1</x:v>
      </x:c>
      <x:c r="L171" s="28" t="n">
        <x:v>3</x:v>
      </x:c>
      <x:c r="M171" s="31" t="str">
        <x:v>COMPLETED_NONZERO</x:v>
      </x:c>
      <x:c r="N171" s="43" t="str">
        <x:v>2026-08-26</x:v>
      </x:c>
      <x:c r="O171" s="31" t="str">
        <x:v>https://archive.org/advancedsearch.php</x:v>
      </x:c>
      <x:c r="P171" s="31" t="str">
        <x:v>Metadata text-item count; not a full-text lexical frequency. Secondary metric: NOT_RUN_OPENALEX_DAILY_BUDGET_EXHAUSTED: shared provider response retained; no count fabricated.</x:v>
      </x:c>
      <x:c r="Q171" s="19" t="str">
        <x:v>OPENALEX_WORK_COUNT</x:v>
      </x:c>
      <x:c r="R171" s="20" t="str">
        <x:v>NOT_APPLICABLE</x:v>
      </x:c>
    </x:row>
    <x:row r="172" ht="34" customHeight="1">
      <x:c r="A172" s="25" t="str">
        <x:v>FT-SEED-R1B-P-2022-18</x:v>
      </x:c>
      <x:c r="B172" s="19" t="str">
        <x:v>2022</x:v>
      </x:c>
      <x:c r="C172" s="28" t="n">
        <x:v>18</x:v>
      </x:c>
      <x:c r="D172" s="31" t="str">
        <x:v>psychological distress</x:v>
      </x:c>
      <x:c r="E172" s="19" t="str">
        <x:v>INTERNET_ARCHIVE_METADATA_TEXT_ITEM_COUNT</x:v>
      </x:c>
      <x:c r="F172" s="28" t="str">
        <x:v>INTERNET_ARCHIVE_ADVANCEDSEARCH_NUMFOUND</x:v>
      </x:c>
      <x:c r="G172" s="31" t="str">
        <x:v>"psychological distress" AND mediatype:texts</x:v>
      </x:c>
      <x:c r="H172" s="19" t="str">
        <x:v>PHRASE_METADATA_SEARCH</x:v>
      </x:c>
      <x:c r="I172" s="31" t="str">
        <x:v>EXACT_PHRASE</x:v>
      </x:c>
      <x:c r="J172" s="28" t="n">
        <x:v>694</x:v>
      </x:c>
      <x:c r="K172" s="28" t="n">
        <x:v>15</x:v>
      </x:c>
      <x:c r="L172" s="28" t="n">
        <x:v>44</x:v>
      </x:c>
      <x:c r="M172" s="31" t="str">
        <x:v>COMPLETED_NONZERO</x:v>
      </x:c>
      <x:c r="N172" s="43" t="str">
        <x:v>2026-08-26</x:v>
      </x:c>
      <x:c r="O172" s="31" t="str">
        <x:v>https://archive.org/advancedsearch.php</x:v>
      </x:c>
      <x:c r="P172" s="31" t="str">
        <x:v>Metadata text-item count; not a full-text lexical frequency. Secondary metric: NOT_RUN_OPENALEX_DAILY_BUDGET_EXHAUSTED: shared provider response retained; no count fabricated.</x:v>
      </x:c>
      <x:c r="Q172" s="19" t="str">
        <x:v>OPENALEX_WORK_COUNT</x:v>
      </x:c>
      <x:c r="R172" s="20" t="str">
        <x:v>NOT_APPLICABLE</x:v>
      </x:c>
    </x:row>
    <x:row r="173" ht="34" customHeight="1">
      <x:c r="A173" s="25" t="str">
        <x:v>FT-SEED-R1B-P-2022-19</x:v>
      </x:c>
      <x:c r="B173" s="19" t="str">
        <x:v>2022</x:v>
      </x:c>
      <x:c r="C173" s="28" t="n">
        <x:v>19</x:v>
      </x:c>
      <x:c r="D173" s="31" t="str">
        <x:v>distress</x:v>
      </x:c>
      <x:c r="E173" s="19" t="str">
        <x:v>INTERNET_ARCHIVE_METADATA_TEXT_ITEM_COUNT</x:v>
      </x:c>
      <x:c r="F173" s="28" t="str">
        <x:v>INTERNET_ARCHIVE_ADVANCEDSEARCH_NUMFOUND</x:v>
      </x:c>
      <x:c r="G173" s="31" t="str">
        <x:v>"distress" AND mediatype:texts</x:v>
      </x:c>
      <x:c r="H173" s="19" t="str">
        <x:v>PHRASE_METADATA_SEARCH</x:v>
      </x:c>
      <x:c r="I173" s="31" t="str">
        <x:v>EXACT_PHRASE</x:v>
      </x:c>
      <x:c r="J173" s="28" t="n">
        <x:v>10884</x:v>
      </x:c>
      <x:c r="K173" s="28" t="n">
        <x:v>76</x:v>
      </x:c>
      <x:c r="L173" s="28" t="n">
        <x:v>244</x:v>
      </x:c>
      <x:c r="M173" s="31" t="str">
        <x:v>COMPLETED_NONZERO</x:v>
      </x:c>
      <x:c r="N173" s="43" t="str">
        <x:v>2026-08-26</x:v>
      </x:c>
      <x:c r="O173" s="31" t="str">
        <x:v>https://archive.org/advancedsearch.php</x:v>
      </x:c>
      <x:c r="P173" s="31" t="str">
        <x:v>Metadata text-item count; not a full-text lexical frequency. Secondary metric: NOT_RUN_OPENALEX_DAILY_BUDGET_EXHAUSTED: shared provider response retained; no count fabricated.</x:v>
      </x:c>
      <x:c r="Q173" s="19" t="str">
        <x:v>OPENALEX_WORK_COUNT</x:v>
      </x:c>
      <x:c r="R173" s="20" t="str">
        <x:v>NOT_APPLICABLE</x:v>
      </x:c>
    </x:row>
    <x:row r="174" ht="34" customHeight="1">
      <x:c r="A174" s="25" t="str">
        <x:v>FT-SEED-R1B-P-2022-20</x:v>
      </x:c>
      <x:c r="B174" s="19" t="str">
        <x:v>2022</x:v>
      </x:c>
      <x:c r="C174" s="28" t="n">
        <x:v>20</x:v>
      </x:c>
      <x:c r="D174" s="31" t="str">
        <x:v>powerlessness</x:v>
      </x:c>
      <x:c r="E174" s="19" t="str">
        <x:v>INTERNET_ARCHIVE_METADATA_TEXT_ITEM_COUNT</x:v>
      </x:c>
      <x:c r="F174" s="28" t="str">
        <x:v>INTERNET_ARCHIVE_ADVANCEDSEARCH_NUMFOUND</x:v>
      </x:c>
      <x:c r="G174" s="31" t="str">
        <x:v>"powerlessness" AND mediatype:texts</x:v>
      </x:c>
      <x:c r="H174" s="19" t="str">
        <x:v>PHRASE_METADATA_SEARCH</x:v>
      </x:c>
      <x:c r="I174" s="31" t="str">
        <x:v>EXACT_PHRASE</x:v>
      </x:c>
      <x:c r="J174" s="28" t="n">
        <x:v>575</x:v>
      </x:c>
      <x:c r="K174" s="28" t="n">
        <x:v>3</x:v>
      </x:c>
      <x:c r="L174" s="28" t="n">
        <x:v>12</x:v>
      </x:c>
      <x:c r="M174" s="31" t="str">
        <x:v>COMPLETED_NONZERO</x:v>
      </x:c>
      <x:c r="N174" s="43" t="str">
        <x:v>2026-08-26</x:v>
      </x:c>
      <x:c r="O174" s="31" t="str">
        <x:v>https://archive.org/advancedsearch.php</x:v>
      </x:c>
      <x:c r="P174" s="31" t="str">
        <x:v>Metadata text-item count; not a full-text lexical frequency. Secondary metric: NOT_RUN_OPENALEX_DAILY_BUDGET_EXHAUSTED: shared provider response retained; no count fabricated.</x:v>
      </x:c>
      <x:c r="Q174" s="19" t="str">
        <x:v>OPENALEX_WORK_COUNT</x:v>
      </x:c>
      <x:c r="R174" s="20" t="str">
        <x:v>NOT_APPLICABLE</x:v>
      </x:c>
    </x:row>
    <x:row r="175" ht="34" customHeight="1">
      <x:c r="A175" s="25" t="str">
        <x:v>FT-SEED-R1B-P-2022-21</x:v>
      </x:c>
      <x:c r="B175" s="19" t="str">
        <x:v>2022</x:v>
      </x:c>
      <x:c r="C175" s="28" t="n">
        <x:v>21</x:v>
      </x:c>
      <x:c r="D175" s="31" t="str">
        <x:v>guilt</x:v>
      </x:c>
      <x:c r="E175" s="19" t="str">
        <x:v>INTERNET_ARCHIVE_METADATA_TEXT_ITEM_COUNT</x:v>
      </x:c>
      <x:c r="F175" s="28" t="str">
        <x:v>INTERNET_ARCHIVE_ADVANCEDSEARCH_NUMFOUND</x:v>
      </x:c>
      <x:c r="G175" s="31" t="str">
        <x:v>"guilt" AND mediatype:texts</x:v>
      </x:c>
      <x:c r="H175" s="19" t="str">
        <x:v>PHRASE_METADATA_SEARCH</x:v>
      </x:c>
      <x:c r="I175" s="31" t="str">
        <x:v>EXACT_PHRASE</x:v>
      </x:c>
      <x:c r="J175" s="28" t="n">
        <x:v>8299</x:v>
      </x:c>
      <x:c r="K175" s="28" t="n">
        <x:v>24</x:v>
      </x:c>
      <x:c r="L175" s="28" t="n">
        <x:v>86</x:v>
      </x:c>
      <x:c r="M175" s="31" t="str">
        <x:v>COMPLETED_NONZERO</x:v>
      </x:c>
      <x:c r="N175" s="43" t="str">
        <x:v>2026-08-26</x:v>
      </x:c>
      <x:c r="O175" s="31" t="str">
        <x:v>https://archive.org/advancedsearch.php</x:v>
      </x:c>
      <x:c r="P175" s="31" t="str">
        <x:v>Metadata text-item count; not a full-text lexical frequency. Secondary metric: NOT_RUN_OPENALEX_DAILY_BUDGET_EXHAUSTED: shared provider response retained; no count fabricated.</x:v>
      </x:c>
      <x:c r="Q175" s="19" t="str">
        <x:v>OPENALEX_WORK_COUNT</x:v>
      </x:c>
      <x:c r="R175" s="20" t="str">
        <x:v>NOT_APPLICABLE</x:v>
      </x:c>
    </x:row>
    <x:row r="176" ht="34" customHeight="1">
      <x:c r="A176" s="25" t="str">
        <x:v>FT-SEED-R1B-P-2022-22</x:v>
      </x:c>
      <x:c r="B176" s="19" t="str">
        <x:v>2022</x:v>
      </x:c>
      <x:c r="C176" s="28" t="n">
        <x:v>22</x:v>
      </x:c>
      <x:c r="D176" s="31" t="str">
        <x:v>heatwaves</x:v>
      </x:c>
      <x:c r="E176" s="19" t="str">
        <x:v>INTERNET_ARCHIVE_METADATA_TEXT_ITEM_COUNT</x:v>
      </x:c>
      <x:c r="F176" s="28" t="str">
        <x:v>INTERNET_ARCHIVE_ADVANCEDSEARCH_NUMFOUND</x:v>
      </x:c>
      <x:c r="G176" s="31" t="str">
        <x:v>"heatwaves" AND mediatype:texts</x:v>
      </x:c>
      <x:c r="H176" s="19" t="str">
        <x:v>PHRASE_METADATA_SEARCH</x:v>
      </x:c>
      <x:c r="I176" s="31" t="str">
        <x:v>EXACT_PHRASE</x:v>
      </x:c>
      <x:c r="J176" s="28" t="n">
        <x:v>115</x:v>
      </x:c>
      <x:c r="K176" s="28" t="n">
        <x:v>15</x:v>
      </x:c>
      <x:c r="L176" s="28" t="n">
        <x:v>26</x:v>
      </x:c>
      <x:c r="M176" s="31" t="str">
        <x:v>COMPLETED_NONZERO</x:v>
      </x:c>
      <x:c r="N176" s="43" t="str">
        <x:v>2026-08-26</x:v>
      </x:c>
      <x:c r="O176" s="31" t="str">
        <x:v>https://archive.org/advancedsearch.php</x:v>
      </x:c>
      <x:c r="P176" s="31" t="str">
        <x:v>Metadata text-item count; not a full-text lexical frequency. Secondary metric: NOT_RUN_OPENALEX_DAILY_BUDGET_EXHAUSTED: shared provider response retained; no count fabricated.</x:v>
      </x:c>
      <x:c r="Q176" s="19" t="str">
        <x:v>OPENALEX_WORK_COUNT</x:v>
      </x:c>
      <x:c r="R176" s="20" t="str">
        <x:v>NOT_APPLICABLE</x:v>
      </x:c>
    </x:row>
    <x:row r="177" ht="34" customHeight="1">
      <x:c r="A177" s="25" t="str">
        <x:v>FT-SEED-R1B-P-2022-23</x:v>
      </x:c>
      <x:c r="B177" s="19" t="str">
        <x:v>2022</x:v>
      </x:c>
      <x:c r="C177" s="28" t="n">
        <x:v>23</x:v>
      </x:c>
      <x:c r="D177" s="31" t="str">
        <x:v>heat-related mortality</x:v>
      </x:c>
      <x:c r="E177" s="19" t="str">
        <x:v>INTERNET_ARCHIVE_METADATA_TEXT_ITEM_COUNT</x:v>
      </x:c>
      <x:c r="F177" s="28" t="str">
        <x:v>INTERNET_ARCHIVE_ADVANCEDSEARCH_NUMFOUND</x:v>
      </x:c>
      <x:c r="G177" s="31" t="str">
        <x:v>"heat-related mortality" AND mediatype:texts</x:v>
      </x:c>
      <x:c r="H177" s="19" t="str">
        <x:v>PHRASE_METADATA_SEARCH</x:v>
      </x:c>
      <x:c r="I177" s="31" t="str">
        <x:v>EXACT_PHRASE</x:v>
      </x:c>
      <x:c r="J177" s="28" t="n">
        <x:v>25</x:v>
      </x:c>
      <x:c r="K177" s="28" t="n">
        <x:v>1</x:v>
      </x:c>
      <x:c r="L177" s="28" t="n">
        <x:v>1</x:v>
      </x:c>
      <x:c r="M177" s="31" t="str">
        <x:v>COMPLETED_NONZERO</x:v>
      </x:c>
      <x:c r="N177" s="43" t="str">
        <x:v>2026-08-26</x:v>
      </x:c>
      <x:c r="O177" s="31" t="str">
        <x:v>https://archive.org/advancedsearch.php</x:v>
      </x:c>
      <x:c r="P177" s="31" t="str">
        <x:v>Metadata text-item count; not a full-text lexical frequency. Secondary metric: NOT_RUN_OPENALEX_DAILY_BUDGET_EXHAUSTED: shared provider response retained; no count fabricated.</x:v>
      </x:c>
      <x:c r="Q177" s="19" t="str">
        <x:v>OPENALEX_WORK_COUNT</x:v>
      </x:c>
      <x:c r="R177" s="20" t="str">
        <x:v>NOT_APPLICABLE</x:v>
      </x:c>
    </x:row>
    <x:row r="178" ht="34" customHeight="1">
      <x:c r="A178" s="25" t="str">
        <x:v>FT-SEED-R1B-P-2022-24</x:v>
      </x:c>
      <x:c r="B178" s="19" t="str">
        <x:v>2022</x:v>
      </x:c>
      <x:c r="C178" s="28" t="n">
        <x:v>24</x:v>
      </x:c>
      <x:c r="D178" s="31" t="str">
        <x:v>mental health challenges</x:v>
      </x:c>
      <x:c r="E178" s="19" t="str">
        <x:v>INTERNET_ARCHIVE_METADATA_TEXT_ITEM_COUNT</x:v>
      </x:c>
      <x:c r="F178" s="28" t="str">
        <x:v>INTERNET_ARCHIVE_ADVANCEDSEARCH_NUMFOUND</x:v>
      </x:c>
      <x:c r="G178" s="31" t="str">
        <x:v>"mental health challenges" AND mediatype:texts</x:v>
      </x:c>
      <x:c r="H178" s="19" t="str">
        <x:v>PHRASE_METADATA_SEARCH</x:v>
      </x:c>
      <x:c r="I178" s="31" t="str">
        <x:v>EXACT_PHRASE</x:v>
      </x:c>
      <x:c r="J178" s="28" t="n">
        <x:v>134</x:v>
      </x:c>
      <x:c r="K178" s="28" t="n">
        <x:v>4</x:v>
      </x:c>
      <x:c r="L178" s="28" t="n">
        <x:v>23</x:v>
      </x:c>
      <x:c r="M178" s="31" t="str">
        <x:v>COMPLETED_NONZERO</x:v>
      </x:c>
      <x:c r="N178" s="43" t="str">
        <x:v>2026-08-26</x:v>
      </x:c>
      <x:c r="O178" s="31" t="str">
        <x:v>https://archive.org/advancedsearch.php</x:v>
      </x:c>
      <x:c r="P178" s="31" t="str">
        <x:v>Metadata text-item count; not a full-text lexical frequency. Secondary metric: NOT_RUN_OPENALEX_DAILY_BUDGET_EXHAUSTED: shared provider response retained; no count fabricated.</x:v>
      </x:c>
      <x:c r="Q178" s="19" t="str">
        <x:v>OPENALEX_WORK_COUNT</x:v>
      </x:c>
      <x:c r="R178" s="20" t="str">
        <x:v>NOT_APPLICABLE</x:v>
      </x:c>
    </x:row>
    <x:row r="179" ht="34" customHeight="1">
      <x:c r="A179" s="25" t="str">
        <x:v>FT-SEED-R1B-P-2022-25</x:v>
      </x:c>
      <x:c r="B179" s="19" t="str">
        <x:v>2022</x:v>
      </x:c>
      <x:c r="C179" s="28" t="n">
        <x:v>25</x:v>
      </x:c>
      <x:c r="D179" s="31" t="str">
        <x:v>anxiety and stress</x:v>
      </x:c>
      <x:c r="E179" s="19" t="str">
        <x:v>INTERNET_ARCHIVE_METADATA_TEXT_ITEM_COUNT</x:v>
      </x:c>
      <x:c r="F179" s="28" t="str">
        <x:v>INTERNET_ARCHIVE_ADVANCEDSEARCH_NUMFOUND</x:v>
      </x:c>
      <x:c r="G179" s="31" t="str">
        <x:v>"anxiety and stress" AND mediatype:texts</x:v>
      </x:c>
      <x:c r="H179" s="19" t="str">
        <x:v>PHRASE_METADATA_SEARCH</x:v>
      </x:c>
      <x:c r="I179" s="31" t="str">
        <x:v>EXACT_PHRASE</x:v>
      </x:c>
      <x:c r="J179" s="28" t="n">
        <x:v>256</x:v>
      </x:c>
      <x:c r="K179" s="28" t="n">
        <x:v>9</x:v>
      </x:c>
      <x:c r="L179" s="28" t="n">
        <x:v>34</x:v>
      </x:c>
      <x:c r="M179" s="31" t="str">
        <x:v>COMPLETED_NONZERO</x:v>
      </x:c>
      <x:c r="N179" s="43" t="str">
        <x:v>2026-08-26</x:v>
      </x:c>
      <x:c r="O179" s="31" t="str">
        <x:v>https://archive.org/advancedsearch.php</x:v>
      </x:c>
      <x:c r="P179" s="31" t="str">
        <x:v>Metadata text-item count; not a full-text lexical frequency. Secondary metric: Scholarly work discoverability count over OpenAlex search fields; not a corpus word frequency.</x:v>
      </x:c>
      <x:c r="Q179" s="19" t="str">
        <x:v>OPENALEX_WORK_COUNT</x:v>
      </x:c>
      <x:c r="R179" s="20" t="str">
        <x:v>122176</x:v>
      </x:c>
    </x:row>
    <x:row r="180" ht="34" customHeight="1">
      <x:c r="A180" s="25" t="str">
        <x:v>FT-SEED-R1B-P-2022-26</x:v>
      </x:c>
      <x:c r="B180" s="19" t="str">
        <x:v>2022</x:v>
      </x:c>
      <x:c r="C180" s="28" t="n">
        <x:v>26</x:v>
      </x:c>
      <x:c r="D180" s="31" t="str">
        <x:v>ill health</x:v>
      </x:c>
      <x:c r="E180" s="19" t="str">
        <x:v>INTERNET_ARCHIVE_METADATA_TEXT_ITEM_COUNT</x:v>
      </x:c>
      <x:c r="F180" s="28" t="str">
        <x:v>INTERNET_ARCHIVE_ADVANCEDSEARCH_NUMFOUND</x:v>
      </x:c>
      <x:c r="G180" s="31" t="str">
        <x:v>"ill health" AND mediatype:texts</x:v>
      </x:c>
      <x:c r="H180" s="19" t="str">
        <x:v>PHRASE_METADATA_SEARCH</x:v>
      </x:c>
      <x:c r="I180" s="31" t="str">
        <x:v>EXACT_PHRASE</x:v>
      </x:c>
      <x:c r="J180" s="28" t="n">
        <x:v>1084</x:v>
      </x:c>
      <x:c r="K180" s="28" t="n">
        <x:v>2</x:v>
      </x:c>
      <x:c r="L180" s="28" t="n">
        <x:v>12</x:v>
      </x:c>
      <x:c r="M180" s="31" t="str">
        <x:v>COMPLETED_NONZERO</x:v>
      </x:c>
      <x:c r="N180" s="43" t="str">
        <x:v>2026-08-26</x:v>
      </x:c>
      <x:c r="O180" s="31" t="str">
        <x:v>https://archive.org/advancedsearch.php</x:v>
      </x:c>
      <x:c r="P180" s="31" t="str">
        <x:v>Metadata text-item count; not a full-text lexical frequency. Secondary metric: NOT_RUN_OPENALEX_DAILY_BUDGET_EXHAUSTED: shared provider response retained; no count fabricated.</x:v>
      </x:c>
      <x:c r="Q180" s="19" t="str">
        <x:v>OPENALEX_WORK_COUNT</x:v>
      </x:c>
      <x:c r="R180" s="20" t="str">
        <x:v>NOT_APPLICABLE</x:v>
      </x:c>
    </x:row>
    <x:row r="181" ht="34" customHeight="1">
      <x:c r="A181" s="25" t="str">
        <x:v>FT-SEED-R1B-P-2022-27</x:v>
      </x:c>
      <x:c r="B181" s="19" t="str">
        <x:v>2022</x:v>
      </x:c>
      <x:c r="C181" s="28" t="n">
        <x:v>27</x:v>
      </x:c>
      <x:c r="D181" s="31" t="str">
        <x:v>premature deaths</x:v>
      </x:c>
      <x:c r="E181" s="19" t="str">
        <x:v>INTERNET_ARCHIVE_METADATA_TEXT_ITEM_COUNT</x:v>
      </x:c>
      <x:c r="F181" s="28" t="str">
        <x:v>INTERNET_ARCHIVE_ADVANCEDSEARCH_NUMFOUND</x:v>
      </x:c>
      <x:c r="G181" s="31" t="str">
        <x:v>"premature deaths" AND mediatype:texts</x:v>
      </x:c>
      <x:c r="H181" s="19" t="str">
        <x:v>PHRASE_METADATA_SEARCH</x:v>
      </x:c>
      <x:c r="I181" s="31" t="str">
        <x:v>EXACT_PHRASE</x:v>
      </x:c>
      <x:c r="J181" s="28" t="n">
        <x:v>61</x:v>
      </x:c>
      <x:c r="K181" s="28" t="n">
        <x:v>5</x:v>
      </x:c>
      <x:c r="L181" s="28" t="n">
        <x:v>7</x:v>
      </x:c>
      <x:c r="M181" s="31" t="str">
        <x:v>COMPLETED_NONZERO</x:v>
      </x:c>
      <x:c r="N181" s="43" t="str">
        <x:v>2026-08-26</x:v>
      </x:c>
      <x:c r="O181" s="31" t="str">
        <x:v>https://archive.org/advancedsearch.php</x:v>
      </x:c>
      <x:c r="P181" s="31" t="str">
        <x:v>Metadata text-item count; not a full-text lexical frequency. Secondary metric: NOT_RUN_OPENALEX_DAILY_BUDGET_EXHAUSTED: shared provider response retained; no count fabricated.</x:v>
      </x:c>
      <x:c r="Q181" s="19" t="str">
        <x:v>OPENALEX_WORK_COUNT</x:v>
      </x:c>
      <x:c r="R181" s="20" t="str">
        <x:v>NOT_APPLICABLE</x:v>
      </x:c>
    </x:row>
    <x:row r="182" ht="34" customHeight="1">
      <x:c r="A182" s="25" t="str">
        <x:v>FT-SEED-R1B-P-2022-28</x:v>
      </x:c>
      <x:c r="B182" s="19" t="str">
        <x:v>2022</x:v>
      </x:c>
      <x:c r="C182" s="28" t="n">
        <x:v>28</x:v>
      </x:c>
      <x:c r="D182" s="31" t="str">
        <x:v>very serious threat</x:v>
      </x:c>
      <x:c r="E182" s="19" t="str">
        <x:v>INTERNET_ARCHIVE_METADATA_TEXT_ITEM_COUNT</x:v>
      </x:c>
      <x:c r="F182" s="28" t="str">
        <x:v>INTERNET_ARCHIVE_ADVANCEDSEARCH_NUMFOUND</x:v>
      </x:c>
      <x:c r="G182" s="31" t="str">
        <x:v>"very serious threat" AND mediatype:texts</x:v>
      </x:c>
      <x:c r="H182" s="19" t="str">
        <x:v>PHRASE_METADATA_SEARCH</x:v>
      </x:c>
      <x:c r="I182" s="31" t="str">
        <x:v>EXACT_PHRASE</x:v>
      </x:c>
      <x:c r="J182" s="28" t="n">
        <x:v>19</x:v>
      </x:c>
      <x:c r="K182" s="28" t="n">
        <x:v>1</x:v>
      </x:c>
      <x:c r="L182" s="28" t="n">
        <x:v>1</x:v>
      </x:c>
      <x:c r="M182" s="31" t="str">
        <x:v>COMPLETED_NONZERO</x:v>
      </x:c>
      <x:c r="N182" s="43" t="str">
        <x:v>2026-08-26</x:v>
      </x:c>
      <x:c r="O182" s="31" t="str">
        <x:v>https://archive.org/advancedsearch.php</x:v>
      </x:c>
      <x:c r="P182" s="31" t="str">
        <x:v>Metadata text-item count; not a full-text lexical frequency. Secondary metric: NOT_RUN_OPENALEX_DAILY_BUDGET_EXHAUSTED: shared provider response retained; no count fabricated.</x:v>
      </x:c>
      <x:c r="Q182" s="19" t="str">
        <x:v>OPENALEX_WORK_COUNT</x:v>
      </x:c>
      <x:c r="R182" s="20" t="str">
        <x:v>NOT_APPLICABLE</x:v>
      </x:c>
    </x:row>
    <x:row r="183" ht="34" customHeight="1">
      <x:c r="A183" s="25" t="str">
        <x:v>FT-SEED-R1B-P-2022-29</x:v>
      </x:c>
      <x:c r="B183" s="19" t="str">
        <x:v>2022</x:v>
      </x:c>
      <x:c r="C183" s="28" t="n">
        <x:v>29</x:v>
      </x:c>
      <x:c r="D183" s="31" t="str">
        <x:v>harm future generations</x:v>
      </x:c>
      <x:c r="E183" s="19" t="str">
        <x:v>INTERNET_ARCHIVE_METADATA_TEXT_ITEM_COUNT</x:v>
      </x:c>
      <x:c r="F183" s="28" t="str">
        <x:v>INTERNET_ARCHIVE_ADVANCEDSEARCH_NUMFOUND</x:v>
      </x:c>
      <x:c r="G183" s="31" t="str">
        <x:v>"harm future generations" AND mediatype:texts</x:v>
      </x:c>
      <x:c r="H183" s="19" t="str">
        <x:v>PHRASE_METADATA_SEARCH</x:v>
      </x:c>
      <x:c r="I183" s="31" t="str">
        <x:v>EXACT_PHRASE</x:v>
      </x:c>
      <x:c r="J183" s="28" t="n">
        <x:v>0</x:v>
      </x:c>
      <x:c r="K183" s="28" t="n">
        <x:v>0</x:v>
      </x:c>
      <x:c r="L183" s="28" t="n">
        <x:v>0</x:v>
      </x:c>
      <x:c r="M183" s="31" t="str">
        <x:v>COMPLETED_ZERO</x:v>
      </x:c>
      <x:c r="N183" s="43" t="str">
        <x:v>2026-08-26</x:v>
      </x:c>
      <x:c r="O183" s="31" t="str">
        <x:v>https://archive.org/advancedsearch.php</x:v>
      </x:c>
      <x:c r="P183" s="31" t="str">
        <x:v>Metadata text-item count; not a full-text lexical frequency. Secondary metric: NOT_RUN_OPENALEX_DAILY_BUDGET_EXHAUSTED: shared provider response retained; no count fabricated.</x:v>
      </x:c>
      <x:c r="Q183" s="19" t="str">
        <x:v>OPENALEX_WORK_COUNT</x:v>
      </x:c>
      <x:c r="R183" s="20" t="str">
        <x:v>NOT_APPLICABLE</x:v>
      </x:c>
    </x:row>
    <x:row r="184" ht="34" customHeight="1">
      <x:c r="A184" s="26" t="str">
        <x:v>FT-SEED-R1B-P-2022-30</x:v>
      </x:c>
      <x:c r="B184" s="22" t="str">
        <x:v>2022</x:v>
      </x:c>
      <x:c r="C184" s="29" t="n">
        <x:v>30</x:v>
      </x:c>
      <x:c r="D184" s="32" t="str">
        <x:v>climate crisis</x:v>
      </x:c>
      <x:c r="E184" s="22" t="str">
        <x:v>INTERNET_ARCHIVE_METADATA_TEXT_ITEM_COUNT</x:v>
      </x:c>
      <x:c r="F184" s="29" t="str">
        <x:v>INTERNET_ARCHIVE_ADVANCEDSEARCH_NUMFOUND</x:v>
      </x:c>
      <x:c r="G184" s="32" t="str">
        <x:v>"climate crisis" AND mediatype:texts</x:v>
      </x:c>
      <x:c r="H184" s="22" t="str">
        <x:v>PHRASE_METADATA_SEARCH</x:v>
      </x:c>
      <x:c r="I184" s="32" t="str">
        <x:v>EXACT_PHRASE</x:v>
      </x:c>
      <x:c r="J184" s="29" t="n">
        <x:v>439</x:v>
      </x:c>
      <x:c r="K184" s="29" t="n">
        <x:v>40</x:v>
      </x:c>
      <x:c r="L184" s="29" t="n">
        <x:v>114</x:v>
      </x:c>
      <x:c r="M184" s="32" t="str">
        <x:v>COMPLETED_NONZERO</x:v>
      </x:c>
      <x:c r="N184" s="44" t="str">
        <x:v>2026-08-26</x:v>
      </x:c>
      <x:c r="O184" s="32" t="str">
        <x:v>https://archive.org/advancedsearch.php</x:v>
      </x:c>
      <x:c r="P184" s="32" t="str">
        <x:v>Metadata text-item count; not a full-text lexical frequency. Secondary metric: Scholarly work discoverability count over OpenAlex search fields; not a corpus word frequency.</x:v>
      </x:c>
      <x:c r="Q184" s="22" t="str">
        <x:v>OPENALEX_WORK_COUNT</x:v>
      </x:c>
      <x:c r="R184" s="23" t="str">
        <x:v>78120</x:v>
      </x:c>
    </x:row>
  </x:sheetData>
  <x:mergeCells>
    <x:mergeCell ref="A1:R1"/>
    <x:mergeCell ref="A2:R2"/>
  </x:mergeCells>
  <x:conditionalFormatting sqref="I5:I184">
    <x:cfRule type="containsText" dxfId="154" priority="1" operator="containsText" text="FULLY"/>
    <x:cfRule type="containsText" dxfId="155" priority="2" operator="containsText" text="SUCCESS"/>
    <x:cfRule type="containsText" dxfId="156" priority="3" operator="containsText" text="DIRECT_HEADWORD"/>
    <x:cfRule type="containsText" dxfId="157" priority="4" operator="containsText" text="TECHNICAL_GLOSSARY"/>
    <x:cfRule type="containsText" dxfId="158" priority="5" operator="containsText" text="ZERO"/>
    <x:cfRule type="containsText" dxfId="159" priority="6" operator="containsText" text="UNRESOLVED"/>
    <x:cfRule type="containsText" dxfId="160" priority="7" operator="containsText" text="PENDING"/>
    <x:cfRule type="containsText" dxfId="161" priority="8" operator="containsText" text="NOT_EXPOSED"/>
    <x:cfRule type="containsText" dxfId="162" priority="9" operator="containsText" text="NOT_ANNOTATED"/>
    <x:cfRule type="containsText" dxfId="163" priority="10" operator="containsText" text="NOT_LOCATED"/>
    <x:cfRule type="containsText" dxfId="164" priority="11" operator="containsText" text="NOT_APPLICABLE"/>
  </x:conditionalFormatting>
  <x:conditionalFormatting sqref="M5:M184">
    <x:cfRule type="containsText" dxfId="165" priority="12" operator="containsText" text="FULLY"/>
    <x:cfRule type="containsText" dxfId="166" priority="13" operator="containsText" text="SUCCESS"/>
    <x:cfRule type="containsText" dxfId="167" priority="14" operator="containsText" text="DIRECT_HEADWORD"/>
    <x:cfRule type="containsText" dxfId="168" priority="15" operator="containsText" text="TECHNICAL_GLOSSARY"/>
    <x:cfRule type="containsText" dxfId="169" priority="16" operator="containsText" text="ZERO"/>
    <x:cfRule type="containsText" dxfId="170" priority="17" operator="containsText" text="UNRESOLVED"/>
    <x:cfRule type="containsText" dxfId="171" priority="18" operator="containsText" text="PENDING"/>
    <x:cfRule type="containsText" dxfId="172" priority="19" operator="containsText" text="NOT_EXPOSED"/>
    <x:cfRule type="containsText" dxfId="173" priority="20" operator="containsText" text="NOT_ANNOTATED"/>
    <x:cfRule type="containsText" dxfId="174" priority="21" operator="containsText" text="NOT_LOCATED"/>
    <x:cfRule type="containsText" dxfId="175" priority="22" operator="containsText" text="NOT_APPLICABLE"/>
  </x:conditionalFormatting>
  <x:pageMargins left="0.7" right="0.7" top="0.75" bottom="0.75" header="0.3" footer="0.3"/>
  <x:tableParts count="1">
    <x:tablePart xmlns:r="http://schemas.openxmlformats.org/officeDocument/2006/relationships" r:id="R12225567bace494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4" hidden="0" customWidth="1"/>
    <x:col min="4" max="4" width="16" hidden="0" customWidth="1"/>
    <x:col min="5" max="5" width="16" hidden="0" customWidth="1"/>
    <x:col min="6" max="6" width="2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23" hidden="0" customWidth="1"/>
    <x:col min="15" max="15" width="23" hidden="0" customWidth="1"/>
    <x:col min="16" max="16" width="16" hidden="0" customWidth="1"/>
    <x:col min="17" max="17" width="42" hidden="0" customWidth="1"/>
    <x:col min="18" max="18" width="42" hidden="0" customWidth="1"/>
  </x:cols>
  <x:sheetData>
    <x:row r="1" ht="38" customHeight="1">
      <x:c r="A1" s="3" t="str">
        <x:v>Provisional Seed Ledger - 396 Provenance-Bearing Records</x:v>
      </x:c>
      <x:c r="B1" s="3" t="str">
        <x:v>Provisional Seed Ledger - 396 Provenance-Bearing Records</x:v>
      </x:c>
      <x:c r="C1" s="3" t="str">
        <x:v>Provisional Seed Ledger - 396 Provenance-Bearing Records</x:v>
      </x:c>
      <x:c r="D1" s="3" t="str">
        <x:v>Provisional Seed Ledger - 396 Provenance-Bearing Records</x:v>
      </x:c>
      <x:c r="E1" s="3" t="str">
        <x:v>Provisional Seed Ledger - 396 Provenance-Bearing Records</x:v>
      </x:c>
      <x:c r="F1" s="3" t="str">
        <x:v>Provisional Seed Ledger - 396 Provenance-Bearing Records</x:v>
      </x:c>
      <x:c r="G1" s="3" t="str">
        <x:v>Provisional Seed Ledger - 396 Provenance-Bearing Records</x:v>
      </x:c>
      <x:c r="H1" s="3" t="str">
        <x:v>Provisional Seed Ledger - 396 Provenance-Bearing Records</x:v>
      </x:c>
      <x:c r="I1" s="3" t="str">
        <x:v>Provisional Seed Ledger - 396 Provenance-Bearing Records</x:v>
      </x:c>
      <x:c r="J1" s="3" t="str">
        <x:v>Provisional Seed Ledger - 396 Provenance-Bearing Records</x:v>
      </x:c>
      <x:c r="K1" s="3" t="str">
        <x:v>Provisional Seed Ledger - 396 Provenance-Bearing Records</x:v>
      </x:c>
      <x:c r="L1" s="3" t="str">
        <x:v>Provisional Seed Ledger - 396 Provenance-Bearing Records</x:v>
      </x:c>
      <x:c r="M1" s="3" t="str">
        <x:v>Provisional Seed Ledger - 396 Provenance-Bearing Records</x:v>
      </x:c>
      <x:c r="N1" s="3" t="str">
        <x:v>Provisional Seed Ledger - 396 Provenance-Bearing Records</x:v>
      </x:c>
      <x:c r="O1" s="3" t="str">
        <x:v>Provisional Seed Ledger - 396 Provenance-Bearing Records</x:v>
      </x:c>
      <x:c r="P1" s="3" t="str">
        <x:v>Provisional Seed Ledger - 396 Provenance-Bearing Records</x:v>
      </x:c>
      <x:c r="Q1" s="3" t="str">
        <x:v>Provisional Seed Ledger - 396 Provenance-Bearing Records</x:v>
      </x:c>
      <x:c r="R1" s="3" t="str">
        <x:v>Provisional Seed Ledger - 396 Provenance-Bearing Records</x:v>
      </x:c>
    </x:row>
    <x:row r="2" ht="31" customHeight="1">
      <x:c r="A2" s="7" t="str">
        <x:v>INITIAL_180 evidence IDs are recovered from the report's Evidence source column. Later voice/mode/source gaps use controlled missingness states; no original candidate IDs are fabricated.</x:v>
      </x:c>
      <x:c r="B2" s="7" t="str">
        <x:v>INITIAL_180 evidence IDs are recovered from the report's Evidence source column. Later voice/mode/source gaps use controlled missingness states; no original candidate IDs are fabricated.</x:v>
      </x:c>
      <x:c r="C2" s="7" t="str">
        <x:v>INITIAL_180 evidence IDs are recovered from the report's Evidence source column. Later voice/mode/source gaps use controlled missingness states; no original candidate IDs are fabricated.</x:v>
      </x:c>
      <x:c r="D2" s="7" t="str">
        <x:v>INITIAL_180 evidence IDs are recovered from the report's Evidence source column. Later voice/mode/source gaps use controlled missingness states; no original candidate IDs are fabricated.</x:v>
      </x:c>
      <x:c r="E2" s="7" t="str">
        <x:v>INITIAL_180 evidence IDs are recovered from the report's Evidence source column. Later voice/mode/source gaps use controlled missingness states; no original candidate IDs are fabricated.</x:v>
      </x:c>
      <x:c r="F2" s="7" t="str">
        <x:v>INITIAL_180 evidence IDs are recovered from the report's Evidence source column. Later voice/mode/source gaps use controlled missingness states; no original candidate IDs are fabricated.</x:v>
      </x:c>
      <x:c r="G2" s="7" t="str">
        <x:v>INITIAL_180 evidence IDs are recovered from the report's Evidence source column. Later voice/mode/source gaps use controlled missingness states; no original candidate IDs are fabricated.</x:v>
      </x:c>
      <x:c r="H2" s="7" t="str">
        <x:v>INITIAL_180 evidence IDs are recovered from the report's Evidence source column. Later voice/mode/source gaps use controlled missingness states; no original candidate IDs are fabricated.</x:v>
      </x:c>
      <x:c r="I2" s="7" t="str">
        <x:v>INITIAL_180 evidence IDs are recovered from the report's Evidence source column. Later voice/mode/source gaps use controlled missingness states; no original candidate IDs are fabricated.</x:v>
      </x:c>
      <x:c r="J2" s="7" t="str">
        <x:v>INITIAL_180 evidence IDs are recovered from the report's Evidence source column. Later voice/mode/source gaps use controlled missingness states; no original candidate IDs are fabricated.</x:v>
      </x:c>
      <x:c r="K2" s="7" t="str">
        <x:v>INITIAL_180 evidence IDs are recovered from the report's Evidence source column. Later voice/mode/source gaps use controlled missingness states; no original candidate IDs are fabricated.</x:v>
      </x:c>
      <x:c r="L2" s="7" t="str">
        <x:v>INITIAL_180 evidence IDs are recovered from the report's Evidence source column. Later voice/mode/source gaps use controlled missingness states; no original candidate IDs are fabricated.</x:v>
      </x:c>
      <x:c r="M2" s="7" t="str">
        <x:v>INITIAL_180 evidence IDs are recovered from the report's Evidence source column. Later voice/mode/source gaps use controlled missingness states; no original candidate IDs are fabricated.</x:v>
      </x:c>
      <x:c r="N2" s="7" t="str">
        <x:v>INITIAL_180 evidence IDs are recovered from the report's Evidence source column. Later voice/mode/source gaps use controlled missingness states; no original candidate IDs are fabricated.</x:v>
      </x:c>
      <x:c r="O2" s="7" t="str">
        <x:v>INITIAL_180 evidence IDs are recovered from the report's Evidence source column. Later voice/mode/source gaps use controlled missingness states; no original candidate IDs are fabricated.</x:v>
      </x:c>
      <x:c r="P2" s="7" t="str">
        <x:v>INITIAL_180 evidence IDs are recovered from the report's Evidence source column. Later voice/mode/source gaps use controlled missingness states; no original candidate IDs are fabricated.</x:v>
      </x:c>
      <x:c r="Q2" s="7" t="str">
        <x:v>INITIAL_180 evidence IDs are recovered from the report's Evidence source column. Later voice/mode/source gaps use controlled missingness states; no original candidate IDs are fabricated.</x:v>
      </x:c>
      <x:c r="R2" s="7" t="str">
        <x:v>INITIAL_180 evidence IDs are recovered from the report's Evidence source column. Later voice/mode/source gaps use controlled missingness states; no original candidate IDs are fabricated.</x:v>
      </x:c>
    </x:row>
    <x:row r="4" ht="42" customHeight="1">
      <x:c r="A4" s="14" t="str">
        <x:v>seed_candidate_id</x:v>
      </x:c>
      <x:c r="B4" s="14" t="str">
        <x:v>originating_seed_stage</x:v>
      </x:c>
      <x:c r="C4" s="14" t="str">
        <x:v>original_candidate_id</x:v>
      </x:c>
      <x:c r="D4" s="14" t="str">
        <x:v>source_page</x:v>
      </x:c>
      <x:c r="E4" s="14" t="str">
        <x:v>anchor_id</x:v>
      </x:c>
      <x:c r="F4" s="14" t="str">
        <x:v>surface_form</x:v>
      </x:c>
      <x:c r="G4" s="14" t="str">
        <x:v>layer_code</x:v>
      </x:c>
      <x:c r="H4" s="14" t="str">
        <x:v>voice_code</x:v>
      </x:c>
      <x:c r="I4" s="14" t="str">
        <x:v>source_id</x:v>
      </x:c>
      <x:c r="J4" s="14" t="str">
        <x:v>expression_mode_code</x:v>
      </x:c>
      <x:c r="K4" s="14" t="str">
        <x:v>original_decision</x:v>
      </x:c>
      <x:c r="L4" s="14" t="str">
        <x:v>confidence_label</x:v>
      </x:c>
      <x:c r="M4" s="14" t="str">
        <x:v>relevance_label</x:v>
      </x:c>
      <x:c r="N4" s="14" t="str">
        <x:v>reconstruction_status</x:v>
      </x:c>
      <x:c r="O4" s="14" t="str">
        <x:v>reconciliation_status</x:v>
      </x:c>
      <x:c r="P4" s="14" t="str">
        <x:v>originating_report</x:v>
      </x:c>
      <x:c r="Q4" s="14" t="str">
        <x:v>provenance_status</x:v>
      </x:c>
      <x:c r="R4" s="14" t="str">
        <x:v>provenance_note</x:v>
      </x:c>
    </x:row>
    <x:row r="5" ht="32" customHeight="1">
      <x:c r="A5" s="15" t="str">
        <x:v>FT-SEED-R1-1842-A-01</x:v>
      </x:c>
      <x:c r="B5" s="16" t="str">
        <x:v>INITIAL_180</x:v>
      </x:c>
      <x:c r="C5" s="30" t="str">
        <x:v>1842-A-01</x:v>
      </x:c>
      <x:c r="D5" s="16" t="str">
        <x:v>4</x:v>
      </x:c>
      <x:c r="E5" s="16" t="str">
        <x:v>FT-A1842</x:v>
      </x:c>
      <x:c r="F5" s="30" t="str">
        <x:v>temperature</x:v>
      </x:c>
      <x:c r="G5" s="16" t="str">
        <x:v>A</x:v>
      </x:c>
      <x:c r="H5" s="16" t="str">
        <x:v>NOT_ANNOTATED_IN_SOURCE</x:v>
      </x:c>
      <x:c r="I5" s="16" t="str">
        <x:v>E1842-1,2</x:v>
      </x:c>
      <x:c r="J5" s="16" t="str">
        <x:v>NOT_ANNOTATED_IN_SOURCE</x:v>
      </x:c>
      <x:c r="K5" s="16" t="str">
        <x:v>CONFIDENCE=Strong;CARRY_FORWARD=Yes</x:v>
      </x:c>
      <x:c r="L5" s="16" t="str">
        <x:v>Strong</x:v>
      </x:c>
      <x:c r="M5" s="16" t="str">
        <x:v>Yes</x:v>
      </x:c>
      <x:c r="N5" s="30" t="str">
        <x:v>RECONSTRUCTED_FROM_REPORT</x:v>
      </x:c>
      <x:c r="O5" s="30" t="str">
        <x:v>RETAIN</x:v>
      </x:c>
      <x:c r="P5" s="16" t="str">
        <x:v>Fear of Temperature_ Historical Lexical Discovery and Anchor Validation.pdf</x:v>
      </x:c>
      <x:c r="Q5" s="30" t="str">
        <x:v>RECONSTRUCTED_FROM_REPORT</x:v>
      </x:c>
      <x:c r="R5" s="45" t="str">
        <x:v>Original candidate ID and row fields reconstructed from the compact narrative PDF table; this is not the missing original structured record.</x:v>
      </x:c>
    </x:row>
    <x:row r="6" ht="32" customHeight="1">
      <x:c r="A6" s="18" t="str">
        <x:v>FT-SEED-R1-1842-A-02</x:v>
      </x:c>
      <x:c r="B6" s="19" t="str">
        <x:v>INITIAL_180</x:v>
      </x:c>
      <x:c r="C6" s="31" t="str">
        <x:v>1842-A-02</x:v>
      </x:c>
      <x:c r="D6" s="19" t="str">
        <x:v>4</x:v>
      </x:c>
      <x:c r="E6" s="19" t="str">
        <x:v>FT-A1842</x:v>
      </x:c>
      <x:c r="F6" s="31" t="str">
        <x:v>mean temperature</x:v>
      </x:c>
      <x:c r="G6" s="19" t="str">
        <x:v>A</x:v>
      </x:c>
      <x:c r="H6" s="19" t="str">
        <x:v>NOT_ANNOTATED_IN_SOURCE</x:v>
      </x:c>
      <x:c r="I6" s="19" t="str">
        <x:v>E1842-1,2</x:v>
      </x:c>
      <x:c r="J6" s="19" t="str">
        <x:v>NOT_ANNOTATED_IN_SOURCE</x:v>
      </x:c>
      <x:c r="K6" s="19" t="str">
        <x:v>CONFIDENCE=Strong;CARRY_FORWARD=Yes</x:v>
      </x:c>
      <x:c r="L6" s="19" t="str">
        <x:v>Strong</x:v>
      </x:c>
      <x:c r="M6" s="19" t="str">
        <x:v>Yes</x:v>
      </x:c>
      <x:c r="N6" s="31" t="str">
        <x:v>RECONSTRUCTED_FROM_REPORT</x:v>
      </x:c>
      <x:c r="O6" s="31" t="str">
        <x:v>RETAIN</x:v>
      </x:c>
      <x:c r="P6" s="19" t="str">
        <x:v>Fear of Temperature_ Historical Lexical Discovery and Anchor Validation.pdf</x:v>
      </x:c>
      <x:c r="Q6" s="31" t="str">
        <x:v>RECONSTRUCTED_FROM_REPORT</x:v>
      </x:c>
      <x:c r="R6" s="46" t="str">
        <x:v>Original candidate ID and row fields reconstructed from the compact narrative PDF table; this is not the missing original structured record.</x:v>
      </x:c>
    </x:row>
    <x:row r="7" ht="32" customHeight="1">
      <x:c r="A7" s="18" t="str">
        <x:v>FT-SEED-R1-1842-A-03</x:v>
      </x:c>
      <x:c r="B7" s="19" t="str">
        <x:v>INITIAL_180</x:v>
      </x:c>
      <x:c r="C7" s="31" t="str">
        <x:v>1842-A-03</x:v>
      </x:c>
      <x:c r="D7" s="19" t="str">
        <x:v>4</x:v>
      </x:c>
      <x:c r="E7" s="19" t="str">
        <x:v>FT-A1842</x:v>
      </x:c>
      <x:c r="F7" s="31" t="str">
        <x:v>high temperature</x:v>
      </x:c>
      <x:c r="G7" s="19" t="str">
        <x:v>A</x:v>
      </x:c>
      <x:c r="H7" s="19" t="str">
        <x:v>NOT_ANNOTATED_IN_SOURCE</x:v>
      </x:c>
      <x:c r="I7" s="19" t="str">
        <x:v>E1842-2</x:v>
      </x:c>
      <x:c r="J7" s="19" t="str">
        <x:v>NOT_ANNOTATED_IN_SOURCE</x:v>
      </x:c>
      <x:c r="K7" s="19" t="str">
        <x:v>CONFIDENCE=Strong;CARRY_FORWARD=Yes</x:v>
      </x:c>
      <x:c r="L7" s="19" t="str">
        <x:v>Strong</x:v>
      </x:c>
      <x:c r="M7" s="19" t="str">
        <x:v>Yes</x:v>
      </x:c>
      <x:c r="N7" s="31" t="str">
        <x:v>RECONSTRUCTED_FROM_REPORT</x:v>
      </x:c>
      <x:c r="O7" s="31" t="str">
        <x:v>RETAIN</x:v>
      </x:c>
      <x:c r="P7" s="19" t="str">
        <x:v>Fear of Temperature_ Historical Lexical Discovery and Anchor Validation.pdf</x:v>
      </x:c>
      <x:c r="Q7" s="31" t="str">
        <x:v>RECONSTRUCTED_FROM_REPORT</x:v>
      </x:c>
      <x:c r="R7" s="46" t="str">
        <x:v>Original candidate ID and row fields reconstructed from the compact narrative PDF table; this is not the missing original structured record.</x:v>
      </x:c>
    </x:row>
    <x:row r="8" ht="32" customHeight="1">
      <x:c r="A8" s="18" t="str">
        <x:v>FT-SEED-R1-1842-A-04</x:v>
      </x:c>
      <x:c r="B8" s="19" t="str">
        <x:v>INITIAL_180</x:v>
      </x:c>
      <x:c r="C8" s="31" t="str">
        <x:v>1842-A-04</x:v>
      </x:c>
      <x:c r="D8" s="19" t="str">
        <x:v>4</x:v>
      </x:c>
      <x:c r="E8" s="19" t="str">
        <x:v>FT-A1842</x:v>
      </x:c>
      <x:c r="F8" s="31" t="str">
        <x:v>heat</x:v>
      </x:c>
      <x:c r="G8" s="19" t="str">
        <x:v>A</x:v>
      </x:c>
      <x:c r="H8" s="19" t="str">
        <x:v>NOT_ANNOTATED_IN_SOURCE</x:v>
      </x:c>
      <x:c r="I8" s="19" t="str">
        <x:v>E1842-3,4</x:v>
      </x:c>
      <x:c r="J8" s="19" t="str">
        <x:v>NOT_ANNOTATED_IN_SOURCE</x:v>
      </x:c>
      <x:c r="K8" s="19" t="str">
        <x:v>CONFIDENCE=Strong;CARRY_FORWARD=Yes</x:v>
      </x:c>
      <x:c r="L8" s="19" t="str">
        <x:v>Strong</x:v>
      </x:c>
      <x:c r="M8" s="19" t="str">
        <x:v>Yes</x:v>
      </x:c>
      <x:c r="N8" s="31" t="str">
        <x:v>RECONSTRUCTED_FROM_REPORT</x:v>
      </x:c>
      <x:c r="O8" s="31" t="str">
        <x:v>RETAIN</x:v>
      </x:c>
      <x:c r="P8" s="19" t="str">
        <x:v>Fear of Temperature_ Historical Lexical Discovery and Anchor Validation.pdf</x:v>
      </x:c>
      <x:c r="Q8" s="31" t="str">
        <x:v>RECONSTRUCTED_FROM_REPORT</x:v>
      </x:c>
      <x:c r="R8" s="46" t="str">
        <x:v>Original candidate ID and row fields reconstructed from the compact narrative PDF table; this is not the missing original structured record.</x:v>
      </x:c>
    </x:row>
    <x:row r="9" ht="32" customHeight="1">
      <x:c r="A9" s="18" t="str">
        <x:v>FT-SEED-R1-1842-A-05</x:v>
      </x:c>
      <x:c r="B9" s="19" t="str">
        <x:v>INITIAL_180</x:v>
      </x:c>
      <x:c r="C9" s="31" t="str">
        <x:v>1842-A-05</x:v>
      </x:c>
      <x:c r="D9" s="19" t="str">
        <x:v>4</x:v>
      </x:c>
      <x:c r="E9" s="19" t="str">
        <x:v>FT-A1842</x:v>
      </x:c>
      <x:c r="F9" s="31" t="str">
        <x:v>great heat</x:v>
      </x:c>
      <x:c r="G9" s="19" t="str">
        <x:v>A</x:v>
      </x:c>
      <x:c r="H9" s="19" t="str">
        <x:v>NOT_ANNOTATED_IN_SOURCE</x:v>
      </x:c>
      <x:c r="I9" s="19" t="str">
        <x:v>E1842-4</x:v>
      </x:c>
      <x:c r="J9" s="19" t="str">
        <x:v>NOT_ANNOTATED_IN_SOURCE</x:v>
      </x:c>
      <x:c r="K9" s="19" t="str">
        <x:v>CONFIDENCE=Weak;CARRY_FORWARD=No</x:v>
      </x:c>
      <x:c r="L9" s="19" t="str">
        <x:v>Weak</x:v>
      </x:c>
      <x:c r="M9" s="19" t="str">
        <x:v>No</x:v>
      </x:c>
      <x:c r="N9" s="31" t="str">
        <x:v>RECONSTRUCTED_FROM_REPORT</x:v>
      </x:c>
      <x:c r="O9" s="31" t="str">
        <x:v>EXCLUDE</x:v>
      </x:c>
      <x:c r="P9" s="19" t="str">
        <x:v>Fear of Temperature_ Historical Lexical Discovery and Anchor Validation.pdf</x:v>
      </x:c>
      <x:c r="Q9" s="31" t="str">
        <x:v>RECONSTRUCTED_FROM_REPORT</x:v>
      </x:c>
      <x:c r="R9" s="46" t="str">
        <x:v>Original candidate ID and row fields reconstructed from the compact narrative PDF table; this is not the missing original structured record.</x:v>
      </x:c>
    </x:row>
    <x:row r="10" ht="32" customHeight="1">
      <x:c r="A10" s="18" t="str">
        <x:v>FT-SEED-R1-1842-A-06</x:v>
      </x:c>
      <x:c r="B10" s="19" t="str">
        <x:v>INITIAL_180</x:v>
      </x:c>
      <x:c r="C10" s="31" t="str">
        <x:v>1842-A-06</x:v>
      </x:c>
      <x:c r="D10" s="19" t="str">
        <x:v>4</x:v>
      </x:c>
      <x:c r="E10" s="19" t="str">
        <x:v>FT-A1842</x:v>
      </x:c>
      <x:c r="F10" s="31" t="str">
        <x:v>oppressive heat</x:v>
      </x:c>
      <x:c r="G10" s="19" t="str">
        <x:v>A</x:v>
      </x:c>
      <x:c r="H10" s="19" t="str">
        <x:v>NOT_ANNOTATED_IN_SOURCE</x:v>
      </x:c>
      <x:c r="I10" s="19" t="str">
        <x:v>E1842-1–4</x:v>
      </x:c>
      <x:c r="J10" s="19" t="str">
        <x:v>NOT_ANNOTATED_IN_SOURCE</x:v>
      </x:c>
      <x:c r="K10" s="19" t="str">
        <x:v>CONFIDENCE=Weak;CARRY_FORWARD=Conditional</x:v>
      </x:c>
      <x:c r="L10" s="19" t="str">
        <x:v>Weak</x:v>
      </x:c>
      <x:c r="M10" s="19" t="str">
        <x:v>Conditional</x:v>
      </x:c>
      <x:c r="N10" s="31" t="str">
        <x:v>RECONSTRUCTED_FROM_REPORT</x:v>
      </x:c>
      <x:c r="O10" s="31" t="str">
        <x:v>UNRESOLVED</x:v>
      </x:c>
      <x:c r="P10" s="19" t="str">
        <x:v>Fear of Temperature_ Historical Lexical Discovery and Anchor Validation.pdf</x:v>
      </x:c>
      <x:c r="Q10" s="31" t="str">
        <x:v>RECONSTRUCTED_FROM_REPORT</x:v>
      </x:c>
      <x:c r="R10" s="46" t="str">
        <x:v>Original candidate ID and row fields reconstructed from the compact narrative PDF table; this is not the missing original structured record.</x:v>
      </x:c>
    </x:row>
    <x:row r="11" ht="32" customHeight="1">
      <x:c r="A11" s="18" t="str">
        <x:v>FT-SEED-R1-1842-A-07</x:v>
      </x:c>
      <x:c r="B11" s="19" t="str">
        <x:v>INITIAL_180</x:v>
      </x:c>
      <x:c r="C11" s="31" t="str">
        <x:v>1842-A-07</x:v>
      </x:c>
      <x:c r="D11" s="19" t="str">
        <x:v>5</x:v>
      </x:c>
      <x:c r="E11" s="19" t="str">
        <x:v>FT-A1842</x:v>
      </x:c>
      <x:c r="F11" s="31" t="str">
        <x:v>unusual heat</x:v>
      </x:c>
      <x:c r="G11" s="19" t="str">
        <x:v>A</x:v>
      </x:c>
      <x:c r="H11" s="19" t="str">
        <x:v>NOT_ANNOTATED_IN_SOURCE</x:v>
      </x:c>
      <x:c r="I11" s="19" t="str">
        <x:v>E1842-1–4</x:v>
      </x:c>
      <x:c r="J11" s="19" t="str">
        <x:v>NOT_ANNOTATED_IN_SOURCE</x:v>
      </x:c>
      <x:c r="K11" s="19" t="str">
        <x:v>CONFIDENCE=Weak;CARRY_FORWARD=No</x:v>
      </x:c>
      <x:c r="L11" s="19" t="str">
        <x:v>Weak</x:v>
      </x:c>
      <x:c r="M11" s="19" t="str">
        <x:v>No</x:v>
      </x:c>
      <x:c r="N11" s="31" t="str">
        <x:v>RECONSTRUCTED_FROM_REPORT</x:v>
      </x:c>
      <x:c r="O11" s="31" t="str">
        <x:v>EXCLUDE</x:v>
      </x:c>
      <x:c r="P11" s="19" t="str">
        <x:v>Fear of Temperature_ Historical Lexical Discovery and Anchor Validation.pdf</x:v>
      </x:c>
      <x:c r="Q11" s="31" t="str">
        <x:v>RECONSTRUCTED_FROM_REPORT</x:v>
      </x:c>
      <x:c r="R11" s="46" t="str">
        <x:v>Original candidate ID and row fields reconstructed from the compact narrative PDF table; this is not the missing original structured record.</x:v>
      </x:c>
    </x:row>
    <x:row r="12" ht="32" customHeight="1">
      <x:c r="A12" s="18" t="str">
        <x:v>FT-SEED-R1-1842-A-08</x:v>
      </x:c>
      <x:c r="B12" s="19" t="str">
        <x:v>INITIAL_180</x:v>
      </x:c>
      <x:c r="C12" s="31" t="str">
        <x:v>1842-A-08</x:v>
      </x:c>
      <x:c r="D12" s="19" t="str">
        <x:v>5</x:v>
      </x:c>
      <x:c r="E12" s="19" t="str">
        <x:v>FT-A1842</x:v>
      </x:c>
      <x:c r="F12" s="31" t="str">
        <x:v>too hot and close</x:v>
      </x:c>
      <x:c r="G12" s="19" t="str">
        <x:v>A</x:v>
      </x:c>
      <x:c r="H12" s="19" t="str">
        <x:v>NOT_ANNOTATED_IN_SOURCE</x:v>
      </x:c>
      <x:c r="I12" s="19" t="str">
        <x:v>E1842-3</x:v>
      </x:c>
      <x:c r="J12" s="19" t="str">
        <x:v>NOT_ANNOTATED_IN_SOURCE</x:v>
      </x:c>
      <x:c r="K12" s="19" t="str">
        <x:v>CONFIDENCE=Strong;CARRY_FORWARD=Yes</x:v>
      </x:c>
      <x:c r="L12" s="19" t="str">
        <x:v>Strong</x:v>
      </x:c>
      <x:c r="M12" s="19" t="str">
        <x:v>Yes</x:v>
      </x:c>
      <x:c r="N12" s="31" t="str">
        <x:v>RECONSTRUCTED_FROM_REPORT</x:v>
      </x:c>
      <x:c r="O12" s="31" t="str">
        <x:v>RETAIN</x:v>
      </x:c>
      <x:c r="P12" s="19" t="str">
        <x:v>Fear of Temperature_ Historical Lexical Discovery and Anchor Validation.pdf</x:v>
      </x:c>
      <x:c r="Q12" s="31" t="str">
        <x:v>RECONSTRUCTED_FROM_REPORT</x:v>
      </x:c>
      <x:c r="R12" s="46" t="str">
        <x:v>Original candidate ID and row fields reconstructed from the compact narrative PDF table; this is not the missing original structured record.</x:v>
      </x:c>
    </x:row>
    <x:row r="13" ht="32" customHeight="1">
      <x:c r="A13" s="18" t="str">
        <x:v>FT-SEED-R1-1842-B-01</x:v>
      </x:c>
      <x:c r="B13" s="19" t="str">
        <x:v>INITIAL_180</x:v>
      </x:c>
      <x:c r="C13" s="31" t="str">
        <x:v>1842-B-01</x:v>
      </x:c>
      <x:c r="D13" s="19" t="str">
        <x:v>5</x:v>
      </x:c>
      <x:c r="E13" s="19" t="str">
        <x:v>FT-A1842</x:v>
      </x:c>
      <x:c r="F13" s="31" t="str">
        <x:v>climate</x:v>
      </x:c>
      <x:c r="G13" s="19" t="str">
        <x:v>B</x:v>
      </x:c>
      <x:c r="H13" s="19" t="str">
        <x:v>NOT_ANNOTATED_IN_SOURCE</x:v>
      </x:c>
      <x:c r="I13" s="19" t="str">
        <x:v>E1842-1,5</x:v>
      </x:c>
      <x:c r="J13" s="19" t="str">
        <x:v>NOT_ANNOTATED_IN_SOURCE</x:v>
      </x:c>
      <x:c r="K13" s="19" t="str">
        <x:v>CONFIDENCE=Strong;CARRY_FORWARD=Yes</x:v>
      </x:c>
      <x:c r="L13" s="19" t="str">
        <x:v>Strong</x:v>
      </x:c>
      <x:c r="M13" s="19" t="str">
        <x:v>Yes</x:v>
      </x:c>
      <x:c r="N13" s="31" t="str">
        <x:v>RECONSTRUCTED_FROM_REPORT</x:v>
      </x:c>
      <x:c r="O13" s="31" t="str">
        <x:v>RETAIN</x:v>
      </x:c>
      <x:c r="P13" s="19" t="str">
        <x:v>Fear of Temperature_ Historical Lexical Discovery and Anchor Validation.pdf</x:v>
      </x:c>
      <x:c r="Q13" s="31" t="str">
        <x:v>RECONSTRUCTED_FROM_REPORT</x:v>
      </x:c>
      <x:c r="R13" s="46" t="str">
        <x:v>Original candidate ID and row fields reconstructed from the compact narrative PDF table; this is not the missing original structured record.</x:v>
      </x:c>
    </x:row>
    <x:row r="14" ht="32" customHeight="1">
      <x:c r="A14" s="18" t="str">
        <x:v>FT-SEED-R1-1842-B-02</x:v>
      </x:c>
      <x:c r="B14" s="19" t="str">
        <x:v>INITIAL_180</x:v>
      </x:c>
      <x:c r="C14" s="31" t="str">
        <x:v>1842-B-02</x:v>
      </x:c>
      <x:c r="D14" s="19" t="str">
        <x:v>5</x:v>
      </x:c>
      <x:c r="E14" s="19" t="str">
        <x:v>FT-A1842</x:v>
      </x:c>
      <x:c r="F14" s="31" t="str">
        <x:v>meteorology</x:v>
      </x:c>
      <x:c r="G14" s="19" t="str">
        <x:v>B</x:v>
      </x:c>
      <x:c r="H14" s="19" t="str">
        <x:v>NOT_ANNOTATED_IN_SOURCE</x:v>
      </x:c>
      <x:c r="I14" s="19" t="str">
        <x:v>E1842-1</x:v>
      </x:c>
      <x:c r="J14" s="19" t="str">
        <x:v>NOT_ANNOTATED_IN_SOURCE</x:v>
      </x:c>
      <x:c r="K14" s="19" t="str">
        <x:v>CONFIDENCE=Strong;CARRY_FORWARD=Yes</x:v>
      </x:c>
      <x:c r="L14" s="19" t="str">
        <x:v>Strong</x:v>
      </x:c>
      <x:c r="M14" s="19" t="str">
        <x:v>Yes</x:v>
      </x:c>
      <x:c r="N14" s="31" t="str">
        <x:v>RECONSTRUCTED_FROM_REPORT</x:v>
      </x:c>
      <x:c r="O14" s="31" t="str">
        <x:v>RETAIN</x:v>
      </x:c>
      <x:c r="P14" s="19" t="str">
        <x:v>Fear of Temperature_ Historical Lexical Discovery and Anchor Validation.pdf</x:v>
      </x:c>
      <x:c r="Q14" s="31" t="str">
        <x:v>RECONSTRUCTED_FROM_REPORT</x:v>
      </x:c>
      <x:c r="R14" s="46" t="str">
        <x:v>Original candidate ID and row fields reconstructed from the compact narrative PDF table; this is not the missing original structured record.</x:v>
      </x:c>
    </x:row>
    <x:row r="15" ht="32" customHeight="1">
      <x:c r="A15" s="18" t="str">
        <x:v>FT-SEED-R1-1842-B-03</x:v>
      </x:c>
      <x:c r="B15" s="19" t="str">
        <x:v>INITIAL_180</x:v>
      </x:c>
      <x:c r="C15" s="31" t="str">
        <x:v>1842-B-03</x:v>
      </x:c>
      <x:c r="D15" s="19" t="str">
        <x:v>5</x:v>
      </x:c>
      <x:c r="E15" s="19" t="str">
        <x:v>FT-A1842</x:v>
      </x:c>
      <x:c r="F15" s="31" t="str">
        <x:v>meteorological observations</x:v>
      </x:c>
      <x:c r="G15" s="19" t="str">
        <x:v>B</x:v>
      </x:c>
      <x:c r="H15" s="19" t="str">
        <x:v>NOT_ANNOTATED_IN_SOURCE</x:v>
      </x:c>
      <x:c r="I15" s="19" t="str">
        <x:v>E1842-1,2</x:v>
      </x:c>
      <x:c r="J15" s="19" t="str">
        <x:v>NOT_ANNOTATED_IN_SOURCE</x:v>
      </x:c>
      <x:c r="K15" s="19" t="str">
        <x:v>CONFIDENCE=Strong;CARRY_FORWARD=Yes</x:v>
      </x:c>
      <x:c r="L15" s="19" t="str">
        <x:v>Strong</x:v>
      </x:c>
      <x:c r="M15" s="19" t="str">
        <x:v>Yes</x:v>
      </x:c>
      <x:c r="N15" s="31" t="str">
        <x:v>RECONSTRUCTED_FROM_REPORT</x:v>
      </x:c>
      <x:c r="O15" s="31" t="str">
        <x:v>RETAIN</x:v>
      </x:c>
      <x:c r="P15" s="19" t="str">
        <x:v>Fear of Temperature_ Historical Lexical Discovery and Anchor Validation.pdf</x:v>
      </x:c>
      <x:c r="Q15" s="31" t="str">
        <x:v>RECONSTRUCTED_FROM_REPORT</x:v>
      </x:c>
      <x:c r="R15" s="46" t="str">
        <x:v>Original candidate ID and row fields reconstructed from the compact narrative PDF table; this is not the missing original structured record.</x:v>
      </x:c>
    </x:row>
    <x:row r="16" ht="32" customHeight="1">
      <x:c r="A16" s="18" t="str">
        <x:v>FT-SEED-R1-1842-B-04</x:v>
      </x:c>
      <x:c r="B16" s="19" t="str">
        <x:v>INITIAL_180</x:v>
      </x:c>
      <x:c r="C16" s="31" t="str">
        <x:v>1842-B-04</x:v>
      </x:c>
      <x:c r="D16" s="19" t="str">
        <x:v>5</x:v>
      </x:c>
      <x:c r="E16" s="19" t="str">
        <x:v>FT-A1842</x:v>
      </x:c>
      <x:c r="F16" s="31" t="str">
        <x:v>weather</x:v>
      </x:c>
      <x:c r="G16" s="19" t="str">
        <x:v>B</x:v>
      </x:c>
      <x:c r="H16" s="19" t="str">
        <x:v>NOT_ANNOTATED_IN_SOURCE</x:v>
      </x:c>
      <x:c r="I16" s="19" t="str">
        <x:v>E1842-3</x:v>
      </x:c>
      <x:c r="J16" s="19" t="str">
        <x:v>NOT_ANNOTATED_IN_SOURCE</x:v>
      </x:c>
      <x:c r="K16" s="19" t="str">
        <x:v>CONFIDENCE=Strong;CARRY_FORWARD=Yes</x:v>
      </x:c>
      <x:c r="L16" s="19" t="str">
        <x:v>Strong</x:v>
      </x:c>
      <x:c r="M16" s="19" t="str">
        <x:v>Yes</x:v>
      </x:c>
      <x:c r="N16" s="31" t="str">
        <x:v>RECONSTRUCTED_FROM_REPORT</x:v>
      </x:c>
      <x:c r="O16" s="31" t="str">
        <x:v>RETAIN</x:v>
      </x:c>
      <x:c r="P16" s="19" t="str">
        <x:v>Fear of Temperature_ Historical Lexical Discovery and Anchor Validation.pdf</x:v>
      </x:c>
      <x:c r="Q16" s="31" t="str">
        <x:v>RECONSTRUCTED_FROM_REPORT</x:v>
      </x:c>
      <x:c r="R16" s="46" t="str">
        <x:v>Original candidate ID and row fields reconstructed from the compact narrative PDF table; this is not the missing original structured record.</x:v>
      </x:c>
    </x:row>
    <x:row r="17" ht="32" customHeight="1">
      <x:c r="A17" s="18" t="str">
        <x:v>FT-SEED-R1-1842-B-05</x:v>
      </x:c>
      <x:c r="B17" s="19" t="str">
        <x:v>INITIAL_180</x:v>
      </x:c>
      <x:c r="C17" s="31" t="str">
        <x:v>1842-B-05</x:v>
      </x:c>
      <x:c r="D17" s="19" t="str">
        <x:v>5</x:v>
      </x:c>
      <x:c r="E17" s="19" t="str">
        <x:v>FT-A1842</x:v>
      </x:c>
      <x:c r="F17" s="31" t="str">
        <x:v>atmosphere</x:v>
      </x:c>
      <x:c r="G17" s="19" t="str">
        <x:v>B</x:v>
      </x:c>
      <x:c r="H17" s="19" t="str">
        <x:v>NOT_ANNOTATED_IN_SOURCE</x:v>
      </x:c>
      <x:c r="I17" s="19" t="str">
        <x:v>E1842-1</x:v>
      </x:c>
      <x:c r="J17" s="19" t="str">
        <x:v>NOT_ANNOTATED_IN_SOURCE</x:v>
      </x:c>
      <x:c r="K17" s="19" t="str">
        <x:v>CONFIDENCE=Strong;CARRY_FORWARD=Yes</x:v>
      </x:c>
      <x:c r="L17" s="19" t="str">
        <x:v>Strong</x:v>
      </x:c>
      <x:c r="M17" s="19" t="str">
        <x:v>Yes</x:v>
      </x:c>
      <x:c r="N17" s="31" t="str">
        <x:v>RECONSTRUCTED_FROM_REPORT</x:v>
      </x:c>
      <x:c r="O17" s="31" t="str">
        <x:v>RETAIN</x:v>
      </x:c>
      <x:c r="P17" s="19" t="str">
        <x:v>Fear of Temperature_ Historical Lexical Discovery and Anchor Validation.pdf</x:v>
      </x:c>
      <x:c r="Q17" s="31" t="str">
        <x:v>RECONSTRUCTED_FROM_REPORT</x:v>
      </x:c>
      <x:c r="R17" s="46" t="str">
        <x:v>Original candidate ID and row fields reconstructed from the compact narrative PDF table; this is not the missing original structured record.</x:v>
      </x:c>
    </x:row>
    <x:row r="18" ht="32" customHeight="1">
      <x:c r="A18" s="18" t="str">
        <x:v>FT-SEED-R1-1842-B-06</x:v>
      </x:c>
      <x:c r="B18" s="19" t="str">
        <x:v>INITIAL_180</x:v>
      </x:c>
      <x:c r="C18" s="31" t="str">
        <x:v>1842-B-06</x:v>
      </x:c>
      <x:c r="D18" s="19" t="str">
        <x:v>5</x:v>
      </x:c>
      <x:c r="E18" s="19" t="str">
        <x:v>FT-A1842</x:v>
      </x:c>
      <x:c r="F18" s="31" t="str">
        <x:v>seasons</x:v>
      </x:c>
      <x:c r="G18" s="19" t="str">
        <x:v>B</x:v>
      </x:c>
      <x:c r="H18" s="19" t="str">
        <x:v>NOT_ANNOTATED_IN_SOURCE</x:v>
      </x:c>
      <x:c r="I18" s="19" t="str">
        <x:v>E1842-1</x:v>
      </x:c>
      <x:c r="J18" s="19" t="str">
        <x:v>NOT_ANNOTATED_IN_SOURCE</x:v>
      </x:c>
      <x:c r="K18" s="19" t="str">
        <x:v>CONFIDENCE=Strong;CARRY_FORWARD=Yes</x:v>
      </x:c>
      <x:c r="L18" s="19" t="str">
        <x:v>Strong</x:v>
      </x:c>
      <x:c r="M18" s="19" t="str">
        <x:v>Yes</x:v>
      </x:c>
      <x:c r="N18" s="31" t="str">
        <x:v>RECONSTRUCTED_FROM_REPORT</x:v>
      </x:c>
      <x:c r="O18" s="31" t="str">
        <x:v>RETAIN</x:v>
      </x:c>
      <x:c r="P18" s="19" t="str">
        <x:v>Fear of Temperature_ Historical Lexical Discovery and Anchor Validation.pdf</x:v>
      </x:c>
      <x:c r="Q18" s="31" t="str">
        <x:v>RECONSTRUCTED_FROM_REPORT</x:v>
      </x:c>
      <x:c r="R18" s="46" t="str">
        <x:v>Original candidate ID and row fields reconstructed from the compact narrative PDF table; this is not the missing original structured record.</x:v>
      </x:c>
    </x:row>
    <x:row r="19" ht="32" customHeight="1">
      <x:c r="A19" s="18" t="str">
        <x:v>FT-SEED-R1-1842-B-07</x:v>
      </x:c>
      <x:c r="B19" s="19" t="str">
        <x:v>INITIAL_180</x:v>
      </x:c>
      <x:c r="C19" s="31" t="str">
        <x:v>1842-B-07</x:v>
      </x:c>
      <x:c r="D19" s="19" t="str">
        <x:v>6</x:v>
      </x:c>
      <x:c r="E19" s="19" t="str">
        <x:v>FT-A1842</x:v>
      </x:c>
      <x:c r="F19" s="31" t="str">
        <x:v>climatic influences</x:v>
      </x:c>
      <x:c r="G19" s="19" t="str">
        <x:v>B</x:v>
      </x:c>
      <x:c r="H19" s="19" t="str">
        <x:v>NOT_ANNOTATED_IN_SOURCE</x:v>
      </x:c>
      <x:c r="I19" s="19" t="str">
        <x:v>E1842-6</x:v>
      </x:c>
      <x:c r="J19" s="19" t="str">
        <x:v>NOT_ANNOTATED_IN_SOURCE</x:v>
      </x:c>
      <x:c r="K19" s="19" t="str">
        <x:v>CONFIDENCE=Weak;CARRY_FORWARD=No</x:v>
      </x:c>
      <x:c r="L19" s="19" t="str">
        <x:v>Weak</x:v>
      </x:c>
      <x:c r="M19" s="19" t="str">
        <x:v>No</x:v>
      </x:c>
      <x:c r="N19" s="31" t="str">
        <x:v>RECONSTRUCTED_FROM_REPORT</x:v>
      </x:c>
      <x:c r="O19" s="31" t="str">
        <x:v>EXCLUDE</x:v>
      </x:c>
      <x:c r="P19" s="19" t="str">
        <x:v>Fear of Temperature_ Historical Lexical Discovery and Anchor Validation.pdf</x:v>
      </x:c>
      <x:c r="Q19" s="31" t="str">
        <x:v>RECONSTRUCTED_FROM_REPORT</x:v>
      </x:c>
      <x:c r="R19" s="46" t="str">
        <x:v>Original candidate ID and row fields reconstructed from the compact narrative PDF table; this is not the missing original structured record.</x:v>
      </x:c>
    </x:row>
    <x:row r="20" ht="32" customHeight="1">
      <x:c r="A20" s="18" t="str">
        <x:v>FT-SEED-R1-1842-B-08</x:v>
      </x:c>
      <x:c r="B20" s="19" t="str">
        <x:v>INITIAL_180</x:v>
      </x:c>
      <x:c r="C20" s="31" t="str">
        <x:v>1842-B-08</x:v>
      </x:c>
      <x:c r="D20" s="19" t="str">
        <x:v>6</x:v>
      </x:c>
      <x:c r="E20" s="19" t="str">
        <x:v>FT-A1842</x:v>
      </x:c>
      <x:c r="F20" s="31" t="str">
        <x:v>change of climate</x:v>
      </x:c>
      <x:c r="G20" s="19" t="str">
        <x:v>B</x:v>
      </x:c>
      <x:c r="H20" s="19" t="str">
        <x:v>NOT_ANNOTATED_IN_SOURCE</x:v>
      </x:c>
      <x:c r="I20" s="19" t="str">
        <x:v>E1842-5</x:v>
      </x:c>
      <x:c r="J20" s="19" t="str">
        <x:v>NOT_ANNOTATED_IN_SOURCE</x:v>
      </x:c>
      <x:c r="K20" s="19" t="str">
        <x:v>CONFIDENCE=Moderate;CARRY_FORWARD=Conditional</x:v>
      </x:c>
      <x:c r="L20" s="19" t="str">
        <x:v>Moderate</x:v>
      </x:c>
      <x:c r="M20" s="19" t="str">
        <x:v>Conditional</x:v>
      </x:c>
      <x:c r="N20" s="31" t="str">
        <x:v>RECONSTRUCTED_FROM_REPORT</x:v>
      </x:c>
      <x:c r="O20" s="31" t="str">
        <x:v>UNRESOLVED</x:v>
      </x:c>
      <x:c r="P20" s="19" t="str">
        <x:v>Fear of Temperature_ Historical Lexical Discovery and Anchor Validation.pdf</x:v>
      </x:c>
      <x:c r="Q20" s="31" t="str">
        <x:v>RECONSTRUCTED_FROM_REPORT</x:v>
      </x:c>
      <x:c r="R20" s="46" t="str">
        <x:v>Original candidate ID and row fields reconstructed from the compact narrative PDF table; this is not the missing original structured record.</x:v>
      </x:c>
    </x:row>
    <x:row r="21" ht="32" customHeight="1">
      <x:c r="A21" s="18" t="str">
        <x:v>FT-SEED-R1-1842-C-01</x:v>
      </x:c>
      <x:c r="B21" s="19" t="str">
        <x:v>INITIAL_180</x:v>
      </x:c>
      <x:c r="C21" s="31" t="str">
        <x:v>1842-C-01</x:v>
      </x:c>
      <x:c r="D21" s="19" t="str">
        <x:v>6</x:v>
      </x:c>
      <x:c r="E21" s="19" t="str">
        <x:v>FT-A1842</x:v>
      </x:c>
      <x:c r="F21" s="31" t="str">
        <x:v>fear</x:v>
      </x:c>
      <x:c r="G21" s="19" t="str">
        <x:v>C</x:v>
      </x:c>
      <x:c r="H21" s="19" t="str">
        <x:v>NOT_ANNOTATED_IN_SOURCE</x:v>
      </x:c>
      <x:c r="I21" s="19" t="str">
        <x:v>E1842-3</x:v>
      </x:c>
      <x:c r="J21" s="19" t="str">
        <x:v>NOT_ANNOTATED_IN_SOURCE</x:v>
      </x:c>
      <x:c r="K21" s="19" t="str">
        <x:v>CONFIDENCE=Moderate;CARRY_FORWARD=Conditional</x:v>
      </x:c>
      <x:c r="L21" s="19" t="str">
        <x:v>Moderate</x:v>
      </x:c>
      <x:c r="M21" s="19" t="str">
        <x:v>Conditional</x:v>
      </x:c>
      <x:c r="N21" s="31" t="str">
        <x:v>RECONSTRUCTED_FROM_REPORT</x:v>
      </x:c>
      <x:c r="O21" s="31" t="str">
        <x:v>UNRESOLVED</x:v>
      </x:c>
      <x:c r="P21" s="19" t="str">
        <x:v>Fear of Temperature_ Historical Lexical Discovery and Anchor Validation.pdf</x:v>
      </x:c>
      <x:c r="Q21" s="31" t="str">
        <x:v>RECONSTRUCTED_FROM_REPORT</x:v>
      </x:c>
      <x:c r="R21" s="46" t="str">
        <x:v>Original candidate ID and row fields reconstructed from the compact narrative PDF table; this is not the missing original structured record.</x:v>
      </x:c>
    </x:row>
    <x:row r="22" ht="32" customHeight="1">
      <x:c r="A22" s="18" t="str">
        <x:v>FT-SEED-R1-1842-C-02</x:v>
      </x:c>
      <x:c r="B22" s="19" t="str">
        <x:v>INITIAL_180</x:v>
      </x:c>
      <x:c r="C22" s="31" t="str">
        <x:v>1842-C-02</x:v>
      </x:c>
      <x:c r="D22" s="19" t="str">
        <x:v>6</x:v>
      </x:c>
      <x:c r="E22" s="19" t="str">
        <x:v>FT-A1842</x:v>
      </x:c>
      <x:c r="F22" s="31" t="str">
        <x:v>alarm</x:v>
      </x:c>
      <x:c r="G22" s="19" t="str">
        <x:v>C</x:v>
      </x:c>
      <x:c r="H22" s="19" t="str">
        <x:v>NOT_ANNOTATED_IN_SOURCE</x:v>
      </x:c>
      <x:c r="I22" s="19" t="str">
        <x:v>E1842-1–3</x:v>
      </x:c>
      <x:c r="J22" s="19" t="str">
        <x:v>NOT_ANNOTATED_IN_SOURCE</x:v>
      </x:c>
      <x:c r="K22" s="19" t="str">
        <x:v>CONFIDENCE=Weak;CARRY_FORWARD=No</x:v>
      </x:c>
      <x:c r="L22" s="19" t="str">
        <x:v>Weak</x:v>
      </x:c>
      <x:c r="M22" s="19" t="str">
        <x:v>No</x:v>
      </x:c>
      <x:c r="N22" s="31" t="str">
        <x:v>RECONSTRUCTED_FROM_REPORT</x:v>
      </x:c>
      <x:c r="O22" s="31" t="str">
        <x:v>EXCLUDE</x:v>
      </x:c>
      <x:c r="P22" s="19" t="str">
        <x:v>Fear of Temperature_ Historical Lexical Discovery and Anchor Validation.pdf</x:v>
      </x:c>
      <x:c r="Q22" s="31" t="str">
        <x:v>RECONSTRUCTED_FROM_REPORT</x:v>
      </x:c>
      <x:c r="R22" s="46" t="str">
        <x:v>Original candidate ID and row fields reconstructed from the compact narrative PDF table; this is not the missing original structured record.</x:v>
      </x:c>
    </x:row>
    <x:row r="23" ht="32" customHeight="1">
      <x:c r="A23" s="18" t="str">
        <x:v>FT-SEED-R1-1842-C-03</x:v>
      </x:c>
      <x:c r="B23" s="19" t="str">
        <x:v>INITIAL_180</x:v>
      </x:c>
      <x:c r="C23" s="31" t="str">
        <x:v>1842-C-03</x:v>
      </x:c>
      <x:c r="D23" s="19" t="str">
        <x:v>6</x:v>
      </x:c>
      <x:c r="E23" s="19" t="str">
        <x:v>FT-A1842</x:v>
      </x:c>
      <x:c r="F23" s="31" t="str">
        <x:v>anxiety</x:v>
      </x:c>
      <x:c r="G23" s="19" t="str">
        <x:v>C</x:v>
      </x:c>
      <x:c r="H23" s="19" t="str">
        <x:v>NOT_ANNOTATED_IN_SOURCE</x:v>
      </x:c>
      <x:c r="I23" s="19" t="str">
        <x:v>E1842-1–3</x:v>
      </x:c>
      <x:c r="J23" s="19" t="str">
        <x:v>NOT_ANNOTATED_IN_SOURCE</x:v>
      </x:c>
      <x:c r="K23" s="19" t="str">
        <x:v>CONFIDENCE=Weak;CARRY_FORWARD=No</x:v>
      </x:c>
      <x:c r="L23" s="19" t="str">
        <x:v>Weak</x:v>
      </x:c>
      <x:c r="M23" s="19" t="str">
        <x:v>No</x:v>
      </x:c>
      <x:c r="N23" s="31" t="str">
        <x:v>RECONSTRUCTED_FROM_REPORT</x:v>
      </x:c>
      <x:c r="O23" s="31" t="str">
        <x:v>EXCLUDE</x:v>
      </x:c>
      <x:c r="P23" s="19" t="str">
        <x:v>Fear of Temperature_ Historical Lexical Discovery and Anchor Validation.pdf</x:v>
      </x:c>
      <x:c r="Q23" s="31" t="str">
        <x:v>RECONSTRUCTED_FROM_REPORT</x:v>
      </x:c>
      <x:c r="R23" s="46" t="str">
        <x:v>Original candidate ID and row fields reconstructed from the compact narrative PDF table; this is not the missing original structured record.</x:v>
      </x:c>
    </x:row>
    <x:row r="24" ht="32" customHeight="1">
      <x:c r="A24" s="18" t="str">
        <x:v>FT-SEED-R1-1842-C-04</x:v>
      </x:c>
      <x:c r="B24" s="19" t="str">
        <x:v>INITIAL_180</x:v>
      </x:c>
      <x:c r="C24" s="31" t="str">
        <x:v>1842-C-04</x:v>
      </x:c>
      <x:c r="D24" s="19" t="str">
        <x:v>6</x:v>
      </x:c>
      <x:c r="E24" s="19" t="str">
        <x:v>FT-A1842</x:v>
      </x:c>
      <x:c r="F24" s="31" t="str">
        <x:v>apprehension</x:v>
      </x:c>
      <x:c r="G24" s="19" t="str">
        <x:v>C</x:v>
      </x:c>
      <x:c r="H24" s="19" t="str">
        <x:v>NOT_ANNOTATED_IN_SOURCE</x:v>
      </x:c>
      <x:c r="I24" s="19" t="str">
        <x:v>E1842-1–3</x:v>
      </x:c>
      <x:c r="J24" s="19" t="str">
        <x:v>NOT_ANNOTATED_IN_SOURCE</x:v>
      </x:c>
      <x:c r="K24" s="19" t="str">
        <x:v>CONFIDENCE=Weak;CARRY_FORWARD=No</x:v>
      </x:c>
      <x:c r="L24" s="19" t="str">
        <x:v>Weak</x:v>
      </x:c>
      <x:c r="M24" s="19" t="str">
        <x:v>No</x:v>
      </x:c>
      <x:c r="N24" s="31" t="str">
        <x:v>RECONSTRUCTED_FROM_REPORT</x:v>
      </x:c>
      <x:c r="O24" s="31" t="str">
        <x:v>EXCLUDE</x:v>
      </x:c>
      <x:c r="P24" s="19" t="str">
        <x:v>Fear of Temperature_ Historical Lexical Discovery and Anchor Validation.pdf</x:v>
      </x:c>
      <x:c r="Q24" s="31" t="str">
        <x:v>RECONSTRUCTED_FROM_REPORT</x:v>
      </x:c>
      <x:c r="R24" s="46" t="str">
        <x:v>Original candidate ID and row fields reconstructed from the compact narrative PDF table; this is not the missing original structured record.</x:v>
      </x:c>
    </x:row>
    <x:row r="25" ht="32" customHeight="1">
      <x:c r="A25" s="18" t="str">
        <x:v>FT-SEED-R1-1842-C-05</x:v>
      </x:c>
      <x:c r="B25" s="19" t="str">
        <x:v>INITIAL_180</x:v>
      </x:c>
      <x:c r="C25" s="31" t="str">
        <x:v>1842-C-05</x:v>
      </x:c>
      <x:c r="D25" s="19" t="str">
        <x:v>6</x:v>
      </x:c>
      <x:c r="E25" s="19" t="str">
        <x:v>FT-A1842</x:v>
      </x:c>
      <x:c r="F25" s="31" t="str">
        <x:v>dread</x:v>
      </x:c>
      <x:c r="G25" s="19" t="str">
        <x:v>C</x:v>
      </x:c>
      <x:c r="H25" s="19" t="str">
        <x:v>NOT_ANNOTATED_IN_SOURCE</x:v>
      </x:c>
      <x:c r="I25" s="19" t="str">
        <x:v>E1842-1–3</x:v>
      </x:c>
      <x:c r="J25" s="19" t="str">
        <x:v>NOT_ANNOTATED_IN_SOURCE</x:v>
      </x:c>
      <x:c r="K25" s="19" t="str">
        <x:v>CONFIDENCE=Weak;CARRY_FORWARD=No</x:v>
      </x:c>
      <x:c r="L25" s="19" t="str">
        <x:v>Weak</x:v>
      </x:c>
      <x:c r="M25" s="19" t="str">
        <x:v>No</x:v>
      </x:c>
      <x:c r="N25" s="31" t="str">
        <x:v>RECONSTRUCTED_FROM_REPORT</x:v>
      </x:c>
      <x:c r="O25" s="31" t="str">
        <x:v>EXCLUDE</x:v>
      </x:c>
      <x:c r="P25" s="19" t="str">
        <x:v>Fear of Temperature_ Historical Lexical Discovery and Anchor Validation.pdf</x:v>
      </x:c>
      <x:c r="Q25" s="31" t="str">
        <x:v>RECONSTRUCTED_FROM_REPORT</x:v>
      </x:c>
      <x:c r="R25" s="46" t="str">
        <x:v>Original candidate ID and row fields reconstructed from the compact narrative PDF table; this is not the missing original structured record.</x:v>
      </x:c>
    </x:row>
    <x:row r="26" ht="32" customHeight="1">
      <x:c r="A26" s="18" t="str">
        <x:v>FT-SEED-R1-1842-C-06</x:v>
      </x:c>
      <x:c r="B26" s="19" t="str">
        <x:v>INITIAL_180</x:v>
      </x:c>
      <x:c r="C26" s="31" t="str">
        <x:v>1842-C-06</x:v>
      </x:c>
      <x:c r="D26" s="19" t="str">
        <x:v>7</x:v>
      </x:c>
      <x:c r="E26" s="19" t="str">
        <x:v>FT-A1842</x:v>
      </x:c>
      <x:c r="F26" s="31" t="str">
        <x:v>distress</x:v>
      </x:c>
      <x:c r="G26" s="19" t="str">
        <x:v>C</x:v>
      </x:c>
      <x:c r="H26" s="19" t="str">
        <x:v>NOT_ANNOTATED_IN_SOURCE</x:v>
      </x:c>
      <x:c r="I26" s="19" t="str">
        <x:v>E1842-3</x:v>
      </x:c>
      <x:c r="J26" s="19" t="str">
        <x:v>NOT_ANNOTATED_IN_SOURCE</x:v>
      </x:c>
      <x:c r="K26" s="19" t="str">
        <x:v>CONFIDENCE=Weak;CARRY_FORWARD=No</x:v>
      </x:c>
      <x:c r="L26" s="19" t="str">
        <x:v>Weak</x:v>
      </x:c>
      <x:c r="M26" s="19" t="str">
        <x:v>No</x:v>
      </x:c>
      <x:c r="N26" s="31" t="str">
        <x:v>RECONSTRUCTED_FROM_REPORT</x:v>
      </x:c>
      <x:c r="O26" s="31" t="str">
        <x:v>EXCLUDE</x:v>
      </x:c>
      <x:c r="P26" s="19" t="str">
        <x:v>Fear of Temperature_ Historical Lexical Discovery and Anchor Validation.pdf</x:v>
      </x:c>
      <x:c r="Q26" s="31" t="str">
        <x:v>RECONSTRUCTED_FROM_REPORT</x:v>
      </x:c>
      <x:c r="R26" s="46" t="str">
        <x:v>Original candidate ID and row fields reconstructed from the compact narrative PDF table; this is not the missing original structured record.</x:v>
      </x:c>
    </x:row>
    <x:row r="27" ht="32" customHeight="1">
      <x:c r="A27" s="18" t="str">
        <x:v>FT-SEED-R1-1842-C-07</x:v>
      </x:c>
      <x:c r="B27" s="19" t="str">
        <x:v>INITIAL_180</x:v>
      </x:c>
      <x:c r="C27" s="31" t="str">
        <x:v>1842-C-07</x:v>
      </x:c>
      <x:c r="D27" s="19" t="str">
        <x:v>7</x:v>
      </x:c>
      <x:c r="E27" s="19" t="str">
        <x:v>FT-A1842</x:v>
      </x:c>
      <x:c r="F27" s="31" t="str">
        <x:v>relief</x:v>
      </x:c>
      <x:c r="G27" s="19" t="str">
        <x:v>C</x:v>
      </x:c>
      <x:c r="H27" s="19" t="str">
        <x:v>NOT_ANNOTATED_IN_SOURCE</x:v>
      </x:c>
      <x:c r="I27" s="19" t="str">
        <x:v>E1842-3,4</x:v>
      </x:c>
      <x:c r="J27" s="19" t="str">
        <x:v>NOT_ANNOTATED_IN_SOURCE</x:v>
      </x:c>
      <x:c r="K27" s="19" t="str">
        <x:v>CONFIDENCE=Weak;CARRY_FORWARD=Conditional</x:v>
      </x:c>
      <x:c r="L27" s="19" t="str">
        <x:v>Weak</x:v>
      </x:c>
      <x:c r="M27" s="19" t="str">
        <x:v>Conditional</x:v>
      </x:c>
      <x:c r="N27" s="31" t="str">
        <x:v>RECONSTRUCTED_FROM_REPORT</x:v>
      </x:c>
      <x:c r="O27" s="31" t="str">
        <x:v>UNRESOLVED</x:v>
      </x:c>
      <x:c r="P27" s="19" t="str">
        <x:v>Fear of Temperature_ Historical Lexical Discovery and Anchor Validation.pdf</x:v>
      </x:c>
      <x:c r="Q27" s="31" t="str">
        <x:v>RECONSTRUCTED_FROM_REPORT</x:v>
      </x:c>
      <x:c r="R27" s="46" t="str">
        <x:v>Original candidate ID and row fields reconstructed from the compact narrative PDF table; this is not the missing original structured record.</x:v>
      </x:c>
    </x:row>
    <x:row r="28" ht="32" customHeight="1">
      <x:c r="A28" s="18" t="str">
        <x:v>FT-SEED-R1-1842-D-01</x:v>
      </x:c>
      <x:c r="B28" s="19" t="str">
        <x:v>INITIAL_180</x:v>
      </x:c>
      <x:c r="C28" s="31" t="str">
        <x:v>1842-D-01</x:v>
      </x:c>
      <x:c r="D28" s="19" t="str">
        <x:v>7</x:v>
      </x:c>
      <x:c r="E28" s="19" t="str">
        <x:v>FT-A1842</x:v>
      </x:c>
      <x:c r="F28" s="31" t="str">
        <x:v>danger</x:v>
      </x:c>
      <x:c r="G28" s="19" t="str">
        <x:v>D</x:v>
      </x:c>
      <x:c r="H28" s="19" t="str">
        <x:v>NOT_ANNOTATED_IN_SOURCE</x:v>
      </x:c>
      <x:c r="I28" s="19" t="str">
        <x:v>E1842-1–4</x:v>
      </x:c>
      <x:c r="J28" s="19" t="str">
        <x:v>NOT_ANNOTATED_IN_SOURCE</x:v>
      </x:c>
      <x:c r="K28" s="19" t="str">
        <x:v>CONFIDENCE=Weak;CARRY_FORWARD=No</x:v>
      </x:c>
      <x:c r="L28" s="19" t="str">
        <x:v>Weak</x:v>
      </x:c>
      <x:c r="M28" s="19" t="str">
        <x:v>No</x:v>
      </x:c>
      <x:c r="N28" s="31" t="str">
        <x:v>RECONSTRUCTED_FROM_REPORT</x:v>
      </x:c>
      <x:c r="O28" s="31" t="str">
        <x:v>EXCLUDE</x:v>
      </x:c>
      <x:c r="P28" s="19" t="str">
        <x:v>Fear of Temperature_ Historical Lexical Discovery and Anchor Validation.pdf</x:v>
      </x:c>
      <x:c r="Q28" s="31" t="str">
        <x:v>RECONSTRUCTED_FROM_REPORT</x:v>
      </x:c>
      <x:c r="R28" s="46" t="str">
        <x:v>Original candidate ID and row fields reconstructed from the compact narrative PDF table; this is not the missing original structured record.</x:v>
      </x:c>
    </x:row>
    <x:row r="29" ht="32" customHeight="1">
      <x:c r="A29" s="18" t="str">
        <x:v>FT-SEED-R1-1842-D-02</x:v>
      </x:c>
      <x:c r="B29" s="19" t="str">
        <x:v>INITIAL_180</x:v>
      </x:c>
      <x:c r="C29" s="31" t="str">
        <x:v>1842-D-02</x:v>
      </x:c>
      <x:c r="D29" s="19" t="str">
        <x:v>7</x:v>
      </x:c>
      <x:c r="E29" s="19" t="str">
        <x:v>FT-A1842</x:v>
      </x:c>
      <x:c r="F29" s="31" t="str">
        <x:v>serious importance</x:v>
      </x:c>
      <x:c r="G29" s="19" t="str">
        <x:v>D</x:v>
      </x:c>
      <x:c r="H29" s="19" t="str">
        <x:v>NOT_ANNOTATED_IN_SOURCE</x:v>
      </x:c>
      <x:c r="I29" s="19" t="str">
        <x:v>E1842-3</x:v>
      </x:c>
      <x:c r="J29" s="19" t="str">
        <x:v>NOT_ANNOTATED_IN_SOURCE</x:v>
      </x:c>
      <x:c r="K29" s="19" t="str">
        <x:v>CONFIDENCE=Strong;CARRY_FORWARD=Conditional</x:v>
      </x:c>
      <x:c r="L29" s="19" t="str">
        <x:v>Strong</x:v>
      </x:c>
      <x:c r="M29" s="19" t="str">
        <x:v>Conditional</x:v>
      </x:c>
      <x:c r="N29" s="31" t="str">
        <x:v>RECONSTRUCTED_FROM_REPORT</x:v>
      </x:c>
      <x:c r="O29" s="31" t="str">
        <x:v>UNRESOLVED</x:v>
      </x:c>
      <x:c r="P29" s="19" t="str">
        <x:v>Fear of Temperature_ Historical Lexical Discovery and Anchor Validation.pdf</x:v>
      </x:c>
      <x:c r="Q29" s="31" t="str">
        <x:v>RECONSTRUCTED_FROM_REPORT</x:v>
      </x:c>
      <x:c r="R29" s="46" t="str">
        <x:v>Original candidate ID and row fields reconstructed from the compact narrative PDF table; this is not the missing original structured record.</x:v>
      </x:c>
    </x:row>
    <x:row r="30" ht="32" customHeight="1">
      <x:c r="A30" s="18" t="str">
        <x:v>FT-SEED-R1-1842-D-03</x:v>
      </x:c>
      <x:c r="B30" s="19" t="str">
        <x:v>INITIAL_180</x:v>
      </x:c>
      <x:c r="C30" s="31" t="str">
        <x:v>1842-D-03</x:v>
      </x:c>
      <x:c r="D30" s="19" t="str">
        <x:v>7</x:v>
      </x:c>
      <x:c r="E30" s="19" t="str">
        <x:v>FT-A1842</x:v>
      </x:c>
      <x:c r="F30" s="31" t="str">
        <x:v>illness</x:v>
      </x:c>
      <x:c r="G30" s="19" t="str">
        <x:v>D</x:v>
      </x:c>
      <x:c r="H30" s="19" t="str">
        <x:v>NOT_ANNOTATED_IN_SOURCE</x:v>
      </x:c>
      <x:c r="I30" s="19" t="str">
        <x:v>E1842-4</x:v>
      </x:c>
      <x:c r="J30" s="19" t="str">
        <x:v>NOT_ANNOTATED_IN_SOURCE</x:v>
      </x:c>
      <x:c r="K30" s="19" t="str">
        <x:v>CONFIDENCE=Moderate;CARRY_FORWARD=Conditional</x:v>
      </x:c>
      <x:c r="L30" s="19" t="str">
        <x:v>Moderate</x:v>
      </x:c>
      <x:c r="M30" s="19" t="str">
        <x:v>Conditional</x:v>
      </x:c>
      <x:c r="N30" s="31" t="str">
        <x:v>RECONSTRUCTED_FROM_REPORT</x:v>
      </x:c>
      <x:c r="O30" s="31" t="str">
        <x:v>UNRESOLVED</x:v>
      </x:c>
      <x:c r="P30" s="19" t="str">
        <x:v>Fear of Temperature_ Historical Lexical Discovery and Anchor Validation.pdf</x:v>
      </x:c>
      <x:c r="Q30" s="31" t="str">
        <x:v>RECONSTRUCTED_FROM_REPORT</x:v>
      </x:c>
      <x:c r="R30" s="46" t="str">
        <x:v>Original candidate ID and row fields reconstructed from the compact narrative PDF table; this is not the missing original structured record.</x:v>
      </x:c>
    </x:row>
    <x:row r="31" ht="32" customHeight="1">
      <x:c r="A31" s="18" t="str">
        <x:v>FT-SEED-R1-1842-D-04</x:v>
      </x:c>
      <x:c r="B31" s="19" t="str">
        <x:v>INITIAL_180</x:v>
      </x:c>
      <x:c r="C31" s="31" t="str">
        <x:v>1842-D-04</x:v>
      </x:c>
      <x:c r="D31" s="19" t="str">
        <x:v>7</x:v>
      </x:c>
      <x:c r="E31" s="19" t="str">
        <x:v>FT-A1842</x:v>
      </x:c>
      <x:c r="F31" s="31" t="str">
        <x:v>death</x:v>
      </x:c>
      <x:c r="G31" s="19" t="str">
        <x:v>D</x:v>
      </x:c>
      <x:c r="H31" s="19" t="str">
        <x:v>NOT_ANNOTATED_IN_SOURCE</x:v>
      </x:c>
      <x:c r="I31" s="19" t="str">
        <x:v>E1842-3</x:v>
      </x:c>
      <x:c r="J31" s="19" t="str">
        <x:v>NOT_ANNOTATED_IN_SOURCE</x:v>
      </x:c>
      <x:c r="K31" s="19" t="str">
        <x:v>CONFIDENCE=Strong;CARRY_FORWARD=Yes</x:v>
      </x:c>
      <x:c r="L31" s="19" t="str">
        <x:v>Strong</x:v>
      </x:c>
      <x:c r="M31" s="19" t="str">
        <x:v>Yes</x:v>
      </x:c>
      <x:c r="N31" s="31" t="str">
        <x:v>RECONSTRUCTED_FROM_REPORT</x:v>
      </x:c>
      <x:c r="O31" s="31" t="str">
        <x:v>RETAIN</x:v>
      </x:c>
      <x:c r="P31" s="19" t="str">
        <x:v>Fear of Temperature_ Historical Lexical Discovery and Anchor Validation.pdf</x:v>
      </x:c>
      <x:c r="Q31" s="31" t="str">
        <x:v>RECONSTRUCTED_FROM_REPORT</x:v>
      </x:c>
      <x:c r="R31" s="46" t="str">
        <x:v>Original candidate ID and row fields reconstructed from the compact narrative PDF table; this is not the missing original structured record.</x:v>
      </x:c>
    </x:row>
    <x:row r="32" ht="32" customHeight="1">
      <x:c r="A32" s="18" t="str">
        <x:v>FT-SEED-R1-1842-D-05</x:v>
      </x:c>
      <x:c r="B32" s="19" t="str">
        <x:v>INITIAL_180</x:v>
      </x:c>
      <x:c r="C32" s="31" t="str">
        <x:v>1842-D-05</x:v>
      </x:c>
      <x:c r="D32" s="19" t="str">
        <x:v>8</x:v>
      </x:c>
      <x:c r="E32" s="19" t="str">
        <x:v>FT-A1842</x:v>
      </x:c>
      <x:c r="F32" s="31" t="str">
        <x:v>loss</x:v>
      </x:c>
      <x:c r="G32" s="19" t="str">
        <x:v>D</x:v>
      </x:c>
      <x:c r="H32" s="19" t="str">
        <x:v>NOT_ANNOTATED_IN_SOURCE</x:v>
      </x:c>
      <x:c r="I32" s="19" t="str">
        <x:v>E1842-3</x:v>
      </x:c>
      <x:c r="J32" s="19" t="str">
        <x:v>NOT_ANNOTATED_IN_SOURCE</x:v>
      </x:c>
      <x:c r="K32" s="19" t="str">
        <x:v>CONFIDENCE=Strong;CARRY_FORWARD=Conditional</x:v>
      </x:c>
      <x:c r="L32" s="19" t="str">
        <x:v>Strong</x:v>
      </x:c>
      <x:c r="M32" s="19" t="str">
        <x:v>Conditional</x:v>
      </x:c>
      <x:c r="N32" s="31" t="str">
        <x:v>RECONSTRUCTED_FROM_REPORT</x:v>
      </x:c>
      <x:c r="O32" s="31" t="str">
        <x:v>UNRESOLVED</x:v>
      </x:c>
      <x:c r="P32" s="19" t="str">
        <x:v>Fear of Temperature_ Historical Lexical Discovery and Anchor Validation.pdf</x:v>
      </x:c>
      <x:c r="Q32" s="31" t="str">
        <x:v>RECONSTRUCTED_FROM_REPORT</x:v>
      </x:c>
      <x:c r="R32" s="46" t="str">
        <x:v>Original candidate ID and row fields reconstructed from the compact narrative PDF table; this is not the missing original structured record.</x:v>
      </x:c>
    </x:row>
    <x:row r="33" ht="32" customHeight="1">
      <x:c r="A33" s="18" t="str">
        <x:v>FT-SEED-R1-1842-D-06</x:v>
      </x:c>
      <x:c r="B33" s="19" t="str">
        <x:v>INITIAL_180</x:v>
      </x:c>
      <x:c r="C33" s="31" t="str">
        <x:v>1842-D-06</x:v>
      </x:c>
      <x:c r="D33" s="19" t="str">
        <x:v>8</x:v>
      </x:c>
      <x:c r="E33" s="19" t="str">
        <x:v>FT-A1842</x:v>
      </x:c>
      <x:c r="F33" s="31" t="str">
        <x:v>damage</x:v>
      </x:c>
      <x:c r="G33" s="19" t="str">
        <x:v>D</x:v>
      </x:c>
      <x:c r="H33" s="19" t="str">
        <x:v>NOT_ANNOTATED_IN_SOURCE</x:v>
      </x:c>
      <x:c r="I33" s="19" t="str">
        <x:v>E1842-3</x:v>
      </x:c>
      <x:c r="J33" s="19" t="str">
        <x:v>NOT_ANNOTATED_IN_SOURCE</x:v>
      </x:c>
      <x:c r="K33" s="19" t="str">
        <x:v>CONFIDENCE=Strong;CARRY_FORWARD=Conditional</x:v>
      </x:c>
      <x:c r="L33" s="19" t="str">
        <x:v>Strong</x:v>
      </x:c>
      <x:c r="M33" s="19" t="str">
        <x:v>Conditional</x:v>
      </x:c>
      <x:c r="N33" s="31" t="str">
        <x:v>RECONSTRUCTED_FROM_REPORT</x:v>
      </x:c>
      <x:c r="O33" s="31" t="str">
        <x:v>UNRESOLVED</x:v>
      </x:c>
      <x:c r="P33" s="19" t="str">
        <x:v>Fear of Temperature_ Historical Lexical Discovery and Anchor Validation.pdf</x:v>
      </x:c>
      <x:c r="Q33" s="31" t="str">
        <x:v>RECONSTRUCTED_FROM_REPORT</x:v>
      </x:c>
      <x:c r="R33" s="46" t="str">
        <x:v>Original candidate ID and row fields reconstructed from the compact narrative PDF table; this is not the missing original structured record.</x:v>
      </x:c>
    </x:row>
    <x:row r="34" ht="32" customHeight="1">
      <x:c r="A34" s="18" t="str">
        <x:v>FT-SEED-R1-1842-D-07</x:v>
      </x:c>
      <x:c r="B34" s="19" t="str">
        <x:v>INITIAL_180</x:v>
      </x:c>
      <x:c r="C34" s="31" t="str">
        <x:v>1842-D-07</x:v>
      </x:c>
      <x:c r="D34" s="19" t="str">
        <x:v>8</x:v>
      </x:c>
      <x:c r="E34" s="19" t="str">
        <x:v>FT-A1842</x:v>
      </x:c>
      <x:c r="F34" s="31" t="str">
        <x:v>heat … caused the death</x:v>
      </x:c>
      <x:c r="G34" s="19" t="str">
        <x:v>D</x:v>
      </x:c>
      <x:c r="H34" s="19" t="str">
        <x:v>NOT_ANNOTATED_IN_SOURCE</x:v>
      </x:c>
      <x:c r="I34" s="19" t="str">
        <x:v>E1842-3</x:v>
      </x:c>
      <x:c r="J34" s="19" t="str">
        <x:v>NOT_ANNOTATED_IN_SOURCE</x:v>
      </x:c>
      <x:c r="K34" s="19" t="str">
        <x:v>CONFIDENCE=Strong;CARRY_FORWARD=Yes</x:v>
      </x:c>
      <x:c r="L34" s="19" t="str">
        <x:v>Strong</x:v>
      </x:c>
      <x:c r="M34" s="19" t="str">
        <x:v>Yes</x:v>
      </x:c>
      <x:c r="N34" s="31" t="str">
        <x:v>RECONSTRUCTED_FROM_REPORT</x:v>
      </x:c>
      <x:c r="O34" s="31" t="str">
        <x:v>RETAIN</x:v>
      </x:c>
      <x:c r="P34" s="19" t="str">
        <x:v>Fear of Temperature_ Historical Lexical Discovery and Anchor Validation.pdf</x:v>
      </x:c>
      <x:c r="Q34" s="31" t="str">
        <x:v>RECONSTRUCTED_FROM_REPORT</x:v>
      </x:c>
      <x:c r="R34" s="46" t="str">
        <x:v>Original candidate ID and row fields reconstructed from the compact narrative PDF table; this is not the missing original structured record.</x:v>
      </x:c>
    </x:row>
    <x:row r="35" ht="32" customHeight="1">
      <x:c r="A35" s="18" t="str">
        <x:v>FT-SEED-R1-1938-A-01</x:v>
      </x:c>
      <x:c r="B35" s="19" t="str">
        <x:v>INITIAL_180</x:v>
      </x:c>
      <x:c r="C35" s="31" t="str">
        <x:v>1938-A-01</x:v>
      </x:c>
      <x:c r="D35" s="19" t="str">
        <x:v>9</x:v>
      </x:c>
      <x:c r="E35" s="19" t="str">
        <x:v>FT-A1938</x:v>
      </x:c>
      <x:c r="F35" s="31" t="str">
        <x:v>temperature</x:v>
      </x:c>
      <x:c r="G35" s="19" t="str">
        <x:v>A</x:v>
      </x:c>
      <x:c r="H35" s="19" t="str">
        <x:v>NOT_ANNOTATED_IN_SOURCE</x:v>
      </x:c>
      <x:c r="I35" s="19" t="str">
        <x:v>E38-1,2</x:v>
      </x:c>
      <x:c r="J35" s="19" t="str">
        <x:v>NOT_ANNOTATED_IN_SOURCE</x:v>
      </x:c>
      <x:c r="K35" s="19" t="str">
        <x:v>CONFIDENCE=Strong;CARRY_FORWARD=Yes</x:v>
      </x:c>
      <x:c r="L35" s="19" t="str">
        <x:v>Strong</x:v>
      </x:c>
      <x:c r="M35" s="19" t="str">
        <x:v>Yes</x:v>
      </x:c>
      <x:c r="N35" s="31" t="str">
        <x:v>RECONSTRUCTED_FROM_REPORT</x:v>
      </x:c>
      <x:c r="O35" s="31" t="str">
        <x:v>RETAIN</x:v>
      </x:c>
      <x:c r="P35" s="19" t="str">
        <x:v>Fear of Temperature_ Historical Lexical Discovery and Anchor Validation.pdf</x:v>
      </x:c>
      <x:c r="Q35" s="31" t="str">
        <x:v>RECONSTRUCTED_FROM_REPORT</x:v>
      </x:c>
      <x:c r="R35" s="46" t="str">
        <x:v>Original candidate ID and row fields reconstructed from the compact narrative PDF table; this is not the missing original structured record.</x:v>
      </x:c>
    </x:row>
    <x:row r="36" ht="32" customHeight="1">
      <x:c r="A36" s="18" t="str">
        <x:v>FT-SEED-R1-1938-A-02</x:v>
      </x:c>
      <x:c r="B36" s="19" t="str">
        <x:v>INITIAL_180</x:v>
      </x:c>
      <x:c r="C36" s="31" t="str">
        <x:v>1938-A-02</x:v>
      </x:c>
      <x:c r="D36" s="19" t="str">
        <x:v>9</x:v>
      </x:c>
      <x:c r="E36" s="19" t="str">
        <x:v>FT-A1938</x:v>
      </x:c>
      <x:c r="F36" s="31" t="str">
        <x:v>mean temperature</x:v>
      </x:c>
      <x:c r="G36" s="19" t="str">
        <x:v>A</x:v>
      </x:c>
      <x:c r="H36" s="19" t="str">
        <x:v>NOT_ANNOTATED_IN_SOURCE</x:v>
      </x:c>
      <x:c r="I36" s="19" t="str">
        <x:v>E38-1</x:v>
      </x:c>
      <x:c r="J36" s="19" t="str">
        <x:v>NOT_ANNOTATED_IN_SOURCE</x:v>
      </x:c>
      <x:c r="K36" s="19" t="str">
        <x:v>CONFIDENCE=Strong;CARRY_FORWARD=Yes</x:v>
      </x:c>
      <x:c r="L36" s="19" t="str">
        <x:v>Strong</x:v>
      </x:c>
      <x:c r="M36" s="19" t="str">
        <x:v>Yes</x:v>
      </x:c>
      <x:c r="N36" s="31" t="str">
        <x:v>RECONSTRUCTED_FROM_REPORT</x:v>
      </x:c>
      <x:c r="O36" s="31" t="str">
        <x:v>RETAIN</x:v>
      </x:c>
      <x:c r="P36" s="19" t="str">
        <x:v>Fear of Temperature_ Historical Lexical Discovery and Anchor Validation.pdf</x:v>
      </x:c>
      <x:c r="Q36" s="31" t="str">
        <x:v>RECONSTRUCTED_FROM_REPORT</x:v>
      </x:c>
      <x:c r="R36" s="46" t="str">
        <x:v>Original candidate ID and row fields reconstructed from the compact narrative PDF table; this is not the missing original structured record.</x:v>
      </x:c>
    </x:row>
    <x:row r="37" ht="32" customHeight="1">
      <x:c r="A37" s="18" t="str">
        <x:v>FT-SEED-R1-1938-A-03</x:v>
      </x:c>
      <x:c r="B37" s="19" t="str">
        <x:v>INITIAL_180</x:v>
      </x:c>
      <x:c r="C37" s="31" t="str">
        <x:v>1938-A-03</x:v>
      </x:c>
      <x:c r="D37" s="19" t="str">
        <x:v>9</x:v>
      </x:c>
      <x:c r="E37" s="19" t="str">
        <x:v>FT-A1938</x:v>
      </x:c>
      <x:c r="F37" s="31" t="str">
        <x:v>world temperatures</x:v>
      </x:c>
      <x:c r="G37" s="19" t="str">
        <x:v>A</x:v>
      </x:c>
      <x:c r="H37" s="19" t="str">
        <x:v>NOT_ANNOTATED_IN_SOURCE</x:v>
      </x:c>
      <x:c r="I37" s="19" t="str">
        <x:v>E38-1</x:v>
      </x:c>
      <x:c r="J37" s="19" t="str">
        <x:v>NOT_ANNOTATED_IN_SOURCE</x:v>
      </x:c>
      <x:c r="K37" s="19" t="str">
        <x:v>CONFIDENCE=Strong;CARRY_FORWARD=Yes</x:v>
      </x:c>
      <x:c r="L37" s="19" t="str">
        <x:v>Strong</x:v>
      </x:c>
      <x:c r="M37" s="19" t="str">
        <x:v>Yes</x:v>
      </x:c>
      <x:c r="N37" s="31" t="str">
        <x:v>RECONSTRUCTED_FROM_REPORT</x:v>
      </x:c>
      <x:c r="O37" s="31" t="str">
        <x:v>RETAIN</x:v>
      </x:c>
      <x:c r="P37" s="19" t="str">
        <x:v>Fear of Temperature_ Historical Lexical Discovery and Anchor Validation.pdf</x:v>
      </x:c>
      <x:c r="Q37" s="31" t="str">
        <x:v>RECONSTRUCTED_FROM_REPORT</x:v>
      </x:c>
      <x:c r="R37" s="46" t="str">
        <x:v>Original candidate ID and row fields reconstructed from the compact narrative PDF table; this is not the missing original structured record.</x:v>
      </x:c>
    </x:row>
    <x:row r="38" ht="32" customHeight="1">
      <x:c r="A38" s="18" t="str">
        <x:v>FT-SEED-R1-1938-A-04</x:v>
      </x:c>
      <x:c r="B38" s="19" t="str">
        <x:v>INITIAL_180</x:v>
      </x:c>
      <x:c r="C38" s="31" t="str">
        <x:v>1938-A-04</x:v>
      </x:c>
      <x:c r="D38" s="19" t="str">
        <x:v>9</x:v>
      </x:c>
      <x:c r="E38" s="19" t="str">
        <x:v>FT-A1938</x:v>
      </x:c>
      <x:c r="F38" s="31" t="str">
        <x:v>temperature increase</x:v>
      </x:c>
      <x:c r="G38" s="19" t="str">
        <x:v>A</x:v>
      </x:c>
      <x:c r="H38" s="19" t="str">
        <x:v>NOT_ANNOTATED_IN_SOURCE</x:v>
      </x:c>
      <x:c r="I38" s="19" t="str">
        <x:v>E38-1</x:v>
      </x:c>
      <x:c r="J38" s="19" t="str">
        <x:v>NOT_ANNOTATED_IN_SOURCE</x:v>
      </x:c>
      <x:c r="K38" s="19" t="str">
        <x:v>CONFIDENCE=Strong;CARRY_FORWARD=Yes</x:v>
      </x:c>
      <x:c r="L38" s="19" t="str">
        <x:v>Strong</x:v>
      </x:c>
      <x:c r="M38" s="19" t="str">
        <x:v>Yes</x:v>
      </x:c>
      <x:c r="N38" s="31" t="str">
        <x:v>RECONSTRUCTED_FROM_REPORT</x:v>
      </x:c>
      <x:c r="O38" s="31" t="str">
        <x:v>RETAIN</x:v>
      </x:c>
      <x:c r="P38" s="19" t="str">
        <x:v>Fear of Temperature_ Historical Lexical Discovery and Anchor Validation.pdf</x:v>
      </x:c>
      <x:c r="Q38" s="31" t="str">
        <x:v>RECONSTRUCTED_FROM_REPORT</x:v>
      </x:c>
      <x:c r="R38" s="46" t="str">
        <x:v>Original candidate ID and row fields reconstructed from the compact narrative PDF table; this is not the missing original structured record.</x:v>
      </x:c>
    </x:row>
    <x:row r="39" ht="32" customHeight="1">
      <x:c r="A39" s="18" t="str">
        <x:v>FT-SEED-R1-1938-A-05</x:v>
      </x:c>
      <x:c r="B39" s="19" t="str">
        <x:v>INITIAL_180</x:v>
      </x:c>
      <x:c r="C39" s="31" t="str">
        <x:v>1938-A-05</x:v>
      </x:c>
      <x:c r="D39" s="19" t="str">
        <x:v>9</x:v>
      </x:c>
      <x:c r="E39" s="19" t="str">
        <x:v>FT-A1938</x:v>
      </x:c>
      <x:c r="F39" s="31" t="str">
        <x:v>rise in temperature</x:v>
      </x:c>
      <x:c r="G39" s="19" t="str">
        <x:v>A</x:v>
      </x:c>
      <x:c r="H39" s="19" t="str">
        <x:v>NOT_ANNOTATED_IN_SOURCE</x:v>
      </x:c>
      <x:c r="I39" s="19" t="str">
        <x:v>E38-2</x:v>
      </x:c>
      <x:c r="J39" s="19" t="str">
        <x:v>NOT_ANNOTATED_IN_SOURCE</x:v>
      </x:c>
      <x:c r="K39" s="19" t="str">
        <x:v>CONFIDENCE=Strong;CARRY_FORWARD=Yes</x:v>
      </x:c>
      <x:c r="L39" s="19" t="str">
        <x:v>Strong</x:v>
      </x:c>
      <x:c r="M39" s="19" t="str">
        <x:v>Yes</x:v>
      </x:c>
      <x:c r="N39" s="31" t="str">
        <x:v>RECONSTRUCTED_FROM_REPORT</x:v>
      </x:c>
      <x:c r="O39" s="31" t="str">
        <x:v>RETAIN</x:v>
      </x:c>
      <x:c r="P39" s="19" t="str">
        <x:v>Fear of Temperature_ Historical Lexical Discovery and Anchor Validation.pdf</x:v>
      </x:c>
      <x:c r="Q39" s="31" t="str">
        <x:v>RECONSTRUCTED_FROM_REPORT</x:v>
      </x:c>
      <x:c r="R39" s="46" t="str">
        <x:v>Original candidate ID and row fields reconstructed from the compact narrative PDF table; this is not the missing original structured record.</x:v>
      </x:c>
    </x:row>
    <x:row r="40" ht="32" customHeight="1">
      <x:c r="A40" s="18" t="str">
        <x:v>FT-SEED-R1-1938-A-06</x:v>
      </x:c>
      <x:c r="B40" s="19" t="str">
        <x:v>INITIAL_180</x:v>
      </x:c>
      <x:c r="C40" s="31" t="str">
        <x:v>1938-A-06</x:v>
      </x:c>
      <x:c r="D40" s="19" t="str">
        <x:v>9</x:v>
      </x:c>
      <x:c r="E40" s="19" t="str">
        <x:v>FT-A1938</x:v>
      </x:c>
      <x:c r="F40" s="31" t="str">
        <x:v>surface temperatures</x:v>
      </x:c>
      <x:c r="G40" s="19" t="str">
        <x:v>A</x:v>
      </x:c>
      <x:c r="H40" s="19" t="str">
        <x:v>NOT_ANNOTATED_IN_SOURCE</x:v>
      </x:c>
      <x:c r="I40" s="19" t="str">
        <x:v>E38-2</x:v>
      </x:c>
      <x:c r="J40" s="19" t="str">
        <x:v>NOT_ANNOTATED_IN_SOURCE</x:v>
      </x:c>
      <x:c r="K40" s="19" t="str">
        <x:v>CONFIDENCE=Strong;CARRY_FORWARD=Yes</x:v>
      </x:c>
      <x:c r="L40" s="19" t="str">
        <x:v>Strong</x:v>
      </x:c>
      <x:c r="M40" s="19" t="str">
        <x:v>Yes</x:v>
      </x:c>
      <x:c r="N40" s="31" t="str">
        <x:v>RECONSTRUCTED_FROM_REPORT</x:v>
      </x:c>
      <x:c r="O40" s="31" t="str">
        <x:v>RETAIN</x:v>
      </x:c>
      <x:c r="P40" s="19" t="str">
        <x:v>Fear of Temperature_ Historical Lexical Discovery and Anchor Validation.pdf</x:v>
      </x:c>
      <x:c r="Q40" s="31" t="str">
        <x:v>RECONSTRUCTED_FROM_REPORT</x:v>
      </x:c>
      <x:c r="R40" s="46" t="str">
        <x:v>Original candidate ID and row fields reconstructed from the compact narrative PDF table; this is not the missing original structured record.</x:v>
      </x:c>
    </x:row>
    <x:row r="41" ht="32" customHeight="1">
      <x:c r="A41" s="18" t="str">
        <x:v>FT-SEED-R1-1938-A-07</x:v>
      </x:c>
      <x:c r="B41" s="19" t="str">
        <x:v>INITIAL_180</x:v>
      </x:c>
      <x:c r="C41" s="31" t="str">
        <x:v>1938-A-07</x:v>
      </x:c>
      <x:c r="D41" s="19" t="str">
        <x:v>10</x:v>
      </x:c>
      <x:c r="E41" s="19" t="str">
        <x:v>FT-A1938</x:v>
      </x:c>
      <x:c r="F41" s="31" t="str">
        <x:v>temperature observations</x:v>
      </x:c>
      <x:c r="G41" s="19" t="str">
        <x:v>A</x:v>
      </x:c>
      <x:c r="H41" s="19" t="str">
        <x:v>NOT_ANNOTATED_IN_SOURCE</x:v>
      </x:c>
      <x:c r="I41" s="19" t="str">
        <x:v>E38-1</x:v>
      </x:c>
      <x:c r="J41" s="19" t="str">
        <x:v>NOT_ANNOTATED_IN_SOURCE</x:v>
      </x:c>
      <x:c r="K41" s="19" t="str">
        <x:v>CONFIDENCE=Strong;CARRY_FORWARD=Yes</x:v>
      </x:c>
      <x:c r="L41" s="19" t="str">
        <x:v>Strong</x:v>
      </x:c>
      <x:c r="M41" s="19" t="str">
        <x:v>Yes</x:v>
      </x:c>
      <x:c r="N41" s="31" t="str">
        <x:v>RECONSTRUCTED_FROM_REPORT</x:v>
      </x:c>
      <x:c r="O41" s="31" t="str">
        <x:v>RETAIN</x:v>
      </x:c>
      <x:c r="P41" s="19" t="str">
        <x:v>Fear of Temperature_ Historical Lexical Discovery and Anchor Validation.pdf</x:v>
      </x:c>
      <x:c r="Q41" s="31" t="str">
        <x:v>RECONSTRUCTED_FROM_REPORT</x:v>
      </x:c>
      <x:c r="R41" s="46" t="str">
        <x:v>Original candidate ID and row fields reconstructed from the compact narrative PDF table; this is not the missing original structured record.</x:v>
      </x:c>
    </x:row>
    <x:row r="42" ht="32" customHeight="1">
      <x:c r="A42" s="18" t="str">
        <x:v>FT-SEED-R1-1938-A-08</x:v>
      </x:c>
      <x:c r="B42" s="19" t="str">
        <x:v>INITIAL_180</x:v>
      </x:c>
      <x:c r="C42" s="31" t="str">
        <x:v>1938-A-08</x:v>
      </x:c>
      <x:c r="D42" s="19" t="str">
        <x:v>10</x:v>
      </x:c>
      <x:c r="E42" s="19" t="str">
        <x:v>FT-A1938</x:v>
      </x:c>
      <x:c r="F42" s="31" t="str">
        <x:v>temperature change</x:v>
      </x:c>
      <x:c r="G42" s="19" t="str">
        <x:v>A</x:v>
      </x:c>
      <x:c r="H42" s="19" t="str">
        <x:v>NOT_ANNOTATED_IN_SOURCE</x:v>
      </x:c>
      <x:c r="I42" s="19" t="str">
        <x:v>E38-2</x:v>
      </x:c>
      <x:c r="J42" s="19" t="str">
        <x:v>NOT_ANNOTATED_IN_SOURCE</x:v>
      </x:c>
      <x:c r="K42" s="19" t="str">
        <x:v>CONFIDENCE=Strong;CARRY_FORWARD=Yes</x:v>
      </x:c>
      <x:c r="L42" s="19" t="str">
        <x:v>Strong</x:v>
      </x:c>
      <x:c r="M42" s="19" t="str">
        <x:v>Yes</x:v>
      </x:c>
      <x:c r="N42" s="31" t="str">
        <x:v>RECONSTRUCTED_FROM_REPORT</x:v>
      </x:c>
      <x:c r="O42" s="31" t="str">
        <x:v>RETAIN</x:v>
      </x:c>
      <x:c r="P42" s="19" t="str">
        <x:v>Fear of Temperature_ Historical Lexical Discovery and Anchor Validation.pdf</x:v>
      </x:c>
      <x:c r="Q42" s="31" t="str">
        <x:v>RECONSTRUCTED_FROM_REPORT</x:v>
      </x:c>
      <x:c r="R42" s="46" t="str">
        <x:v>Original candidate ID and row fields reconstructed from the compact narrative PDF table; this is not the missing original structured record.</x:v>
      </x:c>
    </x:row>
    <x:row r="43" ht="32" customHeight="1">
      <x:c r="A43" s="18" t="str">
        <x:v>FT-SEED-R1-1938-B-01</x:v>
      </x:c>
      <x:c r="B43" s="19" t="str">
        <x:v>INITIAL_180</x:v>
      </x:c>
      <x:c r="C43" s="31" t="str">
        <x:v>1938-B-01</x:v>
      </x:c>
      <x:c r="D43" s="19" t="str">
        <x:v>10</x:v>
      </x:c>
      <x:c r="E43" s="19" t="str">
        <x:v>FT-A1938</x:v>
      </x:c>
      <x:c r="F43" s="31" t="str">
        <x:v>carbon dioxide</x:v>
      </x:c>
      <x:c r="G43" s="19" t="str">
        <x:v>B</x:v>
      </x:c>
      <x:c r="H43" s="19" t="str">
        <x:v>NOT_ANNOTATED_IN_SOURCE</x:v>
      </x:c>
      <x:c r="I43" s="19" t="str">
        <x:v>E38-1,2</x:v>
      </x:c>
      <x:c r="J43" s="19" t="str">
        <x:v>NOT_ANNOTATED_IN_SOURCE</x:v>
      </x:c>
      <x:c r="K43" s="19" t="str">
        <x:v>CONFIDENCE=Strong;CARRY_FORWARD=Yes</x:v>
      </x:c>
      <x:c r="L43" s="19" t="str">
        <x:v>Strong</x:v>
      </x:c>
      <x:c r="M43" s="19" t="str">
        <x:v>Yes</x:v>
      </x:c>
      <x:c r="N43" s="31" t="str">
        <x:v>RECONSTRUCTED_FROM_REPORT</x:v>
      </x:c>
      <x:c r="O43" s="31" t="str">
        <x:v>RETAIN</x:v>
      </x:c>
      <x:c r="P43" s="19" t="str">
        <x:v>Fear of Temperature_ Historical Lexical Discovery and Anchor Validation.pdf</x:v>
      </x:c>
      <x:c r="Q43" s="31" t="str">
        <x:v>RECONSTRUCTED_FROM_REPORT</x:v>
      </x:c>
      <x:c r="R43" s="46" t="str">
        <x:v>Original candidate ID and row fields reconstructed from the compact narrative PDF table; this is not the missing original structured record.</x:v>
      </x:c>
    </x:row>
    <x:row r="44" ht="32" customHeight="1">
      <x:c r="A44" s="18" t="str">
        <x:v>FT-SEED-R1-1938-B-02</x:v>
      </x:c>
      <x:c r="B44" s="19" t="str">
        <x:v>INITIAL_180</x:v>
      </x:c>
      <x:c r="C44" s="31" t="str">
        <x:v>1938-B-02</x:v>
      </x:c>
      <x:c r="D44" s="19" t="str">
        <x:v>10</x:v>
      </x:c>
      <x:c r="E44" s="19" t="str">
        <x:v>FT-A1938</x:v>
      </x:c>
      <x:c r="F44" s="31" t="str">
        <x:v>atmospheric carbon dioxide</x:v>
      </x:c>
      <x:c r="G44" s="19" t="str">
        <x:v>B</x:v>
      </x:c>
      <x:c r="H44" s="19" t="str">
        <x:v>NOT_ANNOTATED_IN_SOURCE</x:v>
      </x:c>
      <x:c r="I44" s="19" t="str">
        <x:v>E38-1–3</x:v>
      </x:c>
      <x:c r="J44" s="19" t="str">
        <x:v>NOT_ANNOTATED_IN_SOURCE</x:v>
      </x:c>
      <x:c r="K44" s="19" t="str">
        <x:v>CONFIDENCE=Strong;CARRY_FORWARD=Yes</x:v>
      </x:c>
      <x:c r="L44" s="19" t="str">
        <x:v>Strong</x:v>
      </x:c>
      <x:c r="M44" s="19" t="str">
        <x:v>Yes</x:v>
      </x:c>
      <x:c r="N44" s="31" t="str">
        <x:v>RECONSTRUCTED_FROM_REPORT</x:v>
      </x:c>
      <x:c r="O44" s="31" t="str">
        <x:v>RETAIN</x:v>
      </x:c>
      <x:c r="P44" s="19" t="str">
        <x:v>Fear of Temperature_ Historical Lexical Discovery and Anchor Validation.pdf</x:v>
      </x:c>
      <x:c r="Q44" s="31" t="str">
        <x:v>RECONSTRUCTED_FROM_REPORT</x:v>
      </x:c>
      <x:c r="R44" s="46" t="str">
        <x:v>Original candidate ID and row fields reconstructed from the compact narrative PDF table; this is not the missing original structured record.</x:v>
      </x:c>
    </x:row>
    <x:row r="45" ht="32" customHeight="1">
      <x:c r="A45" s="18" t="str">
        <x:v>FT-SEED-R1-1938-B-03</x:v>
      </x:c>
      <x:c r="B45" s="19" t="str">
        <x:v>INITIAL_180</x:v>
      </x:c>
      <x:c r="C45" s="31" t="str">
        <x:v>1938-B-03</x:v>
      </x:c>
      <x:c r="D45" s="19" t="str">
        <x:v>10</x:v>
      </x:c>
      <x:c r="E45" s="19" t="str">
        <x:v>FT-A1938</x:v>
      </x:c>
      <x:c r="F45" s="31" t="str">
        <x:v>artificial production of carbon dioxide</x:v>
      </x:c>
      <x:c r="G45" s="19" t="str">
        <x:v>B</x:v>
      </x:c>
      <x:c r="H45" s="19" t="str">
        <x:v>NOT_ANNOTATED_IN_SOURCE</x:v>
      </x:c>
      <x:c r="I45" s="19" t="str">
        <x:v>E38-1</x:v>
      </x:c>
      <x:c r="J45" s="19" t="str">
        <x:v>NOT_ANNOTATED_IN_SOURCE</x:v>
      </x:c>
      <x:c r="K45" s="19" t="str">
        <x:v>CONFIDENCE=Strong;CARRY_FORWARD=Yes</x:v>
      </x:c>
      <x:c r="L45" s="19" t="str">
        <x:v>Strong</x:v>
      </x:c>
      <x:c r="M45" s="19" t="str">
        <x:v>Yes</x:v>
      </x:c>
      <x:c r="N45" s="31" t="str">
        <x:v>RECONSTRUCTED_FROM_REPORT</x:v>
      </x:c>
      <x:c r="O45" s="31" t="str">
        <x:v>RETAIN</x:v>
      </x:c>
      <x:c r="P45" s="19" t="str">
        <x:v>Fear of Temperature_ Historical Lexical Discovery and Anchor Validation.pdf</x:v>
      </x:c>
      <x:c r="Q45" s="31" t="str">
        <x:v>RECONSTRUCTED_FROM_REPORT</x:v>
      </x:c>
      <x:c r="R45" s="46" t="str">
        <x:v>Original candidate ID and row fields reconstructed from the compact narrative PDF table; this is not the missing original structured record.</x:v>
      </x:c>
    </x:row>
    <x:row r="46" ht="32" customHeight="1">
      <x:c r="A46" s="18" t="str">
        <x:v>FT-SEED-R1-1938-B-04</x:v>
      </x:c>
      <x:c r="B46" s="19" t="str">
        <x:v>INITIAL_180</x:v>
      </x:c>
      <x:c r="C46" s="31" t="str">
        <x:v>1938-B-04</x:v>
      </x:c>
      <x:c r="D46" s="19" t="str">
        <x:v>10</x:v>
      </x:c>
      <x:c r="E46" s="19" t="str">
        <x:v>FT-A1938</x:v>
      </x:c>
      <x:c r="F46" s="31" t="str">
        <x:v>atmosphere</x:v>
      </x:c>
      <x:c r="G46" s="19" t="str">
        <x:v>B</x:v>
      </x:c>
      <x:c r="H46" s="19" t="str">
        <x:v>NOT_ANNOTATED_IN_SOURCE</x:v>
      </x:c>
      <x:c r="I46" s="19" t="str">
        <x:v>E38-1,2</x:v>
      </x:c>
      <x:c r="J46" s="19" t="str">
        <x:v>NOT_ANNOTATED_IN_SOURCE</x:v>
      </x:c>
      <x:c r="K46" s="19" t="str">
        <x:v>CONFIDENCE=Strong;CARRY_FORWARD=Yes</x:v>
      </x:c>
      <x:c r="L46" s="19" t="str">
        <x:v>Strong</x:v>
      </x:c>
      <x:c r="M46" s="19" t="str">
        <x:v>Yes</x:v>
      </x:c>
      <x:c r="N46" s="31" t="str">
        <x:v>RECONSTRUCTED_FROM_REPORT</x:v>
      </x:c>
      <x:c r="O46" s="31" t="str">
        <x:v>RETAIN</x:v>
      </x:c>
      <x:c r="P46" s="19" t="str">
        <x:v>Fear of Temperature_ Historical Lexical Discovery and Anchor Validation.pdf</x:v>
      </x:c>
      <x:c r="Q46" s="31" t="str">
        <x:v>RECONSTRUCTED_FROM_REPORT</x:v>
      </x:c>
      <x:c r="R46" s="46" t="str">
        <x:v>Original candidate ID and row fields reconstructed from the compact narrative PDF table; this is not the missing original structured record.</x:v>
      </x:c>
    </x:row>
    <x:row r="47" ht="32" customHeight="1">
      <x:c r="A47" s="18" t="str">
        <x:v>FT-SEED-R1-1938-B-05</x:v>
      </x:c>
      <x:c r="B47" s="19" t="str">
        <x:v>INITIAL_180</x:v>
      </x:c>
      <x:c r="C47" s="31" t="str">
        <x:v>1938-B-05</x:v>
      </x:c>
      <x:c r="D47" s="19" t="str">
        <x:v>10</x:v>
      </x:c>
      <x:c r="E47" s="19" t="str">
        <x:v>FT-A1938</x:v>
      </x:c>
      <x:c r="F47" s="31" t="str">
        <x:v>climate</x:v>
      </x:c>
      <x:c r="G47" s="19" t="str">
        <x:v>B</x:v>
      </x:c>
      <x:c r="H47" s="19" t="str">
        <x:v>NOT_ANNOTATED_IN_SOURCE</x:v>
      </x:c>
      <x:c r="I47" s="19" t="str">
        <x:v>E38-2</x:v>
      </x:c>
      <x:c r="J47" s="19" t="str">
        <x:v>NOT_ANNOTATED_IN_SOURCE</x:v>
      </x:c>
      <x:c r="K47" s="19" t="str">
        <x:v>CONFIDENCE=Strong;CARRY_FORWARD=Yes</x:v>
      </x:c>
      <x:c r="L47" s="19" t="str">
        <x:v>Strong</x:v>
      </x:c>
      <x:c r="M47" s="19" t="str">
        <x:v>Yes</x:v>
      </x:c>
      <x:c r="N47" s="31" t="str">
        <x:v>RECONSTRUCTED_FROM_REPORT</x:v>
      </x:c>
      <x:c r="O47" s="31" t="str">
        <x:v>RETAIN</x:v>
      </x:c>
      <x:c r="P47" s="19" t="str">
        <x:v>Fear of Temperature_ Historical Lexical Discovery and Anchor Validation.pdf</x:v>
      </x:c>
      <x:c r="Q47" s="31" t="str">
        <x:v>RECONSTRUCTED_FROM_REPORT</x:v>
      </x:c>
      <x:c r="R47" s="46" t="str">
        <x:v>Original candidate ID and row fields reconstructed from the compact narrative PDF table; this is not the missing original structured record.</x:v>
      </x:c>
    </x:row>
    <x:row r="48" ht="32" customHeight="1">
      <x:c r="A48" s="18" t="str">
        <x:v>FT-SEED-R1-1938-B-06</x:v>
      </x:c>
      <x:c r="B48" s="19" t="str">
        <x:v>INITIAL_180</x:v>
      </x:c>
      <x:c r="C48" s="31" t="str">
        <x:v>1938-B-06</x:v>
      </x:c>
      <x:c r="D48" s="19" t="str">
        <x:v>10</x:v>
      </x:c>
      <x:c r="E48" s="19" t="str">
        <x:v>FT-A1938</x:v>
      </x:c>
      <x:c r="F48" s="31" t="str">
        <x:v>climatic change</x:v>
      </x:c>
      <x:c r="G48" s="19" t="str">
        <x:v>B</x:v>
      </x:c>
      <x:c r="H48" s="19" t="str">
        <x:v>NOT_ANNOTATED_IN_SOURCE</x:v>
      </x:c>
      <x:c r="I48" s="19" t="str">
        <x:v>E38-2</x:v>
      </x:c>
      <x:c r="J48" s="19" t="str">
        <x:v>NOT_ANNOTATED_IN_SOURCE</x:v>
      </x:c>
      <x:c r="K48" s="19" t="str">
        <x:v>CONFIDENCE=Strong;CARRY_FORWARD=Yes</x:v>
      </x:c>
      <x:c r="L48" s="19" t="str">
        <x:v>Strong</x:v>
      </x:c>
      <x:c r="M48" s="19" t="str">
        <x:v>Yes</x:v>
      </x:c>
      <x:c r="N48" s="31" t="str">
        <x:v>RECONSTRUCTED_FROM_REPORT</x:v>
      </x:c>
      <x:c r="O48" s="31" t="str">
        <x:v>RETAIN</x:v>
      </x:c>
      <x:c r="P48" s="19" t="str">
        <x:v>Fear of Temperature_ Historical Lexical Discovery and Anchor Validation.pdf</x:v>
      </x:c>
      <x:c r="Q48" s="31" t="str">
        <x:v>RECONSTRUCTED_FROM_REPORT</x:v>
      </x:c>
      <x:c r="R48" s="46" t="str">
        <x:v>Original candidate ID and row fields reconstructed from the compact narrative PDF table; this is not the missing original structured record.</x:v>
      </x:c>
    </x:row>
    <x:row r="49" ht="32" customHeight="1">
      <x:c r="A49" s="18" t="str">
        <x:v>FT-SEED-R1-1938-B-07</x:v>
      </x:c>
      <x:c r="B49" s="19" t="str">
        <x:v>INITIAL_180</x:v>
      </x:c>
      <x:c r="C49" s="31" t="str">
        <x:v>1938-B-07</x:v>
      </x:c>
      <x:c r="D49" s="19" t="str">
        <x:v>10</x:v>
      </x:c>
      <x:c r="E49" s="19" t="str">
        <x:v>FT-A1938</x:v>
      </x:c>
      <x:c r="F49" s="31" t="str">
        <x:v>carbon dioxide theory</x:v>
      </x:c>
      <x:c r="G49" s="19" t="str">
        <x:v>B</x:v>
      </x:c>
      <x:c r="H49" s="19" t="str">
        <x:v>NOT_ANNOTATED_IN_SOURCE</x:v>
      </x:c>
      <x:c r="I49" s="19" t="str">
        <x:v>E38-2–4</x:v>
      </x:c>
      <x:c r="J49" s="19" t="str">
        <x:v>NOT_ANNOTATED_IN_SOURCE</x:v>
      </x:c>
      <x:c r="K49" s="19" t="str">
        <x:v>CONFIDENCE=Moderate;CARRY_FORWARD=Conditional</x:v>
      </x:c>
      <x:c r="L49" s="19" t="str">
        <x:v>Moderate</x:v>
      </x:c>
      <x:c r="M49" s="19" t="str">
        <x:v>Conditional</x:v>
      </x:c>
      <x:c r="N49" s="31" t="str">
        <x:v>RECONSTRUCTED_FROM_REPORT</x:v>
      </x:c>
      <x:c r="O49" s="31" t="str">
        <x:v>UNRESOLVED</x:v>
      </x:c>
      <x:c r="P49" s="19" t="str">
        <x:v>Fear of Temperature_ Historical Lexical Discovery and Anchor Validation.pdf</x:v>
      </x:c>
      <x:c r="Q49" s="31" t="str">
        <x:v>RECONSTRUCTED_FROM_REPORT</x:v>
      </x:c>
      <x:c r="R49" s="46" t="str">
        <x:v>Original candidate ID and row fields reconstructed from the compact narrative PDF table; this is not the missing original structured record.</x:v>
      </x:c>
    </x:row>
    <x:row r="50" ht="32" customHeight="1">
      <x:c r="A50" s="18" t="str">
        <x:v>FT-SEED-R1-1938-B-08</x:v>
      </x:c>
      <x:c r="B50" s="19" t="str">
        <x:v>INITIAL_180</x:v>
      </x:c>
      <x:c r="C50" s="31" t="str">
        <x:v>1938-B-08</x:v>
      </x:c>
      <x:c r="D50" s="19" t="str">
        <x:v>11</x:v>
      </x:c>
      <x:c r="E50" s="19" t="str">
        <x:v>FT-A1938</x:v>
      </x:c>
      <x:c r="F50" s="31" t="str">
        <x:v>human agency</x:v>
      </x:c>
      <x:c r="G50" s="19" t="str">
        <x:v>B</x:v>
      </x:c>
      <x:c r="H50" s="19" t="str">
        <x:v>NOT_ANNOTATED_IN_SOURCE</x:v>
      </x:c>
      <x:c r="I50" s="19" t="str">
        <x:v>E38-2</x:v>
      </x:c>
      <x:c r="J50" s="19" t="str">
        <x:v>NOT_ANNOTATED_IN_SOURCE</x:v>
      </x:c>
      <x:c r="K50" s="19" t="str">
        <x:v>CONFIDENCE=Strong;CARRY_FORWARD=Yes</x:v>
      </x:c>
      <x:c r="L50" s="19" t="str">
        <x:v>Strong</x:v>
      </x:c>
      <x:c r="M50" s="19" t="str">
        <x:v>Yes</x:v>
      </x:c>
      <x:c r="N50" s="31" t="str">
        <x:v>RECONSTRUCTED_FROM_REPORT</x:v>
      </x:c>
      <x:c r="O50" s="31" t="str">
        <x:v>RETAIN</x:v>
      </x:c>
      <x:c r="P50" s="19" t="str">
        <x:v>Fear of Temperature_ Historical Lexical Discovery and Anchor Validation.pdf</x:v>
      </x:c>
      <x:c r="Q50" s="31" t="str">
        <x:v>RECONSTRUCTED_FROM_REPORT</x:v>
      </x:c>
      <x:c r="R50" s="46" t="str">
        <x:v>Original candidate ID and row fields reconstructed from the compact narrative PDF table; this is not the missing original structured record.</x:v>
      </x:c>
    </x:row>
    <x:row r="51" ht="32" customHeight="1">
      <x:c r="A51" s="18" t="str">
        <x:v>FT-SEED-R1-1938-C-01</x:v>
      </x:c>
      <x:c r="B51" s="19" t="str">
        <x:v>INITIAL_180</x:v>
      </x:c>
      <x:c r="C51" s="31" t="str">
        <x:v>1938-C-01</x:v>
      </x:c>
      <x:c r="D51" s="19" t="str">
        <x:v>11</x:v>
      </x:c>
      <x:c r="E51" s="19" t="str">
        <x:v>FT-A1938</x:v>
      </x:c>
      <x:c r="F51" s="31" t="str">
        <x:v>doubtful</x:v>
      </x:c>
      <x:c r="G51" s="19" t="str">
        <x:v>C</x:v>
      </x:c>
      <x:c r="H51" s="19" t="str">
        <x:v>NOT_ANNOTATED_IN_SOURCE</x:v>
      </x:c>
      <x:c r="I51" s="19" t="str">
        <x:v>E38-2–4</x:v>
      </x:c>
      <x:c r="J51" s="19" t="str">
        <x:v>NOT_ANNOTATED_IN_SOURCE</x:v>
      </x:c>
      <x:c r="K51" s="19" t="str">
        <x:v>CONFIDENCE=Moderate;CARRY_FORWARD=Conditional</x:v>
      </x:c>
      <x:c r="L51" s="19" t="str">
        <x:v>Moderate</x:v>
      </x:c>
      <x:c r="M51" s="19" t="str">
        <x:v>Conditional</x:v>
      </x:c>
      <x:c r="N51" s="31" t="str">
        <x:v>RECONSTRUCTED_FROM_REPORT</x:v>
      </x:c>
      <x:c r="O51" s="31" t="str">
        <x:v>UNRESOLVED</x:v>
      </x:c>
      <x:c r="P51" s="19" t="str">
        <x:v>Fear of Temperature_ Historical Lexical Discovery and Anchor Validation.pdf</x:v>
      </x:c>
      <x:c r="Q51" s="31" t="str">
        <x:v>RECONSTRUCTED_FROM_REPORT</x:v>
      </x:c>
      <x:c r="R51" s="46" t="str">
        <x:v>Original candidate ID and row fields reconstructed from the compact narrative PDF table; this is not the missing original structured record.</x:v>
      </x:c>
    </x:row>
    <x:row r="52" ht="32" customHeight="1">
      <x:c r="A52" s="18" t="str">
        <x:v>FT-SEED-R1-1938-C-02</x:v>
      </x:c>
      <x:c r="B52" s="19" t="str">
        <x:v>INITIAL_180</x:v>
      </x:c>
      <x:c r="C52" s="31" t="str">
        <x:v>1938-C-02</x:v>
      </x:c>
      <x:c r="D52" s="19" t="str">
        <x:v>11</x:v>
      </x:c>
      <x:c r="E52" s="19" t="str">
        <x:v>FT-A1938</x:v>
      </x:c>
      <x:c r="F52" s="31" t="str">
        <x:v>uncertainty</x:v>
      </x:c>
      <x:c r="G52" s="19" t="str">
        <x:v>C</x:v>
      </x:c>
      <x:c r="H52" s="19" t="str">
        <x:v>NOT_ANNOTATED_IN_SOURCE</x:v>
      </x:c>
      <x:c r="I52" s="19" t="str">
        <x:v>E38-3,4</x:v>
      </x:c>
      <x:c r="J52" s="19" t="str">
        <x:v>NOT_ANNOTATED_IN_SOURCE</x:v>
      </x:c>
      <x:c r="K52" s="19" t="str">
        <x:v>CONFIDENCE=Moderate;CARRY_FORWARD=Conditional</x:v>
      </x:c>
      <x:c r="L52" s="19" t="str">
        <x:v>Moderate</x:v>
      </x:c>
      <x:c r="M52" s="19" t="str">
        <x:v>Conditional</x:v>
      </x:c>
      <x:c r="N52" s="31" t="str">
        <x:v>RECONSTRUCTED_FROM_REPORT</x:v>
      </x:c>
      <x:c r="O52" s="31" t="str">
        <x:v>UNRESOLVED</x:v>
      </x:c>
      <x:c r="P52" s="19" t="str">
        <x:v>Fear of Temperature_ Historical Lexical Discovery and Anchor Validation.pdf</x:v>
      </x:c>
      <x:c r="Q52" s="31" t="str">
        <x:v>RECONSTRUCTED_FROM_REPORT</x:v>
      </x:c>
      <x:c r="R52" s="46" t="str">
        <x:v>Original candidate ID and row fields reconstructed from the compact narrative PDF table; this is not the missing original structured record.</x:v>
      </x:c>
    </x:row>
    <x:row r="53" ht="32" customHeight="1">
      <x:c r="A53" s="18" t="str">
        <x:v>FT-SEED-R1-1938-C-03</x:v>
      </x:c>
      <x:c r="B53" s="19" t="str">
        <x:v>INITIAL_180</x:v>
      </x:c>
      <x:c r="C53" s="31" t="str">
        <x:v>1938-C-03</x:v>
      </x:c>
      <x:c r="D53" s="19" t="str">
        <x:v>11</x:v>
      </x:c>
      <x:c r="E53" s="19" t="str">
        <x:v>FT-A1938</x:v>
      </x:c>
      <x:c r="F53" s="31" t="str">
        <x:v>concern</x:v>
      </x:c>
      <x:c r="G53" s="19" t="str">
        <x:v>C</x:v>
      </x:c>
      <x:c r="H53" s="19" t="str">
        <x:v>NOT_ANNOTATED_IN_SOURCE</x:v>
      </x:c>
      <x:c r="I53" s="19" t="str">
        <x:v>E38-1–4</x:v>
      </x:c>
      <x:c r="J53" s="19" t="str">
        <x:v>NOT_ANNOTATED_IN_SOURCE</x:v>
      </x:c>
      <x:c r="K53" s="19" t="str">
        <x:v>CONFIDENCE=Weak;CARRY_FORWARD=No</x:v>
      </x:c>
      <x:c r="L53" s="19" t="str">
        <x:v>Weak</x:v>
      </x:c>
      <x:c r="M53" s="19" t="str">
        <x:v>No</x:v>
      </x:c>
      <x:c r="N53" s="31" t="str">
        <x:v>RECONSTRUCTED_FROM_REPORT</x:v>
      </x:c>
      <x:c r="O53" s="31" t="str">
        <x:v>EXCLUDE</x:v>
      </x:c>
      <x:c r="P53" s="19" t="str">
        <x:v>Fear of Temperature_ Historical Lexical Discovery and Anchor Validation.pdf</x:v>
      </x:c>
      <x:c r="Q53" s="31" t="str">
        <x:v>RECONSTRUCTED_FROM_REPORT</x:v>
      </x:c>
      <x:c r="R53" s="46" t="str">
        <x:v>Original candidate ID and row fields reconstructed from the compact narrative PDF table; this is not the missing original structured record.</x:v>
      </x:c>
    </x:row>
    <x:row r="54" ht="32" customHeight="1">
      <x:c r="A54" s="18" t="str">
        <x:v>FT-SEED-R1-1938-C-04</x:v>
      </x:c>
      <x:c r="B54" s="19" t="str">
        <x:v>INITIAL_180</x:v>
      </x:c>
      <x:c r="C54" s="31" t="str">
        <x:v>1938-C-04</x:v>
      </x:c>
      <x:c r="D54" s="19" t="str">
        <x:v>11</x:v>
      </x:c>
      <x:c r="E54" s="19" t="str">
        <x:v>FT-A1938</x:v>
      </x:c>
      <x:c r="F54" s="31" t="str">
        <x:v>fear</x:v>
      </x:c>
      <x:c r="G54" s="19" t="str">
        <x:v>C</x:v>
      </x:c>
      <x:c r="H54" s="19" t="str">
        <x:v>NOT_ANNOTATED_IN_SOURCE</x:v>
      </x:c>
      <x:c r="I54" s="19" t="str">
        <x:v>E38-1–4</x:v>
      </x:c>
      <x:c r="J54" s="19" t="str">
        <x:v>NOT_ANNOTATED_IN_SOURCE</x:v>
      </x:c>
      <x:c r="K54" s="19" t="str">
        <x:v>CONFIDENCE=Weak;CARRY_FORWARD=No</x:v>
      </x:c>
      <x:c r="L54" s="19" t="str">
        <x:v>Weak</x:v>
      </x:c>
      <x:c r="M54" s="19" t="str">
        <x:v>No</x:v>
      </x:c>
      <x:c r="N54" s="31" t="str">
        <x:v>RECONSTRUCTED_FROM_REPORT</x:v>
      </x:c>
      <x:c r="O54" s="31" t="str">
        <x:v>EXCLUDE</x:v>
      </x:c>
      <x:c r="P54" s="19" t="str">
        <x:v>Fear of Temperature_ Historical Lexical Discovery and Anchor Validation.pdf</x:v>
      </x:c>
      <x:c r="Q54" s="31" t="str">
        <x:v>RECONSTRUCTED_FROM_REPORT</x:v>
      </x:c>
      <x:c r="R54" s="46" t="str">
        <x:v>Original candidate ID and row fields reconstructed from the compact narrative PDF table; this is not the missing original structured record.</x:v>
      </x:c>
    </x:row>
    <x:row r="55" ht="32" customHeight="1">
      <x:c r="A55" s="18" t="str">
        <x:v>FT-SEED-R1-1938-C-05</x:v>
      </x:c>
      <x:c r="B55" s="19" t="str">
        <x:v>INITIAL_180</x:v>
      </x:c>
      <x:c r="C55" s="31" t="str">
        <x:v>1938-C-05</x:v>
      </x:c>
      <x:c r="D55" s="19" t="str">
        <x:v>11</x:v>
      </x:c>
      <x:c r="E55" s="19" t="str">
        <x:v>FT-A1938</x:v>
      </x:c>
      <x:c r="F55" s="31" t="str">
        <x:v>alarm</x:v>
      </x:c>
      <x:c r="G55" s="19" t="str">
        <x:v>C</x:v>
      </x:c>
      <x:c r="H55" s="19" t="str">
        <x:v>NOT_ANNOTATED_IN_SOURCE</x:v>
      </x:c>
      <x:c r="I55" s="19" t="str">
        <x:v>E38-1–4</x:v>
      </x:c>
      <x:c r="J55" s="19" t="str">
        <x:v>NOT_ANNOTATED_IN_SOURCE</x:v>
      </x:c>
      <x:c r="K55" s="19" t="str">
        <x:v>CONFIDENCE=Weak;CARRY_FORWARD=No</x:v>
      </x:c>
      <x:c r="L55" s="19" t="str">
        <x:v>Weak</x:v>
      </x:c>
      <x:c r="M55" s="19" t="str">
        <x:v>No</x:v>
      </x:c>
      <x:c r="N55" s="31" t="str">
        <x:v>RECONSTRUCTED_FROM_REPORT</x:v>
      </x:c>
      <x:c r="O55" s="31" t="str">
        <x:v>EXCLUDE</x:v>
      </x:c>
      <x:c r="P55" s="19" t="str">
        <x:v>Fear of Temperature_ Historical Lexical Discovery and Anchor Validation.pdf</x:v>
      </x:c>
      <x:c r="Q55" s="31" t="str">
        <x:v>RECONSTRUCTED_FROM_REPORT</x:v>
      </x:c>
      <x:c r="R55" s="46" t="str">
        <x:v>Original candidate ID and row fields reconstructed from the compact narrative PDF table; this is not the missing original structured record.</x:v>
      </x:c>
    </x:row>
    <x:row r="56" ht="32" customHeight="1">
      <x:c r="A56" s="18" t="str">
        <x:v>FT-SEED-R1-1938-C-06</x:v>
      </x:c>
      <x:c r="B56" s="19" t="str">
        <x:v>INITIAL_180</x:v>
      </x:c>
      <x:c r="C56" s="31" t="str">
        <x:v>1938-C-06</x:v>
      </x:c>
      <x:c r="D56" s="19" t="str">
        <x:v>11</x:v>
      </x:c>
      <x:c r="E56" s="19" t="str">
        <x:v>FT-A1938</x:v>
      </x:c>
      <x:c r="F56" s="31" t="str">
        <x:v>anxiety</x:v>
      </x:c>
      <x:c r="G56" s="19" t="str">
        <x:v>C</x:v>
      </x:c>
      <x:c r="H56" s="19" t="str">
        <x:v>NOT_ANNOTATED_IN_SOURCE</x:v>
      </x:c>
      <x:c r="I56" s="19" t="str">
        <x:v>E38-1–4</x:v>
      </x:c>
      <x:c r="J56" s="19" t="str">
        <x:v>NOT_ANNOTATED_IN_SOURCE</x:v>
      </x:c>
      <x:c r="K56" s="19" t="str">
        <x:v>CONFIDENCE=Weak;CARRY_FORWARD=No</x:v>
      </x:c>
      <x:c r="L56" s="19" t="str">
        <x:v>Weak</x:v>
      </x:c>
      <x:c r="M56" s="19" t="str">
        <x:v>No</x:v>
      </x:c>
      <x:c r="N56" s="31" t="str">
        <x:v>RECONSTRUCTED_FROM_REPORT</x:v>
      </x:c>
      <x:c r="O56" s="31" t="str">
        <x:v>EXCLUDE</x:v>
      </x:c>
      <x:c r="P56" s="19" t="str">
        <x:v>Fear of Temperature_ Historical Lexical Discovery and Anchor Validation.pdf</x:v>
      </x:c>
      <x:c r="Q56" s="31" t="str">
        <x:v>RECONSTRUCTED_FROM_REPORT</x:v>
      </x:c>
      <x:c r="R56" s="46" t="str">
        <x:v>Original candidate ID and row fields reconstructed from the compact narrative PDF table; this is not the missing original structured record.</x:v>
      </x:c>
    </x:row>
    <x:row r="57" ht="32" customHeight="1">
      <x:c r="A57" s="18" t="str">
        <x:v>FT-SEED-R1-1938-C-07</x:v>
      </x:c>
      <x:c r="B57" s="19" t="str">
        <x:v>INITIAL_180</x:v>
      </x:c>
      <x:c r="C57" s="31" t="str">
        <x:v>1938-C-07</x:v>
      </x:c>
      <x:c r="D57" s="19" t="str">
        <x:v>11</x:v>
      </x:c>
      <x:c r="E57" s="19" t="str">
        <x:v>FT-A1938</x:v>
      </x:c>
      <x:c r="F57" s="31" t="str">
        <x:v>apprehension</x:v>
      </x:c>
      <x:c r="G57" s="19" t="str">
        <x:v>C</x:v>
      </x:c>
      <x:c r="H57" s="19" t="str">
        <x:v>NOT_ANNOTATED_IN_SOURCE</x:v>
      </x:c>
      <x:c r="I57" s="19" t="str">
        <x:v>E38-1–4</x:v>
      </x:c>
      <x:c r="J57" s="19" t="str">
        <x:v>NOT_ANNOTATED_IN_SOURCE</x:v>
      </x:c>
      <x:c r="K57" s="19" t="str">
        <x:v>CONFIDENCE=Weak;CARRY_FORWARD=No</x:v>
      </x:c>
      <x:c r="L57" s="19" t="str">
        <x:v>Weak</x:v>
      </x:c>
      <x:c r="M57" s="19" t="str">
        <x:v>No</x:v>
      </x:c>
      <x:c r="N57" s="31" t="str">
        <x:v>RECONSTRUCTED_FROM_REPORT</x:v>
      </x:c>
      <x:c r="O57" s="31" t="str">
        <x:v>EXCLUDE</x:v>
      </x:c>
      <x:c r="P57" s="19" t="str">
        <x:v>Fear of Temperature_ Historical Lexical Discovery and Anchor Validation.pdf</x:v>
      </x:c>
      <x:c r="Q57" s="31" t="str">
        <x:v>RECONSTRUCTED_FROM_REPORT</x:v>
      </x:c>
      <x:c r="R57" s="46" t="str">
        <x:v>Original candidate ID and row fields reconstructed from the compact narrative PDF table; this is not the missing original structured record.</x:v>
      </x:c>
    </x:row>
    <x:row r="58" ht="32" customHeight="1">
      <x:c r="A58" s="18" t="str">
        <x:v>FT-SEED-R1-1938-D-01</x:v>
      </x:c>
      <x:c r="B58" s="19" t="str">
        <x:v>INITIAL_180</x:v>
      </x:c>
      <x:c r="C58" s="31" t="str">
        <x:v>1938-D-01</x:v>
      </x:c>
      <x:c r="D58" s="19" t="str">
        <x:v>12</x:v>
      </x:c>
      <x:c r="E58" s="19" t="str">
        <x:v>FT-A1938</x:v>
      </x:c>
      <x:c r="F58" s="31" t="str">
        <x:v>aridity</x:v>
      </x:c>
      <x:c r="G58" s="19" t="str">
        <x:v>D</x:v>
      </x:c>
      <x:c r="H58" s="19" t="str">
        <x:v>NOT_ANNOTATED_IN_SOURCE</x:v>
      </x:c>
      <x:c r="I58" s="19" t="str">
        <x:v>E38-2</x:v>
      </x:c>
      <x:c r="J58" s="19" t="str">
        <x:v>NOT_ANNOTATED_IN_SOURCE</x:v>
      </x:c>
      <x:c r="K58" s="19" t="str">
        <x:v>CONFIDENCE=Strong;CARRY_FORWARD=Conditional</x:v>
      </x:c>
      <x:c r="L58" s="19" t="str">
        <x:v>Strong</x:v>
      </x:c>
      <x:c r="M58" s="19" t="str">
        <x:v>Conditional</x:v>
      </x:c>
      <x:c r="N58" s="31" t="str">
        <x:v>RECONSTRUCTED_FROM_REPORT</x:v>
      </x:c>
      <x:c r="O58" s="31" t="str">
        <x:v>UNRESOLVED</x:v>
      </x:c>
      <x:c r="P58" s="19" t="str">
        <x:v>Fear of Temperature_ Historical Lexical Discovery and Anchor Validation.pdf</x:v>
      </x:c>
      <x:c r="Q58" s="31" t="str">
        <x:v>RECONSTRUCTED_FROM_REPORT</x:v>
      </x:c>
      <x:c r="R58" s="46" t="str">
        <x:v>Original candidate ID and row fields reconstructed from the compact narrative PDF table; this is not the missing original structured record.</x:v>
      </x:c>
    </x:row>
    <x:row r="59" ht="32" customHeight="1">
      <x:c r="A59" s="18" t="str">
        <x:v>FT-SEED-R1-1938-D-02</x:v>
      </x:c>
      <x:c r="B59" s="19" t="str">
        <x:v>INITIAL_180</x:v>
      </x:c>
      <x:c r="C59" s="31" t="str">
        <x:v>1938-D-02</x:v>
      </x:c>
      <x:c r="D59" s="19" t="str">
        <x:v>12</x:v>
      </x:c>
      <x:c r="E59" s="19" t="str">
        <x:v>FT-A1938</x:v>
      </x:c>
      <x:c r="F59" s="31" t="str">
        <x:v>recession of the glaciers</x:v>
      </x:c>
      <x:c r="G59" s="19" t="str">
        <x:v>D</x:v>
      </x:c>
      <x:c r="H59" s="19" t="str">
        <x:v>NOT_ANNOTATED_IN_SOURCE</x:v>
      </x:c>
      <x:c r="I59" s="19" t="str">
        <x:v>E38-2</x:v>
      </x:c>
      <x:c r="J59" s="19" t="str">
        <x:v>NOT_ANNOTATED_IN_SOURCE</x:v>
      </x:c>
      <x:c r="K59" s="19" t="str">
        <x:v>CONFIDENCE=Strong;CARRY_FORWARD=Conditional</x:v>
      </x:c>
      <x:c r="L59" s="19" t="str">
        <x:v>Strong</x:v>
      </x:c>
      <x:c r="M59" s="19" t="str">
        <x:v>Conditional</x:v>
      </x:c>
      <x:c r="N59" s="31" t="str">
        <x:v>RECONSTRUCTED_FROM_REPORT</x:v>
      </x:c>
      <x:c r="O59" s="31" t="str">
        <x:v>UNRESOLVED</x:v>
      </x:c>
      <x:c r="P59" s="19" t="str">
        <x:v>Fear of Temperature_ Historical Lexical Discovery and Anchor Validation.pdf</x:v>
      </x:c>
      <x:c r="Q59" s="31" t="str">
        <x:v>RECONSTRUCTED_FROM_REPORT</x:v>
      </x:c>
      <x:c r="R59" s="46" t="str">
        <x:v>Original candidate ID and row fields reconstructed from the compact narrative PDF table; this is not the missing original structured record.</x:v>
      </x:c>
    </x:row>
    <x:row r="60" ht="32" customHeight="1">
      <x:c r="A60" s="18" t="str">
        <x:v>FT-SEED-R1-1938-D-03</x:v>
      </x:c>
      <x:c r="B60" s="19" t="str">
        <x:v>INITIAL_180</x:v>
      </x:c>
      <x:c r="C60" s="31" t="str">
        <x:v>1938-D-03</x:v>
      </x:c>
      <x:c r="D60" s="19" t="str">
        <x:v>12</x:v>
      </x:c>
      <x:c r="E60" s="19" t="str">
        <x:v>FT-A1938</x:v>
      </x:c>
      <x:c r="F60" s="31" t="str">
        <x:v>danger</x:v>
      </x:c>
      <x:c r="G60" s="19" t="str">
        <x:v>D</x:v>
      </x:c>
      <x:c r="H60" s="19" t="str">
        <x:v>NOT_ANNOTATED_IN_SOURCE</x:v>
      </x:c>
      <x:c r="I60" s="19" t="str">
        <x:v>E38-1–4</x:v>
      </x:c>
      <x:c r="J60" s="19" t="str">
        <x:v>NOT_ANNOTATED_IN_SOURCE</x:v>
      </x:c>
      <x:c r="K60" s="19" t="str">
        <x:v>CONFIDENCE=Weak;CARRY_FORWARD=No</x:v>
      </x:c>
      <x:c r="L60" s="19" t="str">
        <x:v>Weak</x:v>
      </x:c>
      <x:c r="M60" s="19" t="str">
        <x:v>No</x:v>
      </x:c>
      <x:c r="N60" s="31" t="str">
        <x:v>RECONSTRUCTED_FROM_REPORT</x:v>
      </x:c>
      <x:c r="O60" s="31" t="str">
        <x:v>EXCLUDE</x:v>
      </x:c>
      <x:c r="P60" s="19" t="str">
        <x:v>Fear of Temperature_ Historical Lexical Discovery and Anchor Validation.pdf</x:v>
      </x:c>
      <x:c r="Q60" s="31" t="str">
        <x:v>RECONSTRUCTED_FROM_REPORT</x:v>
      </x:c>
      <x:c r="R60" s="46" t="str">
        <x:v>Original candidate ID and row fields reconstructed from the compact narrative PDF table; this is not the missing original structured record.</x:v>
      </x:c>
    </x:row>
    <x:row r="61" ht="32" customHeight="1">
      <x:c r="A61" s="18" t="str">
        <x:v>FT-SEED-R1-1938-D-04</x:v>
      </x:c>
      <x:c r="B61" s="19" t="str">
        <x:v>INITIAL_180</x:v>
      </x:c>
      <x:c r="C61" s="31" t="str">
        <x:v>1938-D-04</x:v>
      </x:c>
      <x:c r="D61" s="19" t="str">
        <x:v>12</x:v>
      </x:c>
      <x:c r="E61" s="19" t="str">
        <x:v>FT-A1938</x:v>
      </x:c>
      <x:c r="F61" s="31" t="str">
        <x:v>risk</x:v>
      </x:c>
      <x:c r="G61" s="19" t="str">
        <x:v>D</x:v>
      </x:c>
      <x:c r="H61" s="19" t="str">
        <x:v>NOT_ANNOTATED_IN_SOURCE</x:v>
      </x:c>
      <x:c r="I61" s="19" t="str">
        <x:v>E38-1–4</x:v>
      </x:c>
      <x:c r="J61" s="19" t="str">
        <x:v>NOT_ANNOTATED_IN_SOURCE</x:v>
      </x:c>
      <x:c r="K61" s="19" t="str">
        <x:v>CONFIDENCE=Weak;CARRY_FORWARD=No</x:v>
      </x:c>
      <x:c r="L61" s="19" t="str">
        <x:v>Weak</x:v>
      </x:c>
      <x:c r="M61" s="19" t="str">
        <x:v>No</x:v>
      </x:c>
      <x:c r="N61" s="31" t="str">
        <x:v>RECONSTRUCTED_FROM_REPORT</x:v>
      </x:c>
      <x:c r="O61" s="31" t="str">
        <x:v>EXCLUDE</x:v>
      </x:c>
      <x:c r="P61" s="19" t="str">
        <x:v>Fear of Temperature_ Historical Lexical Discovery and Anchor Validation.pdf</x:v>
      </x:c>
      <x:c r="Q61" s="31" t="str">
        <x:v>RECONSTRUCTED_FROM_REPORT</x:v>
      </x:c>
      <x:c r="R61" s="46" t="str">
        <x:v>Original candidate ID and row fields reconstructed from the compact narrative PDF table; this is not the missing original structured record.</x:v>
      </x:c>
    </x:row>
    <x:row r="62" ht="32" customHeight="1">
      <x:c r="A62" s="18" t="str">
        <x:v>FT-SEED-R1-1938-D-05</x:v>
      </x:c>
      <x:c r="B62" s="19" t="str">
        <x:v>INITIAL_180</x:v>
      </x:c>
      <x:c r="C62" s="31" t="str">
        <x:v>1938-D-05</x:v>
      </x:c>
      <x:c r="D62" s="19" t="str">
        <x:v>12</x:v>
      </x:c>
      <x:c r="E62" s="19" t="str">
        <x:v>FT-A1938</x:v>
      </x:c>
      <x:c r="F62" s="31" t="str">
        <x:v>harmful</x:v>
      </x:c>
      <x:c r="G62" s="19" t="str">
        <x:v>D</x:v>
      </x:c>
      <x:c r="H62" s="19" t="str">
        <x:v>NOT_ANNOTATED_IN_SOURCE</x:v>
      </x:c>
      <x:c r="I62" s="19" t="str">
        <x:v>E38-1–4</x:v>
      </x:c>
      <x:c r="J62" s="19" t="str">
        <x:v>NOT_ANNOTATED_IN_SOURCE</x:v>
      </x:c>
      <x:c r="K62" s="19" t="str">
        <x:v>CONFIDENCE=Weak;CARRY_FORWARD=No</x:v>
      </x:c>
      <x:c r="L62" s="19" t="str">
        <x:v>Weak</x:v>
      </x:c>
      <x:c r="M62" s="19" t="str">
        <x:v>No</x:v>
      </x:c>
      <x:c r="N62" s="31" t="str">
        <x:v>RECONSTRUCTED_FROM_REPORT</x:v>
      </x:c>
      <x:c r="O62" s="31" t="str">
        <x:v>EXCLUDE</x:v>
      </x:c>
      <x:c r="P62" s="19" t="str">
        <x:v>Fear of Temperature_ Historical Lexical Discovery and Anchor Validation.pdf</x:v>
      </x:c>
      <x:c r="Q62" s="31" t="str">
        <x:v>RECONSTRUCTED_FROM_REPORT</x:v>
      </x:c>
      <x:c r="R62" s="46" t="str">
        <x:v>Original candidate ID and row fields reconstructed from the compact narrative PDF table; this is not the missing original structured record.</x:v>
      </x:c>
    </x:row>
    <x:row r="63" ht="32" customHeight="1">
      <x:c r="A63" s="18" t="str">
        <x:v>FT-SEED-R1-1938-D-06</x:v>
      </x:c>
      <x:c r="B63" s="19" t="str">
        <x:v>INITIAL_180</x:v>
      </x:c>
      <x:c r="C63" s="31" t="str">
        <x:v>1938-D-06</x:v>
      </x:c>
      <x:c r="D63" s="19" t="str">
        <x:v>12</x:v>
      </x:c>
      <x:c r="E63" s="19" t="str">
        <x:v>FT-A1938</x:v>
      </x:c>
      <x:c r="F63" s="31" t="str">
        <x:v>adverse effect</x:v>
      </x:c>
      <x:c r="G63" s="19" t="str">
        <x:v>D</x:v>
      </x:c>
      <x:c r="H63" s="19" t="str">
        <x:v>NOT_ANNOTATED_IN_SOURCE</x:v>
      </x:c>
      <x:c r="I63" s="19" t="str">
        <x:v>E38-1–4</x:v>
      </x:c>
      <x:c r="J63" s="19" t="str">
        <x:v>NOT_ANNOTATED_IN_SOURCE</x:v>
      </x:c>
      <x:c r="K63" s="19" t="str">
        <x:v>CONFIDENCE=Weak;CARRY_FORWARD=No</x:v>
      </x:c>
      <x:c r="L63" s="19" t="str">
        <x:v>Weak</x:v>
      </x:c>
      <x:c r="M63" s="19" t="str">
        <x:v>No</x:v>
      </x:c>
      <x:c r="N63" s="31" t="str">
        <x:v>RECONSTRUCTED_FROM_REPORT</x:v>
      </x:c>
      <x:c r="O63" s="31" t="str">
        <x:v>EXCLUDE</x:v>
      </x:c>
      <x:c r="P63" s="19" t="str">
        <x:v>Fear of Temperature_ Historical Lexical Discovery and Anchor Validation.pdf</x:v>
      </x:c>
      <x:c r="Q63" s="31" t="str">
        <x:v>RECONSTRUCTED_FROM_REPORT</x:v>
      </x:c>
      <x:c r="R63" s="46" t="str">
        <x:v>Original candidate ID and row fields reconstructed from the compact narrative PDF table; this is not the missing original structured record.</x:v>
      </x:c>
    </x:row>
    <x:row r="64" ht="32" customHeight="1">
      <x:c r="A64" s="18" t="str">
        <x:v>FT-SEED-R1-1938-D-07</x:v>
      </x:c>
      <x:c r="B64" s="19" t="str">
        <x:v>INITIAL_180</x:v>
      </x:c>
      <x:c r="C64" s="31" t="str">
        <x:v>1938-D-07</x:v>
      </x:c>
      <x:c r="D64" s="19" t="str">
        <x:v>12</x:v>
      </x:c>
      <x:c r="E64" s="19" t="str">
        <x:v>FT-A1938</x:v>
      </x:c>
      <x:c r="F64" s="31" t="str">
        <x:v>problem</x:v>
      </x:c>
      <x:c r="G64" s="19" t="str">
        <x:v>D</x:v>
      </x:c>
      <x:c r="H64" s="19" t="str">
        <x:v>NOT_ANNOTATED_IN_SOURCE</x:v>
      </x:c>
      <x:c r="I64" s="19" t="str">
        <x:v>E38-1–4</x:v>
      </x:c>
      <x:c r="J64" s="19" t="str">
        <x:v>NOT_ANNOTATED_IN_SOURCE</x:v>
      </x:c>
      <x:c r="K64" s="19" t="str">
        <x:v>CONFIDENCE=Weak;CARRY_FORWARD=No</x:v>
      </x:c>
      <x:c r="L64" s="19" t="str">
        <x:v>Weak</x:v>
      </x:c>
      <x:c r="M64" s="19" t="str">
        <x:v>No</x:v>
      </x:c>
      <x:c r="N64" s="31" t="str">
        <x:v>RECONSTRUCTED_FROM_REPORT</x:v>
      </x:c>
      <x:c r="O64" s="31" t="str">
        <x:v>EXCLUDE</x:v>
      </x:c>
      <x:c r="P64" s="19" t="str">
        <x:v>Fear of Temperature_ Historical Lexical Discovery and Anchor Validation.pdf</x:v>
      </x:c>
      <x:c r="Q64" s="31" t="str">
        <x:v>RECONSTRUCTED_FROM_REPORT</x:v>
      </x:c>
      <x:c r="R64" s="46" t="str">
        <x:v>Original candidate ID and row fields reconstructed from the compact narrative PDF table; this is not the missing original structured record.</x:v>
      </x:c>
    </x:row>
    <x:row r="65" ht="32" customHeight="1">
      <x:c r="A65" s="18" t="str">
        <x:v>FT-SEED-R1-1988-A-01</x:v>
      </x:c>
      <x:c r="B65" s="19" t="str">
        <x:v>INITIAL_180</x:v>
      </x:c>
      <x:c r="C65" s="31" t="str">
        <x:v>1988-A-01</x:v>
      </x:c>
      <x:c r="D65" s="19" t="str">
        <x:v>13</x:v>
      </x:c>
      <x:c r="E65" s="19" t="str">
        <x:v>FT-A1988</x:v>
      </x:c>
      <x:c r="F65" s="31" t="str">
        <x:v>global warming</x:v>
      </x:c>
      <x:c r="G65" s="19" t="str">
        <x:v>A</x:v>
      </x:c>
      <x:c r="H65" s="19" t="str">
        <x:v>NOT_ANNOTATED_IN_SOURCE</x:v>
      </x:c>
      <x:c r="I65" s="19" t="str">
        <x:v>E88-1,4</x:v>
      </x:c>
      <x:c r="J65" s="19" t="str">
        <x:v>NOT_ANNOTATED_IN_SOURCE</x:v>
      </x:c>
      <x:c r="K65" s="19" t="str">
        <x:v>CONFIDENCE=Strong;CARRY_FORWARD=Yes</x:v>
      </x:c>
      <x:c r="L65" s="19" t="str">
        <x:v>Strong</x:v>
      </x:c>
      <x:c r="M65" s="19" t="str">
        <x:v>Yes</x:v>
      </x:c>
      <x:c r="N65" s="31" t="str">
        <x:v>RECONSTRUCTED_FROM_REPORT</x:v>
      </x:c>
      <x:c r="O65" s="31" t="str">
        <x:v>RETAIN</x:v>
      </x:c>
      <x:c r="P65" s="19" t="str">
        <x:v>Fear of Temperature_ Historical Lexical Discovery and Anchor Validation.pdf</x:v>
      </x:c>
      <x:c r="Q65" s="31" t="str">
        <x:v>RECONSTRUCTED_FROM_REPORT</x:v>
      </x:c>
      <x:c r="R65" s="46" t="str">
        <x:v>Original candidate ID and row fields reconstructed from the compact narrative PDF table; this is not the missing original structured record.</x:v>
      </x:c>
    </x:row>
    <x:row r="66" ht="32" customHeight="1">
      <x:c r="A66" s="18" t="str">
        <x:v>FT-SEED-R1-1988-A-02</x:v>
      </x:c>
      <x:c r="B66" s="19" t="str">
        <x:v>INITIAL_180</x:v>
      </x:c>
      <x:c r="C66" s="31" t="str">
        <x:v>1988-A-02</x:v>
      </x:c>
      <x:c r="D66" s="19" t="str">
        <x:v>13</x:v>
      </x:c>
      <x:c r="E66" s="19" t="str">
        <x:v>FT-A1988</x:v>
      </x:c>
      <x:c r="F66" s="31" t="str">
        <x:v>warming</x:v>
      </x:c>
      <x:c r="G66" s="19" t="str">
        <x:v>A</x:v>
      </x:c>
      <x:c r="H66" s="19" t="str">
        <x:v>NOT_ANNOTATED_IN_SOURCE</x:v>
      </x:c>
      <x:c r="I66" s="19" t="str">
        <x:v>E88-1,2,4</x:v>
      </x:c>
      <x:c r="J66" s="19" t="str">
        <x:v>NOT_ANNOTATED_IN_SOURCE</x:v>
      </x:c>
      <x:c r="K66" s="19" t="str">
        <x:v>CONFIDENCE=Strong;CARRY_FORWARD=Yes</x:v>
      </x:c>
      <x:c r="L66" s="19" t="str">
        <x:v>Strong</x:v>
      </x:c>
      <x:c r="M66" s="19" t="str">
        <x:v>Yes</x:v>
      </x:c>
      <x:c r="N66" s="31" t="str">
        <x:v>RECONSTRUCTED_FROM_REPORT</x:v>
      </x:c>
      <x:c r="O66" s="31" t="str">
        <x:v>RETAIN</x:v>
      </x:c>
      <x:c r="P66" s="19" t="str">
        <x:v>Fear of Temperature_ Historical Lexical Discovery and Anchor Validation.pdf</x:v>
      </x:c>
      <x:c r="Q66" s="31" t="str">
        <x:v>RECONSTRUCTED_FROM_REPORT</x:v>
      </x:c>
      <x:c r="R66" s="46" t="str">
        <x:v>Original candidate ID and row fields reconstructed from the compact narrative PDF table; this is not the missing original structured record.</x:v>
      </x:c>
    </x:row>
    <x:row r="67" ht="32" customHeight="1">
      <x:c r="A67" s="18" t="str">
        <x:v>FT-SEED-R1-1988-A-03</x:v>
      </x:c>
      <x:c r="B67" s="19" t="str">
        <x:v>INITIAL_180</x:v>
      </x:c>
      <x:c r="C67" s="31" t="str">
        <x:v>1988-A-03</x:v>
      </x:c>
      <x:c r="D67" s="19" t="str">
        <x:v>13</x:v>
      </x:c>
      <x:c r="E67" s="19" t="str">
        <x:v>FT-A1988</x:v>
      </x:c>
      <x:c r="F67" s="31" t="str">
        <x:v>climate warming</x:v>
      </x:c>
      <x:c r="G67" s="19" t="str">
        <x:v>A</x:v>
      </x:c>
      <x:c r="H67" s="19" t="str">
        <x:v>NOT_ANNOTATED_IN_SOURCE</x:v>
      </x:c>
      <x:c r="I67" s="19" t="str">
        <x:v>E88-2</x:v>
      </x:c>
      <x:c r="J67" s="19" t="str">
        <x:v>NOT_ANNOTATED_IN_SOURCE</x:v>
      </x:c>
      <x:c r="K67" s="19" t="str">
        <x:v>CONFIDENCE=Strong;CARRY_FORWARD=Yes</x:v>
      </x:c>
      <x:c r="L67" s="19" t="str">
        <x:v>Strong</x:v>
      </x:c>
      <x:c r="M67" s="19" t="str">
        <x:v>Yes</x:v>
      </x:c>
      <x:c r="N67" s="31" t="str">
        <x:v>RECONSTRUCTED_FROM_REPORT</x:v>
      </x:c>
      <x:c r="O67" s="31" t="str">
        <x:v>RETAIN</x:v>
      </x:c>
      <x:c r="P67" s="19" t="str">
        <x:v>Fear of Temperature_ Historical Lexical Discovery and Anchor Validation.pdf</x:v>
      </x:c>
      <x:c r="Q67" s="31" t="str">
        <x:v>RECONSTRUCTED_FROM_REPORT</x:v>
      </x:c>
      <x:c r="R67" s="46" t="str">
        <x:v>Original candidate ID and row fields reconstructed from the compact narrative PDF table; this is not the missing original structured record.</x:v>
      </x:c>
    </x:row>
    <x:row r="68" ht="32" customHeight="1">
      <x:c r="A68" s="18" t="str">
        <x:v>FT-SEED-R1-1988-A-04</x:v>
      </x:c>
      <x:c r="B68" s="19" t="str">
        <x:v>INITIAL_180</x:v>
      </x:c>
      <x:c r="C68" s="31" t="str">
        <x:v>1988-A-04</x:v>
      </x:c>
      <x:c r="D68" s="19" t="str">
        <x:v>13</x:v>
      </x:c>
      <x:c r="E68" s="19" t="str">
        <x:v>FT-A1988</x:v>
      </x:c>
      <x:c r="F68" s="31" t="str">
        <x:v>global temperature</x:v>
      </x:c>
      <x:c r="G68" s="19" t="str">
        <x:v>A</x:v>
      </x:c>
      <x:c r="H68" s="19" t="str">
        <x:v>NOT_ANNOTATED_IN_SOURCE</x:v>
      </x:c>
      <x:c r="I68" s="19" t="str">
        <x:v>E88-4</x:v>
      </x:c>
      <x:c r="J68" s="19" t="str">
        <x:v>NOT_ANNOTATED_IN_SOURCE</x:v>
      </x:c>
      <x:c r="K68" s="19" t="str">
        <x:v>CONFIDENCE=Moderate;CARRY_FORWARD=Yes</x:v>
      </x:c>
      <x:c r="L68" s="19" t="str">
        <x:v>Moderate</x:v>
      </x:c>
      <x:c r="M68" s="19" t="str">
        <x:v>Yes</x:v>
      </x:c>
      <x:c r="N68" s="31" t="str">
        <x:v>RECONSTRUCTED_FROM_REPORT</x:v>
      </x:c>
      <x:c r="O68" s="31" t="str">
        <x:v>RETAIN</x:v>
      </x:c>
      <x:c r="P68" s="19" t="str">
        <x:v>Fear of Temperature_ Historical Lexical Discovery and Anchor Validation.pdf</x:v>
      </x:c>
      <x:c r="Q68" s="31" t="str">
        <x:v>RECONSTRUCTED_FROM_REPORT</x:v>
      </x:c>
      <x:c r="R68" s="46" t="str">
        <x:v>Original candidate ID and row fields reconstructed from the compact narrative PDF table; this is not the missing original structured record.</x:v>
      </x:c>
    </x:row>
    <x:row r="69" ht="32" customHeight="1">
      <x:c r="A69" s="18" t="str">
        <x:v>FT-SEED-R1-1988-A-05</x:v>
      </x:c>
      <x:c r="B69" s="19" t="str">
        <x:v>INITIAL_180</x:v>
      </x:c>
      <x:c r="C69" s="31" t="str">
        <x:v>1988-A-05</x:v>
      </x:c>
      <x:c r="D69" s="19" t="str">
        <x:v>14</x:v>
      </x:c>
      <x:c r="E69" s="19" t="str">
        <x:v>FT-A1988</x:v>
      </x:c>
      <x:c r="F69" s="31" t="str">
        <x:v>temperature rise</x:v>
      </x:c>
      <x:c r="G69" s="19" t="str">
        <x:v>A</x:v>
      </x:c>
      <x:c r="H69" s="19" t="str">
        <x:v>NOT_ANNOTATED_IN_SOURCE</x:v>
      </x:c>
      <x:c r="I69" s="19" t="str">
        <x:v>E88-1,4</x:v>
      </x:c>
      <x:c r="J69" s="19" t="str">
        <x:v>NOT_ANNOTATED_IN_SOURCE</x:v>
      </x:c>
      <x:c r="K69" s="19" t="str">
        <x:v>CONFIDENCE=Moderate;CARRY_FORWARD=Conditional</x:v>
      </x:c>
      <x:c r="L69" s="19" t="str">
        <x:v>Moderate</x:v>
      </x:c>
      <x:c r="M69" s="19" t="str">
        <x:v>Conditional</x:v>
      </x:c>
      <x:c r="N69" s="31" t="str">
        <x:v>RECONSTRUCTED_FROM_REPORT</x:v>
      </x:c>
      <x:c r="O69" s="31" t="str">
        <x:v>UNRESOLVED</x:v>
      </x:c>
      <x:c r="P69" s="19" t="str">
        <x:v>Fear of Temperature_ Historical Lexical Discovery and Anchor Validation.pdf</x:v>
      </x:c>
      <x:c r="Q69" s="31" t="str">
        <x:v>RECONSTRUCTED_FROM_REPORT</x:v>
      </x:c>
      <x:c r="R69" s="46" t="str">
        <x:v>Original candidate ID and row fields reconstructed from the compact narrative PDF table; this is not the missing original structured record.</x:v>
      </x:c>
    </x:row>
    <x:row r="70" ht="32" customHeight="1">
      <x:c r="A70" s="18" t="str">
        <x:v>FT-SEED-R1-1988-A-06</x:v>
      </x:c>
      <x:c r="B70" s="19" t="str">
        <x:v>INITIAL_180</x:v>
      </x:c>
      <x:c r="C70" s="31" t="str">
        <x:v>1988-A-06</x:v>
      </x:c>
      <x:c r="D70" s="19" t="str">
        <x:v>14</x:v>
      </x:c>
      <x:c r="E70" s="19" t="str">
        <x:v>FT-A1988</x:v>
      </x:c>
      <x:c r="F70" s="31" t="str">
        <x:v>temperature increase</x:v>
      </x:c>
      <x:c r="G70" s="19" t="str">
        <x:v>A</x:v>
      </x:c>
      <x:c r="H70" s="19" t="str">
        <x:v>NOT_ANNOTATED_IN_SOURCE</x:v>
      </x:c>
      <x:c r="I70" s="19" t="str">
        <x:v>E88-4</x:v>
      </x:c>
      <x:c r="J70" s="19" t="str">
        <x:v>NOT_ANNOTATED_IN_SOURCE</x:v>
      </x:c>
      <x:c r="K70" s="19" t="str">
        <x:v>CONFIDENCE=Moderate;CARRY_FORWARD=Yes</x:v>
      </x:c>
      <x:c r="L70" s="19" t="str">
        <x:v>Moderate</x:v>
      </x:c>
      <x:c r="M70" s="19" t="str">
        <x:v>Yes</x:v>
      </x:c>
      <x:c r="N70" s="31" t="str">
        <x:v>RECONSTRUCTED_FROM_REPORT</x:v>
      </x:c>
      <x:c r="O70" s="31" t="str">
        <x:v>RETAIN</x:v>
      </x:c>
      <x:c r="P70" s="19" t="str">
        <x:v>Fear of Temperature_ Historical Lexical Discovery and Anchor Validation.pdf</x:v>
      </x:c>
      <x:c r="Q70" s="31" t="str">
        <x:v>RECONSTRUCTED_FROM_REPORT</x:v>
      </x:c>
      <x:c r="R70" s="46" t="str">
        <x:v>Original candidate ID and row fields reconstructed from the compact narrative PDF table; this is not the missing original structured record.</x:v>
      </x:c>
    </x:row>
    <x:row r="71" ht="32" customHeight="1">
      <x:c r="A71" s="18" t="str">
        <x:v>FT-SEED-R1-1988-A-07</x:v>
      </x:c>
      <x:c r="B71" s="19" t="str">
        <x:v>INITIAL_180</x:v>
      </x:c>
      <x:c r="C71" s="31" t="str">
        <x:v>1988-A-07</x:v>
      </x:c>
      <x:c r="D71" s="19" t="str">
        <x:v>14</x:v>
      </x:c>
      <x:c r="E71" s="19" t="str">
        <x:v>FT-A1988</x:v>
      </x:c>
      <x:c r="F71" s="31" t="str">
        <x:v>warming trend</x:v>
      </x:c>
      <x:c r="G71" s="19" t="str">
        <x:v>A</x:v>
      </x:c>
      <x:c r="H71" s="19" t="str">
        <x:v>NOT_ANNOTATED_IN_SOURCE</x:v>
      </x:c>
      <x:c r="I71" s="19" t="str">
        <x:v>E88-4</x:v>
      </x:c>
      <x:c r="J71" s="19" t="str">
        <x:v>NOT_ANNOTATED_IN_SOURCE</x:v>
      </x:c>
      <x:c r="K71" s="19" t="str">
        <x:v>CONFIDENCE=Moderate;CARRY_FORWARD=Conditional</x:v>
      </x:c>
      <x:c r="L71" s="19" t="str">
        <x:v>Moderate</x:v>
      </x:c>
      <x:c r="M71" s="19" t="str">
        <x:v>Conditional</x:v>
      </x:c>
      <x:c r="N71" s="31" t="str">
        <x:v>RECONSTRUCTED_FROM_REPORT</x:v>
      </x:c>
      <x:c r="O71" s="31" t="str">
        <x:v>UNRESOLVED</x:v>
      </x:c>
      <x:c r="P71" s="19" t="str">
        <x:v>Fear of Temperature_ Historical Lexical Discovery and Anchor Validation.pdf</x:v>
      </x:c>
      <x:c r="Q71" s="31" t="str">
        <x:v>RECONSTRUCTED_FROM_REPORT</x:v>
      </x:c>
      <x:c r="R71" s="46" t="str">
        <x:v>Original candidate ID and row fields reconstructed from the compact narrative PDF table; this is not the missing original structured record.</x:v>
      </x:c>
    </x:row>
    <x:row r="72" ht="32" customHeight="1">
      <x:c r="A72" s="18" t="str">
        <x:v>FT-SEED-R1-1988-A-08</x:v>
      </x:c>
      <x:c r="B72" s="19" t="str">
        <x:v>INITIAL_180</x:v>
      </x:c>
      <x:c r="C72" s="31" t="str">
        <x:v>1988-A-08</x:v>
      </x:c>
      <x:c r="D72" s="19" t="str">
        <x:v>14</x:v>
      </x:c>
      <x:c r="E72" s="19" t="str">
        <x:v>FT-A1988</x:v>
      </x:c>
      <x:c r="F72" s="31" t="str">
        <x:v>summer heat waves</x:v>
      </x:c>
      <x:c r="G72" s="19" t="str">
        <x:v>A</x:v>
      </x:c>
      <x:c r="H72" s="19" t="str">
        <x:v>NOT_ANNOTATED_IN_SOURCE</x:v>
      </x:c>
      <x:c r="I72" s="19" t="str">
        <x:v>E88-4</x:v>
      </x:c>
      <x:c r="J72" s="19" t="str">
        <x:v>NOT_ANNOTATED_IN_SOURCE</x:v>
      </x:c>
      <x:c r="K72" s="19" t="str">
        <x:v>CONFIDENCE=Moderate;CARRY_FORWARD=Yes</x:v>
      </x:c>
      <x:c r="L72" s="19" t="str">
        <x:v>Moderate</x:v>
      </x:c>
      <x:c r="M72" s="19" t="str">
        <x:v>Yes</x:v>
      </x:c>
      <x:c r="N72" s="31" t="str">
        <x:v>RECONSTRUCTED_FROM_REPORT</x:v>
      </x:c>
      <x:c r="O72" s="31" t="str">
        <x:v>RETAIN</x:v>
      </x:c>
      <x:c r="P72" s="19" t="str">
        <x:v>Fear of Temperature_ Historical Lexical Discovery and Anchor Validation.pdf</x:v>
      </x:c>
      <x:c r="Q72" s="31" t="str">
        <x:v>RECONSTRUCTED_FROM_REPORT</x:v>
      </x:c>
      <x:c r="R72" s="46" t="str">
        <x:v>Original candidate ID and row fields reconstructed from the compact narrative PDF table; this is not the missing original structured record.</x:v>
      </x:c>
    </x:row>
    <x:row r="73" ht="32" customHeight="1">
      <x:c r="A73" s="18" t="str">
        <x:v>FT-SEED-R1-1988-B-01</x:v>
      </x:c>
      <x:c r="B73" s="19" t="str">
        <x:v>INITIAL_180</x:v>
      </x:c>
      <x:c r="C73" s="31" t="str">
        <x:v>1988-B-01</x:v>
      </x:c>
      <x:c r="D73" s="19" t="str">
        <x:v>14</x:v>
      </x:c>
      <x:c r="E73" s="19" t="str">
        <x:v>FT-A1988</x:v>
      </x:c>
      <x:c r="F73" s="31" t="str">
        <x:v>climate change</x:v>
      </x:c>
      <x:c r="G73" s="19" t="str">
        <x:v>B</x:v>
      </x:c>
      <x:c r="H73" s="19" t="str">
        <x:v>NOT_ANNOTATED_IN_SOURCE</x:v>
      </x:c>
      <x:c r="I73" s="19" t="str">
        <x:v>E88-1,3</x:v>
      </x:c>
      <x:c r="J73" s="19" t="str">
        <x:v>NOT_ANNOTATED_IN_SOURCE</x:v>
      </x:c>
      <x:c r="K73" s="19" t="str">
        <x:v>CONFIDENCE=Strong;CARRY_FORWARD=Yes</x:v>
      </x:c>
      <x:c r="L73" s="19" t="str">
        <x:v>Strong</x:v>
      </x:c>
      <x:c r="M73" s="19" t="str">
        <x:v>Yes</x:v>
      </x:c>
      <x:c r="N73" s="31" t="str">
        <x:v>RECONSTRUCTED_FROM_REPORT</x:v>
      </x:c>
      <x:c r="O73" s="31" t="str">
        <x:v>RETAIN</x:v>
      </x:c>
      <x:c r="P73" s="19" t="str">
        <x:v>Fear of Temperature_ Historical Lexical Discovery and Anchor Validation.pdf</x:v>
      </x:c>
      <x:c r="Q73" s="31" t="str">
        <x:v>RECONSTRUCTED_FROM_REPORT</x:v>
      </x:c>
      <x:c r="R73" s="46" t="str">
        <x:v>Original candidate ID and row fields reconstructed from the compact narrative PDF table; this is not the missing original structured record.</x:v>
      </x:c>
    </x:row>
    <x:row r="74" ht="32" customHeight="1">
      <x:c r="A74" s="18" t="str">
        <x:v>FT-SEED-R1-1988-B-02</x:v>
      </x:c>
      <x:c r="B74" s="19" t="str">
        <x:v>INITIAL_180</x:v>
      </x:c>
      <x:c r="C74" s="31" t="str">
        <x:v>1988-B-02</x:v>
      </x:c>
      <x:c r="D74" s="19" t="str">
        <x:v>14</x:v>
      </x:c>
      <x:c r="E74" s="19" t="str">
        <x:v>FT-A1988</x:v>
      </x:c>
      <x:c r="F74" s="31" t="str">
        <x:v>climatic change</x:v>
      </x:c>
      <x:c r="G74" s="19" t="str">
        <x:v>B</x:v>
      </x:c>
      <x:c r="H74" s="19" t="str">
        <x:v>NOT_ANNOTATED_IN_SOURCE</x:v>
      </x:c>
      <x:c r="I74" s="19" t="str">
        <x:v>E88-1</x:v>
      </x:c>
      <x:c r="J74" s="19" t="str">
        <x:v>NOT_ANNOTATED_IN_SOURCE</x:v>
      </x:c>
      <x:c r="K74" s="19" t="str">
        <x:v>CONFIDENCE=Strong;CARRY_FORWARD=Yes</x:v>
      </x:c>
      <x:c r="L74" s="19" t="str">
        <x:v>Strong</x:v>
      </x:c>
      <x:c r="M74" s="19" t="str">
        <x:v>Yes</x:v>
      </x:c>
      <x:c r="N74" s="31" t="str">
        <x:v>RECONSTRUCTED_FROM_REPORT</x:v>
      </x:c>
      <x:c r="O74" s="31" t="str">
        <x:v>RETAIN</x:v>
      </x:c>
      <x:c r="P74" s="19" t="str">
        <x:v>Fear of Temperature_ Historical Lexical Discovery and Anchor Validation.pdf</x:v>
      </x:c>
      <x:c r="Q74" s="31" t="str">
        <x:v>RECONSTRUCTED_FROM_REPORT</x:v>
      </x:c>
      <x:c r="R74" s="46" t="str">
        <x:v>Original candidate ID and row fields reconstructed from the compact narrative PDF table; this is not the missing original structured record.</x:v>
      </x:c>
    </x:row>
    <x:row r="75" ht="32" customHeight="1">
      <x:c r="A75" s="18" t="str">
        <x:v>FT-SEED-R1-1988-B-03</x:v>
      </x:c>
      <x:c r="B75" s="19" t="str">
        <x:v>INITIAL_180</x:v>
      </x:c>
      <x:c r="C75" s="31" t="str">
        <x:v>1988-B-03</x:v>
      </x:c>
      <x:c r="D75" s="19" t="str">
        <x:v>14</x:v>
      </x:c>
      <x:c r="E75" s="19" t="str">
        <x:v>FT-A1988</x:v>
      </x:c>
      <x:c r="F75" s="31" t="str">
        <x:v>global climate</x:v>
      </x:c>
      <x:c r="G75" s="19" t="str">
        <x:v>B</x:v>
      </x:c>
      <x:c r="H75" s="19" t="str">
        <x:v>NOT_ANNOTATED_IN_SOURCE</x:v>
      </x:c>
      <x:c r="I75" s="19" t="str">
        <x:v>E88-1</x:v>
      </x:c>
      <x:c r="J75" s="19" t="str">
        <x:v>NOT_ANNOTATED_IN_SOURCE</x:v>
      </x:c>
      <x:c r="K75" s="19" t="str">
        <x:v>CONFIDENCE=Strong;CARRY_FORWARD=Yes</x:v>
      </x:c>
      <x:c r="L75" s="19" t="str">
        <x:v>Strong</x:v>
      </x:c>
      <x:c r="M75" s="19" t="str">
        <x:v>Yes</x:v>
      </x:c>
      <x:c r="N75" s="31" t="str">
        <x:v>RECONSTRUCTED_FROM_REPORT</x:v>
      </x:c>
      <x:c r="O75" s="31" t="str">
        <x:v>RETAIN</x:v>
      </x:c>
      <x:c r="P75" s="19" t="str">
        <x:v>Fear of Temperature_ Historical Lexical Discovery and Anchor Validation.pdf</x:v>
      </x:c>
      <x:c r="Q75" s="31" t="str">
        <x:v>RECONSTRUCTED_FROM_REPORT</x:v>
      </x:c>
      <x:c r="R75" s="46" t="str">
        <x:v>Original candidate ID and row fields reconstructed from the compact narrative PDF table; this is not the missing original structured record.</x:v>
      </x:c>
    </x:row>
    <x:row r="76" ht="32" customHeight="1">
      <x:c r="A76" s="18" t="str">
        <x:v>FT-SEED-R1-1988-B-04</x:v>
      </x:c>
      <x:c r="B76" s="19" t="str">
        <x:v>INITIAL_180</x:v>
      </x:c>
      <x:c r="C76" s="31" t="str">
        <x:v>1988-B-04</x:v>
      </x:c>
      <x:c r="D76" s="19" t="str">
        <x:v>14</x:v>
      </x:c>
      <x:c r="E76" s="19" t="str">
        <x:v>FT-A1988</x:v>
      </x:c>
      <x:c r="F76" s="31" t="str">
        <x:v>global climate patterns</x:v>
      </x:c>
      <x:c r="G76" s="19" t="str">
        <x:v>B</x:v>
      </x:c>
      <x:c r="H76" s="19" t="str">
        <x:v>NOT_ANNOTATED_IN_SOURCE</x:v>
      </x:c>
      <x:c r="I76" s="19" t="str">
        <x:v>E88-1</x:v>
      </x:c>
      <x:c r="J76" s="19" t="str">
        <x:v>NOT_ANNOTATED_IN_SOURCE</x:v>
      </x:c>
      <x:c r="K76" s="19" t="str">
        <x:v>CONFIDENCE=Strong;CARRY_FORWARD=Yes</x:v>
      </x:c>
      <x:c r="L76" s="19" t="str">
        <x:v>Strong</x:v>
      </x:c>
      <x:c r="M76" s="19" t="str">
        <x:v>Yes</x:v>
      </x:c>
      <x:c r="N76" s="31" t="str">
        <x:v>RECONSTRUCTED_FROM_REPORT</x:v>
      </x:c>
      <x:c r="O76" s="31" t="str">
        <x:v>RETAIN</x:v>
      </x:c>
      <x:c r="P76" s="19" t="str">
        <x:v>Fear of Temperature_ Historical Lexical Discovery and Anchor Validation.pdf</x:v>
      </x:c>
      <x:c r="Q76" s="31" t="str">
        <x:v>RECONSTRUCTED_FROM_REPORT</x:v>
      </x:c>
      <x:c r="R76" s="46" t="str">
        <x:v>Original candidate ID and row fields reconstructed from the compact narrative PDF table; this is not the missing original structured record.</x:v>
      </x:c>
    </x:row>
    <x:row r="77" ht="32" customHeight="1">
      <x:c r="A77" s="18" t="str">
        <x:v>FT-SEED-R1-1988-B-05</x:v>
      </x:c>
      <x:c r="B77" s="19" t="str">
        <x:v>INITIAL_180</x:v>
      </x:c>
      <x:c r="C77" s="31" t="str">
        <x:v>1988-B-05</x:v>
      </x:c>
      <x:c r="D77" s="19" t="str">
        <x:v>14</x:v>
      </x:c>
      <x:c r="E77" s="19" t="str">
        <x:v>FT-A1988</x:v>
      </x:c>
      <x:c r="F77" s="31" t="str">
        <x:v>greenhouse gases</x:v>
      </x:c>
      <x:c r="G77" s="19" t="str">
        <x:v>B</x:v>
      </x:c>
      <x:c r="H77" s="19" t="str">
        <x:v>NOT_ANNOTATED_IN_SOURCE</x:v>
      </x:c>
      <x:c r="I77" s="19" t="str">
        <x:v>E88-1</x:v>
      </x:c>
      <x:c r="J77" s="19" t="str">
        <x:v>NOT_ANNOTATED_IN_SOURCE</x:v>
      </x:c>
      <x:c r="K77" s="19" t="str">
        <x:v>CONFIDENCE=Strong;CARRY_FORWARD=Yes</x:v>
      </x:c>
      <x:c r="L77" s="19" t="str">
        <x:v>Strong</x:v>
      </x:c>
      <x:c r="M77" s="19" t="str">
        <x:v>Yes</x:v>
      </x:c>
      <x:c r="N77" s="31" t="str">
        <x:v>RECONSTRUCTED_FROM_REPORT</x:v>
      </x:c>
      <x:c r="O77" s="31" t="str">
        <x:v>RETAIN</x:v>
      </x:c>
      <x:c r="P77" s="19" t="str">
        <x:v>Fear of Temperature_ Historical Lexical Discovery and Anchor Validation.pdf</x:v>
      </x:c>
      <x:c r="Q77" s="31" t="str">
        <x:v>RECONSTRUCTED_FROM_REPORT</x:v>
      </x:c>
      <x:c r="R77" s="46" t="str">
        <x:v>Original candidate ID and row fields reconstructed from the compact narrative PDF table; this is not the missing original structured record.</x:v>
      </x:c>
    </x:row>
    <x:row r="78" ht="32" customHeight="1">
      <x:c r="A78" s="18" t="str">
        <x:v>FT-SEED-R1-1988-B-06</x:v>
      </x:c>
      <x:c r="B78" s="19" t="str">
        <x:v>INITIAL_180</x:v>
      </x:c>
      <x:c r="C78" s="31" t="str">
        <x:v>1988-B-06</x:v>
      </x:c>
      <x:c r="D78" s="19" t="str">
        <x:v>15</x:v>
      </x:c>
      <x:c r="E78" s="19" t="str">
        <x:v>FT-A1988</x:v>
      </x:c>
      <x:c r="F78" s="31" t="str">
        <x:v>atmospheric concentrations</x:v>
      </x:c>
      <x:c r="G78" s="19" t="str">
        <x:v>B</x:v>
      </x:c>
      <x:c r="H78" s="19" t="str">
        <x:v>NOT_ANNOTATED_IN_SOURCE</x:v>
      </x:c>
      <x:c r="I78" s="19" t="str">
        <x:v>E88-1</x:v>
      </x:c>
      <x:c r="J78" s="19" t="str">
        <x:v>NOT_ANNOTATED_IN_SOURCE</x:v>
      </x:c>
      <x:c r="K78" s="19" t="str">
        <x:v>CONFIDENCE=Strong;CARRY_FORWARD=Yes</x:v>
      </x:c>
      <x:c r="L78" s="19" t="str">
        <x:v>Strong</x:v>
      </x:c>
      <x:c r="M78" s="19" t="str">
        <x:v>Yes</x:v>
      </x:c>
      <x:c r="N78" s="31" t="str">
        <x:v>RECONSTRUCTED_FROM_REPORT</x:v>
      </x:c>
      <x:c r="O78" s="31" t="str">
        <x:v>RETAIN</x:v>
      </x:c>
      <x:c r="P78" s="19" t="str">
        <x:v>Fear of Temperature_ Historical Lexical Discovery and Anchor Validation.pdf</x:v>
      </x:c>
      <x:c r="Q78" s="31" t="str">
        <x:v>RECONSTRUCTED_FROM_REPORT</x:v>
      </x:c>
      <x:c r="R78" s="46" t="str">
        <x:v>Original candidate ID and row fields reconstructed from the compact narrative PDF table; this is not the missing original structured record.</x:v>
      </x:c>
    </x:row>
    <x:row r="79" ht="32" customHeight="1">
      <x:c r="A79" s="18" t="str">
        <x:v>FT-SEED-R1-1988-B-07</x:v>
      </x:c>
      <x:c r="B79" s="19" t="str">
        <x:v>INITIAL_180</x:v>
      </x:c>
      <x:c r="C79" s="31" t="str">
        <x:v>1988-B-07</x:v>
      </x:c>
      <x:c r="D79" s="19" t="str">
        <x:v>15</x:v>
      </x:c>
      <x:c r="E79" s="19" t="str">
        <x:v>FT-A1988</x:v>
      </x:c>
      <x:c r="F79" s="31" t="str">
        <x:v>human activities</x:v>
      </x:c>
      <x:c r="G79" s="19" t="str">
        <x:v>B</x:v>
      </x:c>
      <x:c r="H79" s="19" t="str">
        <x:v>NOT_ANNOTATED_IN_SOURCE</x:v>
      </x:c>
      <x:c r="I79" s="19" t="str">
        <x:v>E88-1</x:v>
      </x:c>
      <x:c r="J79" s="19" t="str">
        <x:v>NOT_ANNOTATED_IN_SOURCE</x:v>
      </x:c>
      <x:c r="K79" s="19" t="str">
        <x:v>CONFIDENCE=Strong;CARRY_FORWARD=Yes</x:v>
      </x:c>
      <x:c r="L79" s="19" t="str">
        <x:v>Strong</x:v>
      </x:c>
      <x:c r="M79" s="19" t="str">
        <x:v>Yes</x:v>
      </x:c>
      <x:c r="N79" s="31" t="str">
        <x:v>RECONSTRUCTED_FROM_REPORT</x:v>
      </x:c>
      <x:c r="O79" s="31" t="str">
        <x:v>RETAIN</x:v>
      </x:c>
      <x:c r="P79" s="19" t="str">
        <x:v>Fear of Temperature_ Historical Lexical Discovery and Anchor Validation.pdf</x:v>
      </x:c>
      <x:c r="Q79" s="31" t="str">
        <x:v>RECONSTRUCTED_FROM_REPORT</x:v>
      </x:c>
      <x:c r="R79" s="46" t="str">
        <x:v>Original candidate ID and row fields reconstructed from the compact narrative PDF table; this is not the missing original structured record.</x:v>
      </x:c>
    </x:row>
    <x:row r="80" ht="32" customHeight="1">
      <x:c r="A80" s="18" t="str">
        <x:v>FT-SEED-R1-1988-B-08</x:v>
      </x:c>
      <x:c r="B80" s="19" t="str">
        <x:v>INITIAL_180</x:v>
      </x:c>
      <x:c r="C80" s="31" t="str">
        <x:v>1988-B-08</x:v>
      </x:c>
      <x:c r="D80" s="19" t="str">
        <x:v>15</x:v>
      </x:c>
      <x:c r="E80" s="19" t="str">
        <x:v>FT-A1988</x:v>
      </x:c>
      <x:c r="F80" s="31" t="str">
        <x:v>changing atmosphere</x:v>
      </x:c>
      <x:c r="G80" s="19" t="str">
        <x:v>B</x:v>
      </x:c>
      <x:c r="H80" s="19" t="str">
        <x:v>NOT_ANNOTATED_IN_SOURCE</x:v>
      </x:c>
      <x:c r="I80" s="19" t="str">
        <x:v>E88-2</x:v>
      </x:c>
      <x:c r="J80" s="19" t="str">
        <x:v>NOT_ANNOTATED_IN_SOURCE</x:v>
      </x:c>
      <x:c r="K80" s="19" t="str">
        <x:v>CONFIDENCE=Strong;CARRY_FORWARD=Yes</x:v>
      </x:c>
      <x:c r="L80" s="19" t="str">
        <x:v>Strong</x:v>
      </x:c>
      <x:c r="M80" s="19" t="str">
        <x:v>Yes</x:v>
      </x:c>
      <x:c r="N80" s="31" t="str">
        <x:v>RECONSTRUCTED_FROM_REPORT</x:v>
      </x:c>
      <x:c r="O80" s="31" t="str">
        <x:v>RETAIN</x:v>
      </x:c>
      <x:c r="P80" s="19" t="str">
        <x:v>Fear of Temperature_ Historical Lexical Discovery and Anchor Validation.pdf</x:v>
      </x:c>
      <x:c r="Q80" s="31" t="str">
        <x:v>RECONSTRUCTED_FROM_REPORT</x:v>
      </x:c>
      <x:c r="R80" s="46" t="str">
        <x:v>Original candidate ID and row fields reconstructed from the compact narrative PDF table; this is not the missing original structured record.</x:v>
      </x:c>
    </x:row>
    <x:row r="81" ht="32" customHeight="1">
      <x:c r="A81" s="18" t="str">
        <x:v>FT-SEED-R1-1988-C-01</x:v>
      </x:c>
      <x:c r="B81" s="19" t="str">
        <x:v>INITIAL_180</x:v>
      </x:c>
      <x:c r="C81" s="31" t="str">
        <x:v>1988-C-01</x:v>
      </x:c>
      <x:c r="D81" s="19" t="str">
        <x:v>15</x:v>
      </x:c>
      <x:c r="E81" s="19" t="str">
        <x:v>FT-A1988</x:v>
      </x:c>
      <x:c r="F81" s="31" t="str">
        <x:v>concern</x:v>
      </x:c>
      <x:c r="G81" s="19" t="str">
        <x:v>C</x:v>
      </x:c>
      <x:c r="H81" s="19" t="str">
        <x:v>NOT_ANNOTATED_IN_SOURCE</x:v>
      </x:c>
      <x:c r="I81" s="19" t="str">
        <x:v>E88-1</x:v>
      </x:c>
      <x:c r="J81" s="19" t="str">
        <x:v>NOT_ANNOTATED_IN_SOURCE</x:v>
      </x:c>
      <x:c r="K81" s="19" t="str">
        <x:v>CONFIDENCE=Strong;CARRY_FORWARD=Yes</x:v>
      </x:c>
      <x:c r="L81" s="19" t="str">
        <x:v>Strong</x:v>
      </x:c>
      <x:c r="M81" s="19" t="str">
        <x:v>Yes</x:v>
      </x:c>
      <x:c r="N81" s="31" t="str">
        <x:v>RECONSTRUCTED_FROM_REPORT</x:v>
      </x:c>
      <x:c r="O81" s="31" t="str">
        <x:v>RETAIN</x:v>
      </x:c>
      <x:c r="P81" s="19" t="str">
        <x:v>Fear of Temperature_ Historical Lexical Discovery and Anchor Validation.pdf</x:v>
      </x:c>
      <x:c r="Q81" s="31" t="str">
        <x:v>RECONSTRUCTED_FROM_REPORT</x:v>
      </x:c>
      <x:c r="R81" s="46" t="str">
        <x:v>Original candidate ID and row fields reconstructed from the compact narrative PDF table; this is not the missing original structured record.</x:v>
      </x:c>
    </x:row>
    <x:row r="82" ht="32" customHeight="1">
      <x:c r="A82" s="18" t="str">
        <x:v>FT-SEED-R1-1988-C-02</x:v>
      </x:c>
      <x:c r="B82" s="19" t="str">
        <x:v>INITIAL_180</x:v>
      </x:c>
      <x:c r="C82" s="31" t="str">
        <x:v>1988-C-02</x:v>
      </x:c>
      <x:c r="D82" s="19" t="str">
        <x:v>15</x:v>
      </x:c>
      <x:c r="E82" s="19" t="str">
        <x:v>FT-A1988</x:v>
      </x:c>
      <x:c r="F82" s="31" t="str">
        <x:v>concerned</x:v>
      </x:c>
      <x:c r="G82" s="19" t="str">
        <x:v>C</x:v>
      </x:c>
      <x:c r="H82" s="19" t="str">
        <x:v>NOT_ANNOTATED_IN_SOURCE</x:v>
      </x:c>
      <x:c r="I82" s="19" t="str">
        <x:v>E88-1</x:v>
      </x:c>
      <x:c r="J82" s="19" t="str">
        <x:v>NOT_ANNOTATED_IN_SOURCE</x:v>
      </x:c>
      <x:c r="K82" s="19" t="str">
        <x:v>CONFIDENCE=Strong;CARRY_FORWARD=Yes</x:v>
      </x:c>
      <x:c r="L82" s="19" t="str">
        <x:v>Strong</x:v>
      </x:c>
      <x:c r="M82" s="19" t="str">
        <x:v>Yes</x:v>
      </x:c>
      <x:c r="N82" s="31" t="str">
        <x:v>RECONSTRUCTED_FROM_REPORT</x:v>
      </x:c>
      <x:c r="O82" s="31" t="str">
        <x:v>RETAIN</x:v>
      </x:c>
      <x:c r="P82" s="19" t="str">
        <x:v>Fear of Temperature_ Historical Lexical Discovery and Anchor Validation.pdf</x:v>
      </x:c>
      <x:c r="Q82" s="31" t="str">
        <x:v>RECONSTRUCTED_FROM_REPORT</x:v>
      </x:c>
      <x:c r="R82" s="46" t="str">
        <x:v>Original candidate ID and row fields reconstructed from the compact narrative PDF table; this is not the missing original structured record.</x:v>
      </x:c>
    </x:row>
    <x:row r="83" ht="32" customHeight="1">
      <x:c r="A83" s="18" t="str">
        <x:v>FT-SEED-R1-1988-C-03</x:v>
      </x:c>
      <x:c r="B83" s="19" t="str">
        <x:v>INITIAL_180</x:v>
      </x:c>
      <x:c r="C83" s="31" t="str">
        <x:v>1988-C-03</x:v>
      </x:c>
      <x:c r="D83" s="19" t="str">
        <x:v>15</x:v>
      </x:c>
      <x:c r="E83" s="19" t="str">
        <x:v>FT-A1988</x:v>
      </x:c>
      <x:c r="F83" s="31" t="str">
        <x:v>alarm</x:v>
      </x:c>
      <x:c r="G83" s="19" t="str">
        <x:v>C</x:v>
      </x:c>
      <x:c r="H83" s="19" t="str">
        <x:v>NOT_ANNOTATED_IN_SOURCE</x:v>
      </x:c>
      <x:c r="I83" s="19" t="str">
        <x:v>E88-1,2</x:v>
      </x:c>
      <x:c r="J83" s="19" t="str">
        <x:v>NOT_ANNOTATED_IN_SOURCE</x:v>
      </x:c>
      <x:c r="K83" s="19" t="str">
        <x:v>CONFIDENCE=Weak;CARRY_FORWARD=No</x:v>
      </x:c>
      <x:c r="L83" s="19" t="str">
        <x:v>Weak</x:v>
      </x:c>
      <x:c r="M83" s="19" t="str">
        <x:v>No</x:v>
      </x:c>
      <x:c r="N83" s="31" t="str">
        <x:v>RECONSTRUCTED_FROM_REPORT</x:v>
      </x:c>
      <x:c r="O83" s="31" t="str">
        <x:v>EXCLUDE</x:v>
      </x:c>
      <x:c r="P83" s="19" t="str">
        <x:v>Fear of Temperature_ Historical Lexical Discovery and Anchor Validation.pdf</x:v>
      </x:c>
      <x:c r="Q83" s="31" t="str">
        <x:v>RECONSTRUCTED_FROM_REPORT</x:v>
      </x:c>
      <x:c r="R83" s="46" t="str">
        <x:v>Original candidate ID and row fields reconstructed from the compact narrative PDF table; this is not the missing original structured record.</x:v>
      </x:c>
    </x:row>
    <x:row r="84" ht="32" customHeight="1">
      <x:c r="A84" s="18" t="str">
        <x:v>FT-SEED-R1-1988-C-04</x:v>
      </x:c>
      <x:c r="B84" s="19" t="str">
        <x:v>INITIAL_180</x:v>
      </x:c>
      <x:c r="C84" s="31" t="str">
        <x:v>1988-C-04</x:v>
      </x:c>
      <x:c r="D84" s="19" t="str">
        <x:v>15</x:v>
      </x:c>
      <x:c r="E84" s="19" t="str">
        <x:v>FT-A1988</x:v>
      </x:c>
      <x:c r="F84" s="31" t="str">
        <x:v>fear</x:v>
      </x:c>
      <x:c r="G84" s="19" t="str">
        <x:v>C</x:v>
      </x:c>
      <x:c r="H84" s="19" t="str">
        <x:v>NOT_ANNOTATED_IN_SOURCE</x:v>
      </x:c>
      <x:c r="I84" s="19" t="str">
        <x:v>E88-1,2</x:v>
      </x:c>
      <x:c r="J84" s="19" t="str">
        <x:v>NOT_ANNOTATED_IN_SOURCE</x:v>
      </x:c>
      <x:c r="K84" s="19" t="str">
        <x:v>CONFIDENCE=Weak;CARRY_FORWARD=No</x:v>
      </x:c>
      <x:c r="L84" s="19" t="str">
        <x:v>Weak</x:v>
      </x:c>
      <x:c r="M84" s="19" t="str">
        <x:v>No</x:v>
      </x:c>
      <x:c r="N84" s="31" t="str">
        <x:v>RECONSTRUCTED_FROM_REPORT</x:v>
      </x:c>
      <x:c r="O84" s="31" t="str">
        <x:v>EXCLUDE</x:v>
      </x:c>
      <x:c r="P84" s="19" t="str">
        <x:v>Fear of Temperature_ Historical Lexical Discovery and Anchor Validation.pdf</x:v>
      </x:c>
      <x:c r="Q84" s="31" t="str">
        <x:v>RECONSTRUCTED_FROM_REPORT</x:v>
      </x:c>
      <x:c r="R84" s="46" t="str">
        <x:v>Original candidate ID and row fields reconstructed from the compact narrative PDF table; this is not the missing original structured record.</x:v>
      </x:c>
    </x:row>
    <x:row r="85" ht="32" customHeight="1">
      <x:c r="A85" s="18" t="str">
        <x:v>FT-SEED-R1-1988-C-05</x:v>
      </x:c>
      <x:c r="B85" s="19" t="str">
        <x:v>INITIAL_180</x:v>
      </x:c>
      <x:c r="C85" s="31" t="str">
        <x:v>1988-C-05</x:v>
      </x:c>
      <x:c r="D85" s="19" t="str">
        <x:v>15</x:v>
      </x:c>
      <x:c r="E85" s="19" t="str">
        <x:v>FT-A1988</x:v>
      </x:c>
      <x:c r="F85" s="31" t="str">
        <x:v>anxiety</x:v>
      </x:c>
      <x:c r="G85" s="19" t="str">
        <x:v>C</x:v>
      </x:c>
      <x:c r="H85" s="19" t="str">
        <x:v>NOT_ANNOTATED_IN_SOURCE</x:v>
      </x:c>
      <x:c r="I85" s="19" t="str">
        <x:v>E88-1,2</x:v>
      </x:c>
      <x:c r="J85" s="19" t="str">
        <x:v>NOT_ANNOTATED_IN_SOURCE</x:v>
      </x:c>
      <x:c r="K85" s="19" t="str">
        <x:v>CONFIDENCE=Weak;CARRY_FORWARD=No</x:v>
      </x:c>
      <x:c r="L85" s="19" t="str">
        <x:v>Weak</x:v>
      </x:c>
      <x:c r="M85" s="19" t="str">
        <x:v>No</x:v>
      </x:c>
      <x:c r="N85" s="31" t="str">
        <x:v>RECONSTRUCTED_FROM_REPORT</x:v>
      </x:c>
      <x:c r="O85" s="31" t="str">
        <x:v>EXCLUDE</x:v>
      </x:c>
      <x:c r="P85" s="19" t="str">
        <x:v>Fear of Temperature_ Historical Lexical Discovery and Anchor Validation.pdf</x:v>
      </x:c>
      <x:c r="Q85" s="31" t="str">
        <x:v>RECONSTRUCTED_FROM_REPORT</x:v>
      </x:c>
      <x:c r="R85" s="46" t="str">
        <x:v>Original candidate ID and row fields reconstructed from the compact narrative PDF table; this is not the missing original structured record.</x:v>
      </x:c>
    </x:row>
    <x:row r="86" ht="32" customHeight="1">
      <x:c r="A86" s="18" t="str">
        <x:v>FT-SEED-R1-1988-C-06</x:v>
      </x:c>
      <x:c r="B86" s="19" t="str">
        <x:v>INITIAL_180</x:v>
      </x:c>
      <x:c r="C86" s="31" t="str">
        <x:v>1988-C-06</x:v>
      </x:c>
      <x:c r="D86" s="19" t="str">
        <x:v>16</x:v>
      </x:c>
      <x:c r="E86" s="19" t="str">
        <x:v>FT-A1988</x:v>
      </x:c>
      <x:c r="F86" s="31" t="str">
        <x:v>worry</x:v>
      </x:c>
      <x:c r="G86" s="19" t="str">
        <x:v>C</x:v>
      </x:c>
      <x:c r="H86" s="19" t="str">
        <x:v>NOT_ANNOTATED_IN_SOURCE</x:v>
      </x:c>
      <x:c r="I86" s="19" t="str">
        <x:v>E88-1,2</x:v>
      </x:c>
      <x:c r="J86" s="19" t="str">
        <x:v>NOT_ANNOTATED_IN_SOURCE</x:v>
      </x:c>
      <x:c r="K86" s="19" t="str">
        <x:v>CONFIDENCE=Weak;CARRY_FORWARD=No</x:v>
      </x:c>
      <x:c r="L86" s="19" t="str">
        <x:v>Weak</x:v>
      </x:c>
      <x:c r="M86" s="19" t="str">
        <x:v>No</x:v>
      </x:c>
      <x:c r="N86" s="31" t="str">
        <x:v>RECONSTRUCTED_FROM_REPORT</x:v>
      </x:c>
      <x:c r="O86" s="31" t="str">
        <x:v>EXCLUDE</x:v>
      </x:c>
      <x:c r="P86" s="19" t="str">
        <x:v>Fear of Temperature_ Historical Lexical Discovery and Anchor Validation.pdf</x:v>
      </x:c>
      <x:c r="Q86" s="31" t="str">
        <x:v>RECONSTRUCTED_FROM_REPORT</x:v>
      </x:c>
      <x:c r="R86" s="46" t="str">
        <x:v>Original candidate ID and row fields reconstructed from the compact narrative PDF table; this is not the missing original structured record.</x:v>
      </x:c>
    </x:row>
    <x:row r="87" ht="32" customHeight="1">
      <x:c r="A87" s="18" t="str">
        <x:v>FT-SEED-R1-1988-C-07</x:v>
      </x:c>
      <x:c r="B87" s="19" t="str">
        <x:v>INITIAL_180</x:v>
      </x:c>
      <x:c r="C87" s="31" t="str">
        <x:v>1988-C-07</x:v>
      </x:c>
      <x:c r="D87" s="19" t="str">
        <x:v>16</x:v>
      </x:c>
      <x:c r="E87" s="19" t="str">
        <x:v>FT-A1988</x:v>
      </x:c>
      <x:c r="F87" s="31" t="str">
        <x:v>urgency</x:v>
      </x:c>
      <x:c r="G87" s="19" t="str">
        <x:v>C</x:v>
      </x:c>
      <x:c r="H87" s="19" t="str">
        <x:v>NOT_ANNOTATED_IN_SOURCE</x:v>
      </x:c>
      <x:c r="I87" s="19" t="str">
        <x:v>E88-1,2</x:v>
      </x:c>
      <x:c r="J87" s="19" t="str">
        <x:v>NOT_ANNOTATED_IN_SOURCE</x:v>
      </x:c>
      <x:c r="K87" s="19" t="str">
        <x:v>CONFIDENCE=Moderate;CARRY_FORWARD=Conditional</x:v>
      </x:c>
      <x:c r="L87" s="19" t="str">
        <x:v>Moderate</x:v>
      </x:c>
      <x:c r="M87" s="19" t="str">
        <x:v>Conditional</x:v>
      </x:c>
      <x:c r="N87" s="31" t="str">
        <x:v>RECONSTRUCTED_FROM_REPORT</x:v>
      </x:c>
      <x:c r="O87" s="31" t="str">
        <x:v>UNRESOLVED</x:v>
      </x:c>
      <x:c r="P87" s="19" t="str">
        <x:v>Fear of Temperature_ Historical Lexical Discovery and Anchor Validation.pdf</x:v>
      </x:c>
      <x:c r="Q87" s="31" t="str">
        <x:v>RECONSTRUCTED_FROM_REPORT</x:v>
      </x:c>
      <x:c r="R87" s="46" t="str">
        <x:v>Original candidate ID and row fields reconstructed from the compact narrative PDF table; this is not the missing original structured record.</x:v>
      </x:c>
    </x:row>
    <x:row r="88" ht="32" customHeight="1">
      <x:c r="A88" s="18" t="str">
        <x:v>FT-SEED-R1-1988-D-01</x:v>
      </x:c>
      <x:c r="B88" s="19" t="str">
        <x:v>INITIAL_180</x:v>
      </x:c>
      <x:c r="C88" s="31" t="str">
        <x:v>1988-D-01</x:v>
      </x:c>
      <x:c r="D88" s="19" t="str">
        <x:v>16</x:v>
      </x:c>
      <x:c r="E88" s="19" t="str">
        <x:v>FT-A1988</x:v>
      </x:c>
      <x:c r="F88" s="31" t="str">
        <x:v>threatening</x:v>
      </x:c>
      <x:c r="G88" s="19" t="str">
        <x:v>D</x:v>
      </x:c>
      <x:c r="H88" s="19" t="str">
        <x:v>NOT_ANNOTATED_IN_SOURCE</x:v>
      </x:c>
      <x:c r="I88" s="19" t="str">
        <x:v>E88-1</x:v>
      </x:c>
      <x:c r="J88" s="19" t="str">
        <x:v>NOT_ANNOTATED_IN_SOURCE</x:v>
      </x:c>
      <x:c r="K88" s="19" t="str">
        <x:v>CONFIDENCE=Strong;CARRY_FORWARD=Yes</x:v>
      </x:c>
      <x:c r="L88" s="19" t="str">
        <x:v>Strong</x:v>
      </x:c>
      <x:c r="M88" s="19" t="str">
        <x:v>Yes</x:v>
      </x:c>
      <x:c r="N88" s="31" t="str">
        <x:v>RECONSTRUCTED_FROM_REPORT</x:v>
      </x:c>
      <x:c r="O88" s="31" t="str">
        <x:v>RETAIN</x:v>
      </x:c>
      <x:c r="P88" s="19" t="str">
        <x:v>Fear of Temperature_ Historical Lexical Discovery and Anchor Validation.pdf</x:v>
      </x:c>
      <x:c r="Q88" s="31" t="str">
        <x:v>RECONSTRUCTED_FROM_REPORT</x:v>
      </x:c>
      <x:c r="R88" s="46" t="str">
        <x:v>Original candidate ID and row fields reconstructed from the compact narrative PDF table; this is not the missing original structured record.</x:v>
      </x:c>
    </x:row>
    <x:row r="89" ht="32" customHeight="1">
      <x:c r="A89" s="18" t="str">
        <x:v>FT-SEED-R1-1988-D-02</x:v>
      </x:c>
      <x:c r="B89" s="19" t="str">
        <x:v>INITIAL_180</x:v>
      </x:c>
      <x:c r="C89" s="31" t="str">
        <x:v>1988-D-02</x:v>
      </x:c>
      <x:c r="D89" s="19" t="str">
        <x:v>16</x:v>
      </x:c>
      <x:c r="E89" s="19" t="str">
        <x:v>FT-A1988</x:v>
      </x:c>
      <x:c r="F89" s="31" t="str">
        <x:v>severe consequences</x:v>
      </x:c>
      <x:c r="G89" s="19" t="str">
        <x:v>D</x:v>
      </x:c>
      <x:c r="H89" s="19" t="str">
        <x:v>NOT_ANNOTATED_IN_SOURCE</x:v>
      </x:c>
      <x:c r="I89" s="19" t="str">
        <x:v>E88-1</x:v>
      </x:c>
      <x:c r="J89" s="19" t="str">
        <x:v>NOT_ANNOTATED_IN_SOURCE</x:v>
      </x:c>
      <x:c r="K89" s="19" t="str">
        <x:v>CONFIDENCE=Strong;CARRY_FORWARD=Yes</x:v>
      </x:c>
      <x:c r="L89" s="19" t="str">
        <x:v>Strong</x:v>
      </x:c>
      <x:c r="M89" s="19" t="str">
        <x:v>Yes</x:v>
      </x:c>
      <x:c r="N89" s="31" t="str">
        <x:v>RECONSTRUCTED_FROM_REPORT</x:v>
      </x:c>
      <x:c r="O89" s="31" t="str">
        <x:v>RETAIN</x:v>
      </x:c>
      <x:c r="P89" s="19" t="str">
        <x:v>Fear of Temperature_ Historical Lexical Discovery and Anchor Validation.pdf</x:v>
      </x:c>
      <x:c r="Q89" s="31" t="str">
        <x:v>RECONSTRUCTED_FROM_REPORT</x:v>
      </x:c>
      <x:c r="R89" s="46" t="str">
        <x:v>Original candidate ID and row fields reconstructed from the compact narrative PDF table; this is not the missing original structured record.</x:v>
      </x:c>
    </x:row>
    <x:row r="90" ht="32" customHeight="1">
      <x:c r="A90" s="18" t="str">
        <x:v>FT-SEED-R1-1988-D-03</x:v>
      </x:c>
      <x:c r="B90" s="19" t="str">
        <x:v>INITIAL_180</x:v>
      </x:c>
      <x:c r="C90" s="31" t="str">
        <x:v>1988-D-03</x:v>
      </x:c>
      <x:c r="D90" s="19" t="str">
        <x:v>16</x:v>
      </x:c>
      <x:c r="E90" s="19" t="str">
        <x:v>FT-A1988</x:v>
      </x:c>
      <x:c r="F90" s="31" t="str">
        <x:v>disastrous</x:v>
      </x:c>
      <x:c r="G90" s="19" t="str">
        <x:v>D</x:v>
      </x:c>
      <x:c r="H90" s="19" t="str">
        <x:v>NOT_ANNOTATED_IN_SOURCE</x:v>
      </x:c>
      <x:c r="I90" s="19" t="str">
        <x:v>E88-1</x:v>
      </x:c>
      <x:c r="J90" s="19" t="str">
        <x:v>NOT_ANNOTATED_IN_SOURCE</x:v>
      </x:c>
      <x:c r="K90" s="19" t="str">
        <x:v>CONFIDENCE=Strong;CARRY_FORWARD=Yes</x:v>
      </x:c>
      <x:c r="L90" s="19" t="str">
        <x:v>Strong</x:v>
      </x:c>
      <x:c r="M90" s="19" t="str">
        <x:v>Yes</x:v>
      </x:c>
      <x:c r="N90" s="31" t="str">
        <x:v>RECONSTRUCTED_FROM_REPORT</x:v>
      </x:c>
      <x:c r="O90" s="31" t="str">
        <x:v>RETAIN</x:v>
      </x:c>
      <x:c r="P90" s="19" t="str">
        <x:v>Fear of Temperature_ Historical Lexical Discovery and Anchor Validation.pdf</x:v>
      </x:c>
      <x:c r="Q90" s="31" t="str">
        <x:v>RECONSTRUCTED_FROM_REPORT</x:v>
      </x:c>
      <x:c r="R90" s="46" t="str">
        <x:v>Original candidate ID and row fields reconstructed from the compact narrative PDF table; this is not the missing original structured record.</x:v>
      </x:c>
    </x:row>
    <x:row r="91" ht="32" customHeight="1">
      <x:c r="A91" s="18" t="str">
        <x:v>FT-SEED-R1-1988-D-04</x:v>
      </x:c>
      <x:c r="B91" s="19" t="str">
        <x:v>INITIAL_180</x:v>
      </x:c>
      <x:c r="C91" s="31" t="str">
        <x:v>1988-D-04</x:v>
      </x:c>
      <x:c r="D91" s="19" t="str">
        <x:v>16</x:v>
      </x:c>
      <x:c r="E91" s="19" t="str">
        <x:v>FT-A1988</x:v>
      </x:c>
      <x:c r="F91" s="31" t="str">
        <x:v>detrimental effects</x:v>
      </x:c>
      <x:c r="G91" s="19" t="str">
        <x:v>D</x:v>
      </x:c>
      <x:c r="H91" s="19" t="str">
        <x:v>NOT_ANNOTATED_IN_SOURCE</x:v>
      </x:c>
      <x:c r="I91" s="19" t="str">
        <x:v>E88-1</x:v>
      </x:c>
      <x:c r="J91" s="19" t="str">
        <x:v>NOT_ANNOTATED_IN_SOURCE</x:v>
      </x:c>
      <x:c r="K91" s="19" t="str">
        <x:v>CONFIDENCE=Strong;CARRY_FORWARD=Yes</x:v>
      </x:c>
      <x:c r="L91" s="19" t="str">
        <x:v>Strong</x:v>
      </x:c>
      <x:c r="M91" s="19" t="str">
        <x:v>Yes</x:v>
      </x:c>
      <x:c r="N91" s="31" t="str">
        <x:v>RECONSTRUCTED_FROM_REPORT</x:v>
      </x:c>
      <x:c r="O91" s="31" t="str">
        <x:v>RETAIN</x:v>
      </x:c>
      <x:c r="P91" s="19" t="str">
        <x:v>Fear of Temperature_ Historical Lexical Discovery and Anchor Validation.pdf</x:v>
      </x:c>
      <x:c r="Q91" s="31" t="str">
        <x:v>RECONSTRUCTED_FROM_REPORT</x:v>
      </x:c>
      <x:c r="R91" s="46" t="str">
        <x:v>Original candidate ID and row fields reconstructed from the compact narrative PDF table; this is not the missing original structured record.</x:v>
      </x:c>
    </x:row>
    <x:row r="92" ht="32" customHeight="1">
      <x:c r="A92" s="18" t="str">
        <x:v>FT-SEED-R1-1988-D-05</x:v>
      </x:c>
      <x:c r="B92" s="19" t="str">
        <x:v>INITIAL_180</x:v>
      </x:c>
      <x:c r="C92" s="31" t="str">
        <x:v>1988-D-05</x:v>
      </x:c>
      <x:c r="D92" s="19" t="str">
        <x:v>16</x:v>
      </x:c>
      <x:c r="E92" s="19" t="str">
        <x:v>FT-A1988</x:v>
      </x:c>
      <x:c r="F92" s="31" t="str">
        <x:v>critical problem</x:v>
      </x:c>
      <x:c r="G92" s="19" t="str">
        <x:v>D</x:v>
      </x:c>
      <x:c r="H92" s="19" t="str">
        <x:v>NOT_ANNOTATED_IN_SOURCE</x:v>
      </x:c>
      <x:c r="I92" s="19" t="str">
        <x:v>E88-2</x:v>
      </x:c>
      <x:c r="J92" s="19" t="str">
        <x:v>NOT_ANNOTATED_IN_SOURCE</x:v>
      </x:c>
      <x:c r="K92" s="19" t="str">
        <x:v>CONFIDENCE=Strong;CARRY_FORWARD=Yes</x:v>
      </x:c>
      <x:c r="L92" s="19" t="str">
        <x:v>Strong</x:v>
      </x:c>
      <x:c r="M92" s="19" t="str">
        <x:v>Yes</x:v>
      </x:c>
      <x:c r="N92" s="31" t="str">
        <x:v>RECONSTRUCTED_FROM_REPORT</x:v>
      </x:c>
      <x:c r="O92" s="31" t="str">
        <x:v>RETAIN</x:v>
      </x:c>
      <x:c r="P92" s="19" t="str">
        <x:v>Fear of Temperature_ Historical Lexical Discovery and Anchor Validation.pdf</x:v>
      </x:c>
      <x:c r="Q92" s="31" t="str">
        <x:v>RECONSTRUCTED_FROM_REPORT</x:v>
      </x:c>
      <x:c r="R92" s="46" t="str">
        <x:v>Original candidate ID and row fields reconstructed from the compact narrative PDF table; this is not the missing original structured record.</x:v>
      </x:c>
    </x:row>
    <x:row r="93" ht="32" customHeight="1">
      <x:c r="A93" s="18" t="str">
        <x:v>FT-SEED-R1-1988-D-06</x:v>
      </x:c>
      <x:c r="B93" s="19" t="str">
        <x:v>INITIAL_180</x:v>
      </x:c>
      <x:c r="C93" s="31" t="str">
        <x:v>1988-D-06</x:v>
      </x:c>
      <x:c r="D93" s="19" t="str">
        <x:v>17</x:v>
      </x:c>
      <x:c r="E93" s="19" t="str">
        <x:v>FT-A1988</x:v>
      </x:c>
      <x:c r="F93" s="31" t="str">
        <x:v>global security</x:v>
      </x:c>
      <x:c r="G93" s="19" t="str">
        <x:v>D</x:v>
      </x:c>
      <x:c r="H93" s="19" t="str">
        <x:v>NOT_ANNOTATED_IN_SOURCE</x:v>
      </x:c>
      <x:c r="I93" s="19" t="str">
        <x:v>E88-2</x:v>
      </x:c>
      <x:c r="J93" s="19" t="str">
        <x:v>E1</x:v>
      </x:c>
      <x:c r="K93" s="19" t="str">
        <x:v>CONFIDENCE=Strong;CARRY_FORWARD=Yes</x:v>
      </x:c>
      <x:c r="L93" s="19" t="str">
        <x:v>Strong</x:v>
      </x:c>
      <x:c r="M93" s="19" t="str">
        <x:v>Yes</x:v>
      </x:c>
      <x:c r="N93" s="31" t="str">
        <x:v>RECONSTRUCTED_FROM_REPORT</x:v>
      </x:c>
      <x:c r="O93" s="31" t="str">
        <x:v>RETAIN</x:v>
      </x:c>
      <x:c r="P93" s="19" t="str">
        <x:v>Fear of Temperature_ Historical Lexical Discovery and Anchor Validation.pdf</x:v>
      </x:c>
      <x:c r="Q93" s="31" t="str">
        <x:v>RECONSTRUCTED_FROM_REPORT</x:v>
      </x:c>
      <x:c r="R93" s="46" t="str">
        <x:v>Original candidate ID and row fields reconstructed from the compact narrative PDF table; this is not the missing original structured record.</x:v>
      </x:c>
    </x:row>
    <x:row r="94" ht="32" customHeight="1">
      <x:c r="A94" s="18" t="str">
        <x:v>FT-SEED-R1-1988-D-07</x:v>
      </x:c>
      <x:c r="B94" s="19" t="str">
        <x:v>INITIAL_180</x:v>
      </x:c>
      <x:c r="C94" s="31" t="str">
        <x:v>1988-D-07</x:v>
      </x:c>
      <x:c r="D94" s="19" t="str">
        <x:v>17</x:v>
      </x:c>
      <x:c r="E94" s="19" t="str">
        <x:v>FT-A1988</x:v>
      </x:c>
      <x:c r="F94" s="31" t="str">
        <x:v>ultimate consequences</x:v>
      </x:c>
      <x:c r="G94" s="19" t="str">
        <x:v>D</x:v>
      </x:c>
      <x:c r="H94" s="19" t="str">
        <x:v>NOT_ANNOTATED_IN_SOURCE</x:v>
      </x:c>
      <x:c r="I94" s="19" t="str">
        <x:v>E88-2</x:v>
      </x:c>
      <x:c r="J94" s="19" t="str">
        <x:v>NOT_ANNOTATED_IN_SOURCE</x:v>
      </x:c>
      <x:c r="K94" s="19" t="str">
        <x:v>CONFIDENCE=Strong;CARRY_FORWARD=Yes</x:v>
      </x:c>
      <x:c r="L94" s="19" t="str">
        <x:v>Strong</x:v>
      </x:c>
      <x:c r="M94" s="19" t="str">
        <x:v>Yes</x:v>
      </x:c>
      <x:c r="N94" s="31" t="str">
        <x:v>RECONSTRUCTED_FROM_REPORT</x:v>
      </x:c>
      <x:c r="O94" s="31" t="str">
        <x:v>RETAIN</x:v>
      </x:c>
      <x:c r="P94" s="19" t="str">
        <x:v>Fear of Temperature_ Historical Lexical Discovery and Anchor Validation.pdf</x:v>
      </x:c>
      <x:c r="Q94" s="31" t="str">
        <x:v>RECONSTRUCTED_FROM_REPORT</x:v>
      </x:c>
      <x:c r="R94" s="46" t="str">
        <x:v>Original candidate ID and row fields reconstructed from the compact narrative PDF table; this is not the missing original structured record.</x:v>
      </x:c>
    </x:row>
    <x:row r="95" ht="32" customHeight="1">
      <x:c r="A95" s="18" t="str">
        <x:v>FT-SEED-R1-0607-A-01</x:v>
      </x:c>
      <x:c r="B95" s="19" t="str">
        <x:v>INITIAL_180</x:v>
      </x:c>
      <x:c r="C95" s="31" t="str">
        <x:v>0607-A-01</x:v>
      </x:c>
      <x:c r="D95" s="19" t="str">
        <x:v>18</x:v>
      </x:c>
      <x:c r="E95" s="19" t="str">
        <x:v>FT-A0607</x:v>
      </x:c>
      <x:c r="F95" s="31" t="str">
        <x:v>global warming</x:v>
      </x:c>
      <x:c r="G95" s="19" t="str">
        <x:v>A</x:v>
      </x:c>
      <x:c r="H95" s="19" t="str">
        <x:v>NOT_ANNOTATED_IN_SOURCE</x:v>
      </x:c>
      <x:c r="I95" s="19" t="str">
        <x:v>E06-2,3</x:v>
      </x:c>
      <x:c r="J95" s="19" t="str">
        <x:v>NOT_ANNOTATED_IN_SOURCE</x:v>
      </x:c>
      <x:c r="K95" s="19" t="str">
        <x:v>CONFIDENCE=Strong;CARRY_FORWARD=Yes</x:v>
      </x:c>
      <x:c r="L95" s="19" t="str">
        <x:v>Strong</x:v>
      </x:c>
      <x:c r="M95" s="19" t="str">
        <x:v>Yes</x:v>
      </x:c>
      <x:c r="N95" s="31" t="str">
        <x:v>RECONSTRUCTED_FROM_REPORT</x:v>
      </x:c>
      <x:c r="O95" s="31" t="str">
        <x:v>RETAIN</x:v>
      </x:c>
      <x:c r="P95" s="19" t="str">
        <x:v>Fear of Temperature_ Historical Lexical Discovery and Anchor Validation.pdf</x:v>
      </x:c>
      <x:c r="Q95" s="31" t="str">
        <x:v>RECONSTRUCTED_FROM_REPORT</x:v>
      </x:c>
      <x:c r="R95" s="46" t="str">
        <x:v>Original candidate ID and row fields reconstructed from the compact narrative PDF table; this is not the missing original structured record.</x:v>
      </x:c>
    </x:row>
    <x:row r="96" ht="32" customHeight="1">
      <x:c r="A96" s="18" t="str">
        <x:v>FT-SEED-R1-0607-A-02</x:v>
      </x:c>
      <x:c r="B96" s="19" t="str">
        <x:v>INITIAL_180</x:v>
      </x:c>
      <x:c r="C96" s="31" t="str">
        <x:v>0607-A-02</x:v>
      </x:c>
      <x:c r="D96" s="19" t="str">
        <x:v>18</x:v>
      </x:c>
      <x:c r="E96" s="19" t="str">
        <x:v>FT-A0607</x:v>
      </x:c>
      <x:c r="F96" s="31" t="str">
        <x:v>warming</x:v>
      </x:c>
      <x:c r="G96" s="19" t="str">
        <x:v>A</x:v>
      </x:c>
      <x:c r="H96" s="19" t="str">
        <x:v>NOT_ANNOTATED_IN_SOURCE</x:v>
      </x:c>
      <x:c r="I96" s="19" t="str">
        <x:v>E06-2</x:v>
      </x:c>
      <x:c r="J96" s="19" t="str">
        <x:v>NOT_ANNOTATED_IN_SOURCE</x:v>
      </x:c>
      <x:c r="K96" s="19" t="str">
        <x:v>CONFIDENCE=Strong;CARRY_FORWARD=Yes</x:v>
      </x:c>
      <x:c r="L96" s="19" t="str">
        <x:v>Strong</x:v>
      </x:c>
      <x:c r="M96" s="19" t="str">
        <x:v>Yes</x:v>
      </x:c>
      <x:c r="N96" s="31" t="str">
        <x:v>RECONSTRUCTED_FROM_REPORT</x:v>
      </x:c>
      <x:c r="O96" s="31" t="str">
        <x:v>RETAIN</x:v>
      </x:c>
      <x:c r="P96" s="19" t="str">
        <x:v>Fear of Temperature_ Historical Lexical Discovery and Anchor Validation.pdf</x:v>
      </x:c>
      <x:c r="Q96" s="31" t="str">
        <x:v>RECONSTRUCTED_FROM_REPORT</x:v>
      </x:c>
      <x:c r="R96" s="46" t="str">
        <x:v>Original candidate ID and row fields reconstructed from the compact narrative PDF table; this is not the missing original structured record.</x:v>
      </x:c>
    </x:row>
    <x:row r="97" ht="32" customHeight="1">
      <x:c r="A97" s="18" t="str">
        <x:v>FT-SEED-R1-0607-A-03</x:v>
      </x:c>
      <x:c r="B97" s="19" t="str">
        <x:v>INITIAL_180</x:v>
      </x:c>
      <x:c r="C97" s="31" t="str">
        <x:v>0607-A-03</x:v>
      </x:c>
      <x:c r="D97" s="19" t="str">
        <x:v>18</x:v>
      </x:c>
      <x:c r="E97" s="19" t="str">
        <x:v>FT-A0607</x:v>
      </x:c>
      <x:c r="F97" s="31" t="str">
        <x:v>global average temperature</x:v>
      </x:c>
      <x:c r="G97" s="19" t="str">
        <x:v>A</x:v>
      </x:c>
      <x:c r="H97" s="19" t="str">
        <x:v>NOT_ANNOTATED_IN_SOURCE</x:v>
      </x:c>
      <x:c r="I97" s="19" t="str">
        <x:v>E06-1,2</x:v>
      </x:c>
      <x:c r="J97" s="19" t="str">
        <x:v>NOT_ANNOTATED_IN_SOURCE</x:v>
      </x:c>
      <x:c r="K97" s="19" t="str">
        <x:v>CONFIDENCE=Strong;CARRY_FORWARD=Yes</x:v>
      </x:c>
      <x:c r="L97" s="19" t="str">
        <x:v>Strong</x:v>
      </x:c>
      <x:c r="M97" s="19" t="str">
        <x:v>Yes</x:v>
      </x:c>
      <x:c r="N97" s="31" t="str">
        <x:v>RECONSTRUCTED_FROM_REPORT</x:v>
      </x:c>
      <x:c r="O97" s="31" t="str">
        <x:v>RETAIN</x:v>
      </x:c>
      <x:c r="P97" s="19" t="str">
        <x:v>Fear of Temperature_ Historical Lexical Discovery and Anchor Validation.pdf</x:v>
      </x:c>
      <x:c r="Q97" s="31" t="str">
        <x:v>RECONSTRUCTED_FROM_REPORT</x:v>
      </x:c>
      <x:c r="R97" s="46" t="str">
        <x:v>Original candidate ID and row fields reconstructed from the compact narrative PDF table; this is not the missing original structured record.</x:v>
      </x:c>
    </x:row>
    <x:row r="98" ht="32" customHeight="1">
      <x:c r="A98" s="18" t="str">
        <x:v>FT-SEED-R1-0607-A-04</x:v>
      </x:c>
      <x:c r="B98" s="19" t="str">
        <x:v>INITIAL_180</x:v>
      </x:c>
      <x:c r="C98" s="31" t="str">
        <x:v>0607-A-04</x:v>
      </x:c>
      <x:c r="D98" s="19" t="str">
        <x:v>18</x:v>
      </x:c>
      <x:c r="E98" s="19" t="str">
        <x:v>FT-A0607</x:v>
      </x:c>
      <x:c r="F98" s="31" t="str">
        <x:v>temperature increase</x:v>
      </x:c>
      <x:c r="G98" s="19" t="str">
        <x:v>A</x:v>
      </x:c>
      <x:c r="H98" s="19" t="str">
        <x:v>NOT_ANNOTATED_IN_SOURCE</x:v>
      </x:c>
      <x:c r="I98" s="19" t="str">
        <x:v>E06-1,2</x:v>
      </x:c>
      <x:c r="J98" s="19" t="str">
        <x:v>NOT_ANNOTATED_IN_SOURCE</x:v>
      </x:c>
      <x:c r="K98" s="19" t="str">
        <x:v>CONFIDENCE=Strong;CARRY_FORWARD=Yes</x:v>
      </x:c>
      <x:c r="L98" s="19" t="str">
        <x:v>Strong</x:v>
      </x:c>
      <x:c r="M98" s="19" t="str">
        <x:v>Yes</x:v>
      </x:c>
      <x:c r="N98" s="31" t="str">
        <x:v>RECONSTRUCTED_FROM_REPORT</x:v>
      </x:c>
      <x:c r="O98" s="31" t="str">
        <x:v>RETAIN</x:v>
      </x:c>
      <x:c r="P98" s="19" t="str">
        <x:v>Fear of Temperature_ Historical Lexical Discovery and Anchor Validation.pdf</x:v>
      </x:c>
      <x:c r="Q98" s="31" t="str">
        <x:v>RECONSTRUCTED_FROM_REPORT</x:v>
      </x:c>
      <x:c r="R98" s="46" t="str">
        <x:v>Original candidate ID and row fields reconstructed from the compact narrative PDF table; this is not the missing original structured record.</x:v>
      </x:c>
    </x:row>
    <x:row r="99" ht="32" customHeight="1">
      <x:c r="A99" s="18" t="str">
        <x:v>FT-SEED-R1-0607-A-05</x:v>
      </x:c>
      <x:c r="B99" s="19" t="str">
        <x:v>INITIAL_180</x:v>
      </x:c>
      <x:c r="C99" s="31" t="str">
        <x:v>0607-A-05</x:v>
      </x:c>
      <x:c r="D99" s="19" t="str">
        <x:v>18</x:v>
      </x:c>
      <x:c r="E99" s="19" t="str">
        <x:v>FT-A0607</x:v>
      </x:c>
      <x:c r="F99" s="31" t="str">
        <x:v>temperature rise</x:v>
      </x:c>
      <x:c r="G99" s="19" t="str">
        <x:v>A</x:v>
      </x:c>
      <x:c r="H99" s="19" t="str">
        <x:v>NOT_ANNOTATED_IN_SOURCE</x:v>
      </x:c>
      <x:c r="I99" s="19" t="str">
        <x:v>E06-1,2</x:v>
      </x:c>
      <x:c r="J99" s="19" t="str">
        <x:v>NOT_ANNOTATED_IN_SOURCE</x:v>
      </x:c>
      <x:c r="K99" s="19" t="str">
        <x:v>CONFIDENCE=Strong;CARRY_FORWARD=Yes</x:v>
      </x:c>
      <x:c r="L99" s="19" t="str">
        <x:v>Strong</x:v>
      </x:c>
      <x:c r="M99" s="19" t="str">
        <x:v>Yes</x:v>
      </x:c>
      <x:c r="N99" s="31" t="str">
        <x:v>RECONSTRUCTED_FROM_REPORT</x:v>
      </x:c>
      <x:c r="O99" s="31" t="str">
        <x:v>RETAIN</x:v>
      </x:c>
      <x:c r="P99" s="19" t="str">
        <x:v>Fear of Temperature_ Historical Lexical Discovery and Anchor Validation.pdf</x:v>
      </x:c>
      <x:c r="Q99" s="31" t="str">
        <x:v>RECONSTRUCTED_FROM_REPORT</x:v>
      </x:c>
      <x:c r="R99" s="46" t="str">
        <x:v>Original candidate ID and row fields reconstructed from the compact narrative PDF table; this is not the missing original structured record.</x:v>
      </x:c>
    </x:row>
    <x:row r="100" ht="32" customHeight="1">
      <x:c r="A100" s="18" t="str">
        <x:v>FT-SEED-R1-0607-A-06</x:v>
      </x:c>
      <x:c r="B100" s="19" t="str">
        <x:v>INITIAL_180</x:v>
      </x:c>
      <x:c r="C100" s="31" t="str">
        <x:v>0607-A-06</x:v>
      </x:c>
      <x:c r="D100" s="19" t="str">
        <x:v>18</x:v>
      </x:c>
      <x:c r="E100" s="19" t="str">
        <x:v>FT-A0607</x:v>
      </x:c>
      <x:c r="F100" s="31" t="str">
        <x:v>warming of the climate system</x:v>
      </x:c>
      <x:c r="G100" s="19" t="str">
        <x:v>A</x:v>
      </x:c>
      <x:c r="H100" s="19" t="str">
        <x:v>NOT_ANNOTATED_IN_SOURCE</x:v>
      </x:c>
      <x:c r="I100" s="19" t="str">
        <x:v>E06-2</x:v>
      </x:c>
      <x:c r="J100" s="19" t="str">
        <x:v>NOT_ANNOTATED_IN_SOURCE</x:v>
      </x:c>
      <x:c r="K100" s="19" t="str">
        <x:v>CONFIDENCE=Strong;CARRY_FORWARD=Yes</x:v>
      </x:c>
      <x:c r="L100" s="19" t="str">
        <x:v>Strong</x:v>
      </x:c>
      <x:c r="M100" s="19" t="str">
        <x:v>Yes</x:v>
      </x:c>
      <x:c r="N100" s="31" t="str">
        <x:v>RECONSTRUCTED_FROM_REPORT</x:v>
      </x:c>
      <x:c r="O100" s="31" t="str">
        <x:v>RETAIN</x:v>
      </x:c>
      <x:c r="P100" s="19" t="str">
        <x:v>Fear of Temperature_ Historical Lexical Discovery and Anchor Validation.pdf</x:v>
      </x:c>
      <x:c r="Q100" s="31" t="str">
        <x:v>RECONSTRUCTED_FROM_REPORT</x:v>
      </x:c>
      <x:c r="R100" s="46" t="str">
        <x:v>Original candidate ID and row fields reconstructed from the compact narrative PDF table; this is not the missing original structured record.</x:v>
      </x:c>
    </x:row>
    <x:row r="101" ht="32" customHeight="1">
      <x:c r="A101" s="18" t="str">
        <x:v>FT-SEED-R1-0607-A-07</x:v>
      </x:c>
      <x:c r="B101" s="19" t="str">
        <x:v>INITIAL_180</x:v>
      </x:c>
      <x:c r="C101" s="31" t="str">
        <x:v>0607-A-07</x:v>
      </x:c>
      <x:c r="D101" s="19" t="str">
        <x:v>18</x:v>
      </x:c>
      <x:c r="E101" s="19" t="str">
        <x:v>FT-A0607</x:v>
      </x:c>
      <x:c r="F101" s="31" t="str">
        <x:v>heat waves</x:v>
      </x:c>
      <x:c r="G101" s="19" t="str">
        <x:v>A</x:v>
      </x:c>
      <x:c r="H101" s="19" t="str">
        <x:v>NOT_ANNOTATED_IN_SOURCE</x:v>
      </x:c>
      <x:c r="I101" s="19" t="str">
        <x:v>E06-1,2</x:v>
      </x:c>
      <x:c r="J101" s="19" t="str">
        <x:v>NOT_ANNOTATED_IN_SOURCE</x:v>
      </x:c>
      <x:c r="K101" s="19" t="str">
        <x:v>CONFIDENCE=Strong;CARRY_FORWARD=Yes</x:v>
      </x:c>
      <x:c r="L101" s="19" t="str">
        <x:v>Strong</x:v>
      </x:c>
      <x:c r="M101" s="19" t="str">
        <x:v>Yes</x:v>
      </x:c>
      <x:c r="N101" s="31" t="str">
        <x:v>RECONSTRUCTED_FROM_REPORT</x:v>
      </x:c>
      <x:c r="O101" s="31" t="str">
        <x:v>RETAIN</x:v>
      </x:c>
      <x:c r="P101" s="19" t="str">
        <x:v>Fear of Temperature_ Historical Lexical Discovery and Anchor Validation.pdf</x:v>
      </x:c>
      <x:c r="Q101" s="31" t="str">
        <x:v>RECONSTRUCTED_FROM_REPORT</x:v>
      </x:c>
      <x:c r="R101" s="46" t="str">
        <x:v>Original candidate ID and row fields reconstructed from the compact narrative PDF table; this is not the missing original structured record.</x:v>
      </x:c>
    </x:row>
    <x:row r="102" ht="32" customHeight="1">
      <x:c r="A102" s="18" t="str">
        <x:v>FT-SEED-R1-0607-A-08</x:v>
      </x:c>
      <x:c r="B102" s="19" t="str">
        <x:v>INITIAL_180</x:v>
      </x:c>
      <x:c r="C102" s="31" t="str">
        <x:v>0607-A-08</x:v>
      </x:c>
      <x:c r="D102" s="19" t="str">
        <x:v>18</x:v>
      </x:c>
      <x:c r="E102" s="19" t="str">
        <x:v>FT-A0607</x:v>
      </x:c>
      <x:c r="F102" s="31" t="str">
        <x:v>warmer</x:v>
      </x:c>
      <x:c r="G102" s="19" t="str">
        <x:v>A</x:v>
      </x:c>
      <x:c r="H102" s="19" t="str">
        <x:v>NOT_ANNOTATED_IN_SOURCE</x:v>
      </x:c>
      <x:c r="I102" s="19" t="str">
        <x:v>E06-1,2</x:v>
      </x:c>
      <x:c r="J102" s="19" t="str">
        <x:v>NOT_ANNOTATED_IN_SOURCE</x:v>
      </x:c>
      <x:c r="K102" s="19" t="str">
        <x:v>CONFIDENCE=Moderate;CARRY_FORWARD=Conditional</x:v>
      </x:c>
      <x:c r="L102" s="19" t="str">
        <x:v>Moderate</x:v>
      </x:c>
      <x:c r="M102" s="19" t="str">
        <x:v>Conditional</x:v>
      </x:c>
      <x:c r="N102" s="31" t="str">
        <x:v>RECONSTRUCTED_FROM_REPORT</x:v>
      </x:c>
      <x:c r="O102" s="31" t="str">
        <x:v>UNRESOLVED</x:v>
      </x:c>
      <x:c r="P102" s="19" t="str">
        <x:v>Fear of Temperature_ Historical Lexical Discovery and Anchor Validation.pdf</x:v>
      </x:c>
      <x:c r="Q102" s="31" t="str">
        <x:v>RECONSTRUCTED_FROM_REPORT</x:v>
      </x:c>
      <x:c r="R102" s="46" t="str">
        <x:v>Original candidate ID and row fields reconstructed from the compact narrative PDF table; this is not the missing original structured record.</x:v>
      </x:c>
    </x:row>
    <x:row r="103" ht="32" customHeight="1">
      <x:c r="A103" s="18" t="str">
        <x:v>FT-SEED-R1-0607-B-01</x:v>
      </x:c>
      <x:c r="B103" s="19" t="str">
        <x:v>INITIAL_180</x:v>
      </x:c>
      <x:c r="C103" s="31" t="str">
        <x:v>0607-B-01</x:v>
      </x:c>
      <x:c r="D103" s="19" t="str">
        <x:v>18</x:v>
      </x:c>
      <x:c r="E103" s="19" t="str">
        <x:v>FT-A0607</x:v>
      </x:c>
      <x:c r="F103" s="31" t="str">
        <x:v>climate change</x:v>
      </x:c>
      <x:c r="G103" s="19" t="str">
        <x:v>B</x:v>
      </x:c>
      <x:c r="H103" s="19" t="str">
        <x:v>NOT_ANNOTATED_IN_SOURCE</x:v>
      </x:c>
      <x:c r="I103" s="19" t="str">
        <x:v>E06-1,2</x:v>
      </x:c>
      <x:c r="J103" s="19" t="str">
        <x:v>NOT_ANNOTATED_IN_SOURCE</x:v>
      </x:c>
      <x:c r="K103" s="19" t="str">
        <x:v>CONFIDENCE=Strong;CARRY_FORWARD=Yes</x:v>
      </x:c>
      <x:c r="L103" s="19" t="str">
        <x:v>Strong</x:v>
      </x:c>
      <x:c r="M103" s="19" t="str">
        <x:v>Yes</x:v>
      </x:c>
      <x:c r="N103" s="31" t="str">
        <x:v>RECONSTRUCTED_FROM_REPORT</x:v>
      </x:c>
      <x:c r="O103" s="31" t="str">
        <x:v>RETAIN</x:v>
      </x:c>
      <x:c r="P103" s="19" t="str">
        <x:v>Fear of Temperature_ Historical Lexical Discovery and Anchor Validation.pdf</x:v>
      </x:c>
      <x:c r="Q103" s="31" t="str">
        <x:v>RECONSTRUCTED_FROM_REPORT</x:v>
      </x:c>
      <x:c r="R103" s="46" t="str">
        <x:v>Original candidate ID and row fields reconstructed from the compact narrative PDF table; this is not the missing original structured record.</x:v>
      </x:c>
    </x:row>
    <x:row r="104" ht="32" customHeight="1">
      <x:c r="A104" s="18" t="str">
        <x:v>FT-SEED-R1-0607-B-02</x:v>
      </x:c>
      <x:c r="B104" s="19" t="str">
        <x:v>INITIAL_180</x:v>
      </x:c>
      <x:c r="C104" s="31" t="str">
        <x:v>0607-B-02</x:v>
      </x:c>
      <x:c r="D104" s="19" t="str">
        <x:v>18</x:v>
      </x:c>
      <x:c r="E104" s="19" t="str">
        <x:v>FT-A0607</x:v>
      </x:c>
      <x:c r="F104" s="31" t="str">
        <x:v>climate system</x:v>
      </x:c>
      <x:c r="G104" s="19" t="str">
        <x:v>B</x:v>
      </x:c>
      <x:c r="H104" s="19" t="str">
        <x:v>NOT_ANNOTATED_IN_SOURCE</x:v>
      </x:c>
      <x:c r="I104" s="19" t="str">
        <x:v>E06-2</x:v>
      </x:c>
      <x:c r="J104" s="19" t="str">
        <x:v>NOT_ANNOTATED_IN_SOURCE</x:v>
      </x:c>
      <x:c r="K104" s="19" t="str">
        <x:v>CONFIDENCE=Strong;CARRY_FORWARD=Yes</x:v>
      </x:c>
      <x:c r="L104" s="19" t="str">
        <x:v>Strong</x:v>
      </x:c>
      <x:c r="M104" s="19" t="str">
        <x:v>Yes</x:v>
      </x:c>
      <x:c r="N104" s="31" t="str">
        <x:v>RECONSTRUCTED_FROM_REPORT</x:v>
      </x:c>
      <x:c r="O104" s="31" t="str">
        <x:v>RETAIN</x:v>
      </x:c>
      <x:c r="P104" s="19" t="str">
        <x:v>Fear of Temperature_ Historical Lexical Discovery and Anchor Validation.pdf</x:v>
      </x:c>
      <x:c r="Q104" s="31" t="str">
        <x:v>RECONSTRUCTED_FROM_REPORT</x:v>
      </x:c>
      <x:c r="R104" s="46" t="str">
        <x:v>Original candidate ID and row fields reconstructed from the compact narrative PDF table; this is not the missing original structured record.</x:v>
      </x:c>
    </x:row>
    <x:row r="105" ht="32" customHeight="1">
      <x:c r="A105" s="18" t="str">
        <x:v>FT-SEED-R1-0607-B-03</x:v>
      </x:c>
      <x:c r="B105" s="19" t="str">
        <x:v>INITIAL_180</x:v>
      </x:c>
      <x:c r="C105" s="31" t="str">
        <x:v>0607-B-03</x:v>
      </x:c>
      <x:c r="D105" s="19" t="str">
        <x:v>19</x:v>
      </x:c>
      <x:c r="E105" s="19" t="str">
        <x:v>FT-A0607</x:v>
      </x:c>
      <x:c r="F105" s="31" t="str">
        <x:v>greenhouse gases</x:v>
      </x:c>
      <x:c r="G105" s="19" t="str">
        <x:v>B</x:v>
      </x:c>
      <x:c r="H105" s="19" t="str">
        <x:v>NOT_ANNOTATED_IN_SOURCE</x:v>
      </x:c>
      <x:c r="I105" s="19" t="str">
        <x:v>E06-1,2</x:v>
      </x:c>
      <x:c r="J105" s="19" t="str">
        <x:v>NOT_ANNOTATED_IN_SOURCE</x:v>
      </x:c>
      <x:c r="K105" s="19" t="str">
        <x:v>CONFIDENCE=Strong;CARRY_FORWARD=Yes</x:v>
      </x:c>
      <x:c r="L105" s="19" t="str">
        <x:v>Strong</x:v>
      </x:c>
      <x:c r="M105" s="19" t="str">
        <x:v>Yes</x:v>
      </x:c>
      <x:c r="N105" s="31" t="str">
        <x:v>RECONSTRUCTED_FROM_REPORT</x:v>
      </x:c>
      <x:c r="O105" s="31" t="str">
        <x:v>RETAIN</x:v>
      </x:c>
      <x:c r="P105" s="19" t="str">
        <x:v>Fear of Temperature_ Historical Lexical Discovery and Anchor Validation.pdf</x:v>
      </x:c>
      <x:c r="Q105" s="31" t="str">
        <x:v>RECONSTRUCTED_FROM_REPORT</x:v>
      </x:c>
      <x:c r="R105" s="46" t="str">
        <x:v>Original candidate ID and row fields reconstructed from the compact narrative PDF table; this is not the missing original structured record.</x:v>
      </x:c>
    </x:row>
    <x:row r="106" ht="32" customHeight="1">
      <x:c r="A106" s="18" t="str">
        <x:v>FT-SEED-R1-0607-B-04</x:v>
      </x:c>
      <x:c r="B106" s="19" t="str">
        <x:v>INITIAL_180</x:v>
      </x:c>
      <x:c r="C106" s="31" t="str">
        <x:v>0607-B-04</x:v>
      </x:c>
      <x:c r="D106" s="19" t="str">
        <x:v>19</x:v>
      </x:c>
      <x:c r="E106" s="19" t="str">
        <x:v>FT-A0607</x:v>
      </x:c>
      <x:c r="F106" s="31" t="str">
        <x:v>greenhouse gas concentrations</x:v>
      </x:c>
      <x:c r="G106" s="19" t="str">
        <x:v>B</x:v>
      </x:c>
      <x:c r="H106" s="19" t="str">
        <x:v>NOT_ANNOTATED_IN_SOURCE</x:v>
      </x:c>
      <x:c r="I106" s="19" t="str">
        <x:v>E06-2</x:v>
      </x:c>
      <x:c r="J106" s="19" t="str">
        <x:v>NOT_ANNOTATED_IN_SOURCE</x:v>
      </x:c>
      <x:c r="K106" s="19" t="str">
        <x:v>CONFIDENCE=Strong;CARRY_FORWARD=Yes</x:v>
      </x:c>
      <x:c r="L106" s="19" t="str">
        <x:v>Strong</x:v>
      </x:c>
      <x:c r="M106" s="19" t="str">
        <x:v>Yes</x:v>
      </x:c>
      <x:c r="N106" s="31" t="str">
        <x:v>RECONSTRUCTED_FROM_REPORT</x:v>
      </x:c>
      <x:c r="O106" s="31" t="str">
        <x:v>RETAIN</x:v>
      </x:c>
      <x:c r="P106" s="19" t="str">
        <x:v>Fear of Temperature_ Historical Lexical Discovery and Anchor Validation.pdf</x:v>
      </x:c>
      <x:c r="Q106" s="31" t="str">
        <x:v>RECONSTRUCTED_FROM_REPORT</x:v>
      </x:c>
      <x:c r="R106" s="46" t="str">
        <x:v>Original candidate ID and row fields reconstructed from the compact narrative PDF table; this is not the missing original structured record.</x:v>
      </x:c>
    </x:row>
    <x:row r="107" ht="32" customHeight="1">
      <x:c r="A107" s="18" t="str">
        <x:v>FT-SEED-R1-0607-B-05</x:v>
      </x:c>
      <x:c r="B107" s="19" t="str">
        <x:v>INITIAL_180</x:v>
      </x:c>
      <x:c r="C107" s="31" t="str">
        <x:v>0607-B-05</x:v>
      </x:c>
      <x:c r="D107" s="19" t="str">
        <x:v>19</x:v>
      </x:c>
      <x:c r="E107" s="19" t="str">
        <x:v>FT-A0607</x:v>
      </x:c>
      <x:c r="F107" s="31" t="str">
        <x:v>anthropogenic warming</x:v>
      </x:c>
      <x:c r="G107" s="19" t="str">
        <x:v>B</x:v>
      </x:c>
      <x:c r="H107" s="19" t="str">
        <x:v>NOT_ANNOTATED_IN_SOURCE</x:v>
      </x:c>
      <x:c r="I107" s="19" t="str">
        <x:v>E06-2</x:v>
      </x:c>
      <x:c r="J107" s="19" t="str">
        <x:v>NOT_ANNOTATED_IN_SOURCE</x:v>
      </x:c>
      <x:c r="K107" s="19" t="str">
        <x:v>CONFIDENCE=Strong;CARRY_FORWARD=Yes</x:v>
      </x:c>
      <x:c r="L107" s="19" t="str">
        <x:v>Strong</x:v>
      </x:c>
      <x:c r="M107" s="19" t="str">
        <x:v>Yes</x:v>
      </x:c>
      <x:c r="N107" s="31" t="str">
        <x:v>RECONSTRUCTED_FROM_REPORT</x:v>
      </x:c>
      <x:c r="O107" s="31" t="str">
        <x:v>RETAIN</x:v>
      </x:c>
      <x:c r="P107" s="19" t="str">
        <x:v>Fear of Temperature_ Historical Lexical Discovery and Anchor Validation.pdf</x:v>
      </x:c>
      <x:c r="Q107" s="31" t="str">
        <x:v>RECONSTRUCTED_FROM_REPORT</x:v>
      </x:c>
      <x:c r="R107" s="46" t="str">
        <x:v>Original candidate ID and row fields reconstructed from the compact narrative PDF table; this is not the missing original structured record.</x:v>
      </x:c>
    </x:row>
    <x:row r="108" ht="32" customHeight="1">
      <x:c r="A108" s="18" t="str">
        <x:v>FT-SEED-R1-0607-B-06</x:v>
      </x:c>
      <x:c r="B108" s="19" t="str">
        <x:v>INITIAL_180</x:v>
      </x:c>
      <x:c r="C108" s="31" t="str">
        <x:v>0607-B-06</x:v>
      </x:c>
      <x:c r="D108" s="19" t="str">
        <x:v>19</x:v>
      </x:c>
      <x:c r="E108" s="19" t="str">
        <x:v>FT-A0607</x:v>
      </x:c>
      <x:c r="F108" s="31" t="str">
        <x:v>human influence</x:v>
      </x:c>
      <x:c r="G108" s="19" t="str">
        <x:v>B</x:v>
      </x:c>
      <x:c r="H108" s="19" t="str">
        <x:v>NOT_ANNOTATED_IN_SOURCE</x:v>
      </x:c>
      <x:c r="I108" s="19" t="str">
        <x:v>E06-2</x:v>
      </x:c>
      <x:c r="J108" s="19" t="str">
        <x:v>NOT_ANNOTATED_IN_SOURCE</x:v>
      </x:c>
      <x:c r="K108" s="19" t="str">
        <x:v>CONFIDENCE=Strong;CARRY_FORWARD=Yes</x:v>
      </x:c>
      <x:c r="L108" s="19" t="str">
        <x:v>Strong</x:v>
      </x:c>
      <x:c r="M108" s="19" t="str">
        <x:v>Yes</x:v>
      </x:c>
      <x:c r="N108" s="31" t="str">
        <x:v>RECONSTRUCTED_FROM_REPORT</x:v>
      </x:c>
      <x:c r="O108" s="31" t="str">
        <x:v>RETAIN</x:v>
      </x:c>
      <x:c r="P108" s="19" t="str">
        <x:v>Fear of Temperature_ Historical Lexical Discovery and Anchor Validation.pdf</x:v>
      </x:c>
      <x:c r="Q108" s="31" t="str">
        <x:v>RECONSTRUCTED_FROM_REPORT</x:v>
      </x:c>
      <x:c r="R108" s="46" t="str">
        <x:v>Original candidate ID and row fields reconstructed from the compact narrative PDF table; this is not the missing original structured record.</x:v>
      </x:c>
    </x:row>
    <x:row r="109" ht="32" customHeight="1">
      <x:c r="A109" s="18" t="str">
        <x:v>FT-SEED-R1-0607-B-07</x:v>
      </x:c>
      <x:c r="B109" s="19" t="str">
        <x:v>INITIAL_180</x:v>
      </x:c>
      <x:c r="C109" s="31" t="str">
        <x:v>0607-B-07</x:v>
      </x:c>
      <x:c r="D109" s="19" t="str">
        <x:v>19</x:v>
      </x:c>
      <x:c r="E109" s="19" t="str">
        <x:v>FT-A0607</x:v>
      </x:c>
      <x:c r="F109" s="31" t="str">
        <x:v>radiative forcing</x:v>
      </x:c>
      <x:c r="G109" s="19" t="str">
        <x:v>B</x:v>
      </x:c>
      <x:c r="H109" s="19" t="str">
        <x:v>NOT_ANNOTATED_IN_SOURCE</x:v>
      </x:c>
      <x:c r="I109" s="19" t="str">
        <x:v>E06-2</x:v>
      </x:c>
      <x:c r="J109" s="19" t="str">
        <x:v>NOT_ANNOTATED_IN_SOURCE</x:v>
      </x:c>
      <x:c r="K109" s="19" t="str">
        <x:v>CONFIDENCE=Strong;CARRY_FORWARD=Yes</x:v>
      </x:c>
      <x:c r="L109" s="19" t="str">
        <x:v>Strong</x:v>
      </x:c>
      <x:c r="M109" s="19" t="str">
        <x:v>Yes</x:v>
      </x:c>
      <x:c r="N109" s="31" t="str">
        <x:v>RECONSTRUCTED_FROM_REPORT</x:v>
      </x:c>
      <x:c r="O109" s="31" t="str">
        <x:v>RETAIN</x:v>
      </x:c>
      <x:c r="P109" s="19" t="str">
        <x:v>Fear of Temperature_ Historical Lexical Discovery and Anchor Validation.pdf</x:v>
      </x:c>
      <x:c r="Q109" s="31" t="str">
        <x:v>RECONSTRUCTED_FROM_REPORT</x:v>
      </x:c>
      <x:c r="R109" s="46" t="str">
        <x:v>Original candidate ID and row fields reconstructed from the compact narrative PDF table; this is not the missing original structured record.</x:v>
      </x:c>
    </x:row>
    <x:row r="110" ht="32" customHeight="1">
      <x:c r="A110" s="18" t="str">
        <x:v>FT-SEED-R1-0607-B-08</x:v>
      </x:c>
      <x:c r="B110" s="19" t="str">
        <x:v>INITIAL_180</x:v>
      </x:c>
      <x:c r="C110" s="31" t="str">
        <x:v>0607-B-08</x:v>
      </x:c>
      <x:c r="D110" s="19" t="str">
        <x:v>19</x:v>
      </x:c>
      <x:c r="E110" s="19" t="str">
        <x:v>FT-A0607</x:v>
      </x:c>
      <x:c r="F110" s="31" t="str">
        <x:v>global climate</x:v>
      </x:c>
      <x:c r="G110" s="19" t="str">
        <x:v>B</x:v>
      </x:c>
      <x:c r="H110" s="19" t="str">
        <x:v>NOT_ANNOTATED_IN_SOURCE</x:v>
      </x:c>
      <x:c r="I110" s="19" t="str">
        <x:v>E06-1,2</x:v>
      </x:c>
      <x:c r="J110" s="19" t="str">
        <x:v>NOT_ANNOTATED_IN_SOURCE</x:v>
      </x:c>
      <x:c r="K110" s="19" t="str">
        <x:v>CONFIDENCE=Moderate;CARRY_FORWARD=Yes</x:v>
      </x:c>
      <x:c r="L110" s="19" t="str">
        <x:v>Moderate</x:v>
      </x:c>
      <x:c r="M110" s="19" t="str">
        <x:v>Yes</x:v>
      </x:c>
      <x:c r="N110" s="31" t="str">
        <x:v>RECONSTRUCTED_FROM_REPORT</x:v>
      </x:c>
      <x:c r="O110" s="31" t="str">
        <x:v>RETAIN</x:v>
      </x:c>
      <x:c r="P110" s="19" t="str">
        <x:v>Fear of Temperature_ Historical Lexical Discovery and Anchor Validation.pdf</x:v>
      </x:c>
      <x:c r="Q110" s="31" t="str">
        <x:v>RECONSTRUCTED_FROM_REPORT</x:v>
      </x:c>
      <x:c r="R110" s="46" t="str">
        <x:v>Original candidate ID and row fields reconstructed from the compact narrative PDF table; this is not the missing original structured record.</x:v>
      </x:c>
    </x:row>
    <x:row r="111" ht="32" customHeight="1">
      <x:c r="A111" s="18" t="str">
        <x:v>FT-SEED-R1-0607-C-01</x:v>
      </x:c>
      <x:c r="B111" s="19" t="str">
        <x:v>INITIAL_180</x:v>
      </x:c>
      <x:c r="C111" s="31" t="str">
        <x:v>0607-C-01</x:v>
      </x:c>
      <x:c r="D111" s="19" t="str">
        <x:v>19</x:v>
      </x:c>
      <x:c r="E111" s="19" t="str">
        <x:v>FT-A0607</x:v>
      </x:c>
      <x:c r="F111" s="31" t="str">
        <x:v>concern</x:v>
      </x:c>
      <x:c r="G111" s="19" t="str">
        <x:v>C</x:v>
      </x:c>
      <x:c r="H111" s="19" t="str">
        <x:v>NOT_ANNOTATED_IN_SOURCE</x:v>
      </x:c>
      <x:c r="I111" s="19" t="str">
        <x:v>E06-1,2</x:v>
      </x:c>
      <x:c r="J111" s="19" t="str">
        <x:v>NOT_ANNOTATED_IN_SOURCE</x:v>
      </x:c>
      <x:c r="K111" s="19" t="str">
        <x:v>CONFIDENCE=Moderate;CARRY_FORWARD=Conditional</x:v>
      </x:c>
      <x:c r="L111" s="19" t="str">
        <x:v>Moderate</x:v>
      </x:c>
      <x:c r="M111" s="19" t="str">
        <x:v>Conditional</x:v>
      </x:c>
      <x:c r="N111" s="31" t="str">
        <x:v>RECONSTRUCTED_FROM_REPORT</x:v>
      </x:c>
      <x:c r="O111" s="31" t="str">
        <x:v>UNRESOLVED</x:v>
      </x:c>
      <x:c r="P111" s="19" t="str">
        <x:v>Fear of Temperature_ Historical Lexical Discovery and Anchor Validation.pdf</x:v>
      </x:c>
      <x:c r="Q111" s="31" t="str">
        <x:v>RECONSTRUCTED_FROM_REPORT</x:v>
      </x:c>
      <x:c r="R111" s="46" t="str">
        <x:v>Original candidate ID and row fields reconstructed from the compact narrative PDF table; this is not the missing original structured record.</x:v>
      </x:c>
    </x:row>
    <x:row r="112" ht="32" customHeight="1">
      <x:c r="A112" s="18" t="str">
        <x:v>FT-SEED-R1-0607-C-02</x:v>
      </x:c>
      <x:c r="B112" s="19" t="str">
        <x:v>INITIAL_180</x:v>
      </x:c>
      <x:c r="C112" s="31" t="str">
        <x:v>0607-C-02</x:v>
      </x:c>
      <x:c r="D112" s="19" t="str">
        <x:v>19</x:v>
      </x:c>
      <x:c r="E112" s="19" t="str">
        <x:v>FT-A0607</x:v>
      </x:c>
      <x:c r="F112" s="31" t="str">
        <x:v>fear</x:v>
      </x:c>
      <x:c r="G112" s="19" t="str">
        <x:v>C</x:v>
      </x:c>
      <x:c r="H112" s="19" t="str">
        <x:v>NOT_ANNOTATED_IN_SOURCE</x:v>
      </x:c>
      <x:c r="I112" s="19" t="str">
        <x:v>E06-1–3</x:v>
      </x:c>
      <x:c r="J112" s="19" t="str">
        <x:v>NOT_ANNOTATED_IN_SOURCE</x:v>
      </x:c>
      <x:c r="K112" s="19" t="str">
        <x:v>CONFIDENCE=Weak;CARRY_FORWARD=No</x:v>
      </x:c>
      <x:c r="L112" s="19" t="str">
        <x:v>Weak</x:v>
      </x:c>
      <x:c r="M112" s="19" t="str">
        <x:v>No</x:v>
      </x:c>
      <x:c r="N112" s="31" t="str">
        <x:v>RECONSTRUCTED_FROM_REPORT</x:v>
      </x:c>
      <x:c r="O112" s="31" t="str">
        <x:v>EXCLUDE</x:v>
      </x:c>
      <x:c r="P112" s="19" t="str">
        <x:v>Fear of Temperature_ Historical Lexical Discovery and Anchor Validation.pdf</x:v>
      </x:c>
      <x:c r="Q112" s="31" t="str">
        <x:v>RECONSTRUCTED_FROM_REPORT</x:v>
      </x:c>
      <x:c r="R112" s="46" t="str">
        <x:v>Original candidate ID and row fields reconstructed from the compact narrative PDF table; this is not the missing original structured record.</x:v>
      </x:c>
    </x:row>
    <x:row r="113" ht="32" customHeight="1">
      <x:c r="A113" s="18" t="str">
        <x:v>FT-SEED-R1-0607-C-03</x:v>
      </x:c>
      <x:c r="B113" s="19" t="str">
        <x:v>INITIAL_180</x:v>
      </x:c>
      <x:c r="C113" s="31" t="str">
        <x:v>0607-C-03</x:v>
      </x:c>
      <x:c r="D113" s="19" t="str">
        <x:v>19</x:v>
      </x:c>
      <x:c r="E113" s="19" t="str">
        <x:v>FT-A0607</x:v>
      </x:c>
      <x:c r="F113" s="31" t="str">
        <x:v>worry</x:v>
      </x:c>
      <x:c r="G113" s="19" t="str">
        <x:v>C</x:v>
      </x:c>
      <x:c r="H113" s="19" t="str">
        <x:v>NOT_ANNOTATED_IN_SOURCE</x:v>
      </x:c>
      <x:c r="I113" s="19" t="str">
        <x:v>E06-1–3</x:v>
      </x:c>
      <x:c r="J113" s="19" t="str">
        <x:v>NOT_ANNOTATED_IN_SOURCE</x:v>
      </x:c>
      <x:c r="K113" s="19" t="str">
        <x:v>CONFIDENCE=Weak;CARRY_FORWARD=No</x:v>
      </x:c>
      <x:c r="L113" s="19" t="str">
        <x:v>Weak</x:v>
      </x:c>
      <x:c r="M113" s="19" t="str">
        <x:v>No</x:v>
      </x:c>
      <x:c r="N113" s="31" t="str">
        <x:v>RECONSTRUCTED_FROM_REPORT</x:v>
      </x:c>
      <x:c r="O113" s="31" t="str">
        <x:v>EXCLUDE</x:v>
      </x:c>
      <x:c r="P113" s="19" t="str">
        <x:v>Fear of Temperature_ Historical Lexical Discovery and Anchor Validation.pdf</x:v>
      </x:c>
      <x:c r="Q113" s="31" t="str">
        <x:v>RECONSTRUCTED_FROM_REPORT</x:v>
      </x:c>
      <x:c r="R113" s="46" t="str">
        <x:v>Original candidate ID and row fields reconstructed from the compact narrative PDF table; this is not the missing original structured record.</x:v>
      </x:c>
    </x:row>
    <x:row r="114" ht="32" customHeight="1">
      <x:c r="A114" s="18" t="str">
        <x:v>FT-SEED-R1-0607-C-04</x:v>
      </x:c>
      <x:c r="B114" s="19" t="str">
        <x:v>INITIAL_180</x:v>
      </x:c>
      <x:c r="C114" s="31" t="str">
        <x:v>0607-C-04</x:v>
      </x:c>
      <x:c r="D114" s="19" t="str">
        <x:v>20</x:v>
      </x:c>
      <x:c r="E114" s="19" t="str">
        <x:v>FT-A0607</x:v>
      </x:c>
      <x:c r="F114" s="31" t="str">
        <x:v>anxiety</x:v>
      </x:c>
      <x:c r="G114" s="19" t="str">
        <x:v>C</x:v>
      </x:c>
      <x:c r="H114" s="19" t="str">
        <x:v>NOT_ANNOTATED_IN_SOURCE</x:v>
      </x:c>
      <x:c r="I114" s="19" t="str">
        <x:v>E06-1–3</x:v>
      </x:c>
      <x:c r="J114" s="19" t="str">
        <x:v>NOT_ANNOTATED_IN_SOURCE</x:v>
      </x:c>
      <x:c r="K114" s="19" t="str">
        <x:v>CONFIDENCE=Weak;CARRY_FORWARD=No</x:v>
      </x:c>
      <x:c r="L114" s="19" t="str">
        <x:v>Weak</x:v>
      </x:c>
      <x:c r="M114" s="19" t="str">
        <x:v>No</x:v>
      </x:c>
      <x:c r="N114" s="31" t="str">
        <x:v>RECONSTRUCTED_FROM_REPORT</x:v>
      </x:c>
      <x:c r="O114" s="31" t="str">
        <x:v>EXCLUDE</x:v>
      </x:c>
      <x:c r="P114" s="19" t="str">
        <x:v>Fear of Temperature_ Historical Lexical Discovery and Anchor Validation.pdf</x:v>
      </x:c>
      <x:c r="Q114" s="31" t="str">
        <x:v>RECONSTRUCTED_FROM_REPORT</x:v>
      </x:c>
      <x:c r="R114" s="46" t="str">
        <x:v>Original candidate ID and row fields reconstructed from the compact narrative PDF table; this is not the missing original structured record.</x:v>
      </x:c>
    </x:row>
    <x:row r="115" ht="32" customHeight="1">
      <x:c r="A115" s="18" t="str">
        <x:v>FT-SEED-R1-0607-C-05</x:v>
      </x:c>
      <x:c r="B115" s="19" t="str">
        <x:v>INITIAL_180</x:v>
      </x:c>
      <x:c r="C115" s="31" t="str">
        <x:v>0607-C-05</x:v>
      </x:c>
      <x:c r="D115" s="19" t="str">
        <x:v>20</x:v>
      </x:c>
      <x:c r="E115" s="19" t="str">
        <x:v>FT-A0607</x:v>
      </x:c>
      <x:c r="F115" s="31" t="str">
        <x:v>alarm</x:v>
      </x:c>
      <x:c r="G115" s="19" t="str">
        <x:v>C</x:v>
      </x:c>
      <x:c r="H115" s="19" t="str">
        <x:v>NOT_ANNOTATED_IN_SOURCE</x:v>
      </x:c>
      <x:c r="I115" s="19" t="str">
        <x:v>E06-1–3</x:v>
      </x:c>
      <x:c r="J115" s="19" t="str">
        <x:v>NOT_ANNOTATED_IN_SOURCE</x:v>
      </x:c>
      <x:c r="K115" s="19" t="str">
        <x:v>CONFIDENCE=Weak;CARRY_FORWARD=No</x:v>
      </x:c>
      <x:c r="L115" s="19" t="str">
        <x:v>Weak</x:v>
      </x:c>
      <x:c r="M115" s="19" t="str">
        <x:v>No</x:v>
      </x:c>
      <x:c r="N115" s="31" t="str">
        <x:v>RECONSTRUCTED_FROM_REPORT</x:v>
      </x:c>
      <x:c r="O115" s="31" t="str">
        <x:v>EXCLUDE</x:v>
      </x:c>
      <x:c r="P115" s="19" t="str">
        <x:v>Fear of Temperature_ Historical Lexical Discovery and Anchor Validation.pdf</x:v>
      </x:c>
      <x:c r="Q115" s="31" t="str">
        <x:v>RECONSTRUCTED_FROM_REPORT</x:v>
      </x:c>
      <x:c r="R115" s="46" t="str">
        <x:v>Original candidate ID and row fields reconstructed from the compact narrative PDF table; this is not the missing original structured record.</x:v>
      </x:c>
    </x:row>
    <x:row r="116" ht="32" customHeight="1">
      <x:c r="A116" s="18" t="str">
        <x:v>FT-SEED-R1-0607-C-06</x:v>
      </x:c>
      <x:c r="B116" s="19" t="str">
        <x:v>INITIAL_180</x:v>
      </x:c>
      <x:c r="C116" s="31" t="str">
        <x:v>0607-C-06</x:v>
      </x:c>
      <x:c r="D116" s="19" t="str">
        <x:v>20</x:v>
      </x:c>
      <x:c r="E116" s="19" t="str">
        <x:v>FT-A0607</x:v>
      </x:c>
      <x:c r="F116" s="31" t="str">
        <x:v>urgency</x:v>
      </x:c>
      <x:c r="G116" s="19" t="str">
        <x:v>C</x:v>
      </x:c>
      <x:c r="H116" s="19" t="str">
        <x:v>NOT_ANNOTATED_IN_SOURCE</x:v>
      </x:c>
      <x:c r="I116" s="19" t="str">
        <x:v>E06-1,3,E07-1</x:v>
      </x:c>
      <x:c r="J116" s="19" t="str">
        <x:v>NOT_ANNOTATED_IN_SOURCE</x:v>
      </x:c>
      <x:c r="K116" s="19" t="str">
        <x:v>CONFIDENCE=Moderate;CARRY_FORWARD=Conditional</x:v>
      </x:c>
      <x:c r="L116" s="19" t="str">
        <x:v>Moderate</x:v>
      </x:c>
      <x:c r="M116" s="19" t="str">
        <x:v>Conditional</x:v>
      </x:c>
      <x:c r="N116" s="31" t="str">
        <x:v>RECONSTRUCTED_FROM_REPORT</x:v>
      </x:c>
      <x:c r="O116" s="31" t="str">
        <x:v>UNRESOLVED</x:v>
      </x:c>
      <x:c r="P116" s="19" t="str">
        <x:v>Fear of Temperature_ Historical Lexical Discovery and Anchor Validation.pdf</x:v>
      </x:c>
      <x:c r="Q116" s="31" t="str">
        <x:v>RECONSTRUCTED_FROM_REPORT</x:v>
      </x:c>
      <x:c r="R116" s="46" t="str">
        <x:v>Original candidate ID and row fields reconstructed from the compact narrative PDF table; this is not the missing original structured record.</x:v>
      </x:c>
    </x:row>
    <x:row r="117" ht="32" customHeight="1">
      <x:c r="A117" s="18" t="str">
        <x:v>FT-SEED-R1-0607-C-07</x:v>
      </x:c>
      <x:c r="B117" s="19" t="str">
        <x:v>INITIAL_180</x:v>
      </x:c>
      <x:c r="C117" s="31" t="str">
        <x:v>0607-C-07</x:v>
      </x:c>
      <x:c r="D117" s="19" t="str">
        <x:v>20</x:v>
      </x:c>
      <x:c r="E117" s="19" t="str">
        <x:v>FT-A0607</x:v>
      </x:c>
      <x:c r="F117" s="31" t="str">
        <x:v>awareness</x:v>
      </x:c>
      <x:c r="G117" s="19" t="str">
        <x:v>C</x:v>
      </x:c>
      <x:c r="H117" s="19" t="str">
        <x:v>NOT_ANNOTATED_IN_SOURCE</x:v>
      </x:c>
      <x:c r="I117" s="19" t="str">
        <x:v>E07-1</x:v>
      </x:c>
      <x:c r="J117" s="19" t="str">
        <x:v>NOT_ANNOTATED_IN_SOURCE</x:v>
      </x:c>
      <x:c r="K117" s="19" t="str">
        <x:v>CONFIDENCE=Strong;CARRY_FORWARD=No</x:v>
      </x:c>
      <x:c r="L117" s="19" t="str">
        <x:v>Strong</x:v>
      </x:c>
      <x:c r="M117" s="19" t="str">
        <x:v>No</x:v>
      </x:c>
      <x:c r="N117" s="31" t="str">
        <x:v>RECONSTRUCTED_FROM_REPORT</x:v>
      </x:c>
      <x:c r="O117" s="31" t="str">
        <x:v>EXCLUDE</x:v>
      </x:c>
      <x:c r="P117" s="19" t="str">
        <x:v>Fear of Temperature_ Historical Lexical Discovery and Anchor Validation.pdf</x:v>
      </x:c>
      <x:c r="Q117" s="31" t="str">
        <x:v>RECONSTRUCTED_FROM_REPORT</x:v>
      </x:c>
      <x:c r="R117" s="46" t="str">
        <x:v>Original candidate ID and row fields reconstructed from the compact narrative PDF table; this is not the missing original structured record.</x:v>
      </x:c>
    </x:row>
    <x:row r="118" ht="32" customHeight="1">
      <x:c r="A118" s="18" t="str">
        <x:v>FT-SEED-R1-0607-D-01</x:v>
      </x:c>
      <x:c r="B118" s="19" t="str">
        <x:v>INITIAL_180</x:v>
      </x:c>
      <x:c r="C118" s="31" t="str">
        <x:v>0607-D-01</x:v>
      </x:c>
      <x:c r="D118" s="19" t="str">
        <x:v>20</x:v>
      </x:c>
      <x:c r="E118" s="19" t="str">
        <x:v>FT-A0607</x:v>
      </x:c>
      <x:c r="F118" s="31" t="str">
        <x:v>risk</x:v>
      </x:c>
      <x:c r="G118" s="19" t="str">
        <x:v>D</x:v>
      </x:c>
      <x:c r="H118" s="19" t="str">
        <x:v>NOT_ANNOTATED_IN_SOURCE</x:v>
      </x:c>
      <x:c r="I118" s="19" t="str">
        <x:v>E06-1</x:v>
      </x:c>
      <x:c r="J118" s="19" t="str">
        <x:v>NOT_ANNOTATED_IN_SOURCE</x:v>
      </x:c>
      <x:c r="K118" s="19" t="str">
        <x:v>CONFIDENCE=Strong;CARRY_FORWARD=Yes</x:v>
      </x:c>
      <x:c r="L118" s="19" t="str">
        <x:v>Strong</x:v>
      </x:c>
      <x:c r="M118" s="19" t="str">
        <x:v>Yes</x:v>
      </x:c>
      <x:c r="N118" s="31" t="str">
        <x:v>RECONSTRUCTED_FROM_REPORT</x:v>
      </x:c>
      <x:c r="O118" s="31" t="str">
        <x:v>RETAIN</x:v>
      </x:c>
      <x:c r="P118" s="19" t="str">
        <x:v>Fear of Temperature_ Historical Lexical Discovery and Anchor Validation.pdf</x:v>
      </x:c>
      <x:c r="Q118" s="31" t="str">
        <x:v>RECONSTRUCTED_FROM_REPORT</x:v>
      </x:c>
      <x:c r="R118" s="46" t="str">
        <x:v>Original candidate ID and row fields reconstructed from the compact narrative PDF table; this is not the missing original structured record.</x:v>
      </x:c>
    </x:row>
    <x:row r="119" ht="32" customHeight="1">
      <x:c r="A119" s="18" t="str">
        <x:v>FT-SEED-R1-0607-D-02</x:v>
      </x:c>
      <x:c r="B119" s="19" t="str">
        <x:v>INITIAL_180</x:v>
      </x:c>
      <x:c r="C119" s="31" t="str">
        <x:v>0607-D-02</x:v>
      </x:c>
      <x:c r="D119" s="19" t="str">
        <x:v>20</x:v>
      </x:c>
      <x:c r="E119" s="19" t="str">
        <x:v>FT-A0607</x:v>
      </x:c>
      <x:c r="F119" s="31" t="str">
        <x:v>dangerous</x:v>
      </x:c>
      <x:c r="G119" s="19" t="str">
        <x:v>D</x:v>
      </x:c>
      <x:c r="H119" s="19" t="str">
        <x:v>NOT_ANNOTATED_IN_SOURCE</x:v>
      </x:c>
      <x:c r="I119" s="19" t="str">
        <x:v>E06-1,E07-2</x:v>
      </x:c>
      <x:c r="J119" s="19" t="str">
        <x:v>NOT_ANNOTATED_IN_SOURCE</x:v>
      </x:c>
      <x:c r="K119" s="19" t="str">
        <x:v>CONFIDENCE=Strong;CARRY_FORWARD=Yes</x:v>
      </x:c>
      <x:c r="L119" s="19" t="str">
        <x:v>Strong</x:v>
      </x:c>
      <x:c r="M119" s="19" t="str">
        <x:v>Yes</x:v>
      </x:c>
      <x:c r="N119" s="31" t="str">
        <x:v>RECONSTRUCTED_FROM_REPORT</x:v>
      </x:c>
      <x:c r="O119" s="31" t="str">
        <x:v>RETAIN</x:v>
      </x:c>
      <x:c r="P119" s="19" t="str">
        <x:v>Fear of Temperature_ Historical Lexical Discovery and Anchor Validation.pdf</x:v>
      </x:c>
      <x:c r="Q119" s="31" t="str">
        <x:v>RECONSTRUCTED_FROM_REPORT</x:v>
      </x:c>
      <x:c r="R119" s="46" t="str">
        <x:v>Original candidate ID and row fields reconstructed from the compact narrative PDF table; this is not the missing original structured record.</x:v>
      </x:c>
    </x:row>
    <x:row r="120" ht="32" customHeight="1">
      <x:c r="A120" s="18" t="str">
        <x:v>FT-SEED-R1-0607-D-03</x:v>
      </x:c>
      <x:c r="B120" s="19" t="str">
        <x:v>INITIAL_180</x:v>
      </x:c>
      <x:c r="C120" s="31" t="str">
        <x:v>0607-D-03</x:v>
      </x:c>
      <x:c r="D120" s="19" t="str">
        <x:v>20</x:v>
      </x:c>
      <x:c r="E120" s="19" t="str">
        <x:v>FT-A0607</x:v>
      </x:c>
      <x:c r="F120" s="31" t="str">
        <x:v>serious impacts</x:v>
      </x:c>
      <x:c r="G120" s="19" t="str">
        <x:v>D</x:v>
      </x:c>
      <x:c r="H120" s="19" t="str">
        <x:v>NOT_ANNOTATED_IN_SOURCE</x:v>
      </x:c>
      <x:c r="I120" s="19" t="str">
        <x:v>E06-1</x:v>
      </x:c>
      <x:c r="J120" s="19" t="str">
        <x:v>NOT_ANNOTATED_IN_SOURCE</x:v>
      </x:c>
      <x:c r="K120" s="19" t="str">
        <x:v>CONFIDENCE=Strong;CARRY_FORWARD=Yes</x:v>
      </x:c>
      <x:c r="L120" s="19" t="str">
        <x:v>Strong</x:v>
      </x:c>
      <x:c r="M120" s="19" t="str">
        <x:v>Yes</x:v>
      </x:c>
      <x:c r="N120" s="31" t="str">
        <x:v>RECONSTRUCTED_FROM_REPORT</x:v>
      </x:c>
      <x:c r="O120" s="31" t="str">
        <x:v>RETAIN</x:v>
      </x:c>
      <x:c r="P120" s="19" t="str">
        <x:v>Fear of Temperature_ Historical Lexical Discovery and Anchor Validation.pdf</x:v>
      </x:c>
      <x:c r="Q120" s="31" t="str">
        <x:v>RECONSTRUCTED_FROM_REPORT</x:v>
      </x:c>
      <x:c r="R120" s="46" t="str">
        <x:v>Original candidate ID and row fields reconstructed from the compact narrative PDF table; this is not the missing original structured record.</x:v>
      </x:c>
    </x:row>
    <x:row r="121" ht="32" customHeight="1">
      <x:c r="A121" s="18" t="str">
        <x:v>FT-SEED-R1-0607-D-04</x:v>
      </x:c>
      <x:c r="B121" s="19" t="str">
        <x:v>INITIAL_180</x:v>
      </x:c>
      <x:c r="C121" s="31" t="str">
        <x:v>0607-D-04</x:v>
      </x:c>
      <x:c r="D121" s="19" t="str">
        <x:v>20</x:v>
      </x:c>
      <x:c r="E121" s="19" t="str">
        <x:v>FT-A0607</x:v>
      </x:c>
      <x:c r="F121" s="31" t="str">
        <x:v>worst impacts</x:v>
      </x:c>
      <x:c r="G121" s="19" t="str">
        <x:v>D</x:v>
      </x:c>
      <x:c r="H121" s="19" t="str">
        <x:v>NOT_ANNOTATED_IN_SOURCE</x:v>
      </x:c>
      <x:c r="I121" s="19" t="str">
        <x:v>E06-1</x:v>
      </x:c>
      <x:c r="J121" s="19" t="str">
        <x:v>NOT_ANNOTATED_IN_SOURCE</x:v>
      </x:c>
      <x:c r="K121" s="19" t="str">
        <x:v>CONFIDENCE=Strong;CARRY_FORWARD=Yes</x:v>
      </x:c>
      <x:c r="L121" s="19" t="str">
        <x:v>Strong</x:v>
      </x:c>
      <x:c r="M121" s="19" t="str">
        <x:v>Yes</x:v>
      </x:c>
      <x:c r="N121" s="31" t="str">
        <x:v>RECONSTRUCTED_FROM_REPORT</x:v>
      </x:c>
      <x:c r="O121" s="31" t="str">
        <x:v>RETAIN</x:v>
      </x:c>
      <x:c r="P121" s="19" t="str">
        <x:v>Fear of Temperature_ Historical Lexical Discovery and Anchor Validation.pdf</x:v>
      </x:c>
      <x:c r="Q121" s="31" t="str">
        <x:v>RECONSTRUCTED_FROM_REPORT</x:v>
      </x:c>
      <x:c r="R121" s="46" t="str">
        <x:v>Original candidate ID and row fields reconstructed from the compact narrative PDF table; this is not the missing original structured record.</x:v>
      </x:c>
    </x:row>
    <x:row r="122" ht="32" customHeight="1">
      <x:c r="A122" s="18" t="str">
        <x:v>FT-SEED-R1-0607-D-05</x:v>
      </x:c>
      <x:c r="B122" s="19" t="str">
        <x:v>INITIAL_180</x:v>
      </x:c>
      <x:c r="C122" s="31" t="str">
        <x:v>0607-D-05</x:v>
      </x:c>
      <x:c r="D122" s="19" t="str">
        <x:v>20</x:v>
      </x:c>
      <x:c r="E122" s="19" t="str">
        <x:v>FT-A0607</x:v>
      </x:c>
      <x:c r="F122" s="31" t="str">
        <x:v>climate crisis</x:v>
      </x:c>
      <x:c r="G122" s="19" t="str">
        <x:v>D</x:v>
      </x:c>
      <x:c r="H122" s="19" t="str">
        <x:v>NOT_ANNOTATED_IN_SOURCE</x:v>
      </x:c>
      <x:c r="I122" s="19" t="str">
        <x:v>E06-3,E07-1</x:v>
      </x:c>
      <x:c r="J122" s="19" t="str">
        <x:v>NOT_ANNOTATED_IN_SOURCE</x:v>
      </x:c>
      <x:c r="K122" s="19" t="str">
        <x:v>CONFIDENCE=Strong;CARRY_FORWARD=Yes</x:v>
      </x:c>
      <x:c r="L122" s="19" t="str">
        <x:v>Strong</x:v>
      </x:c>
      <x:c r="M122" s="19" t="str">
        <x:v>Yes</x:v>
      </x:c>
      <x:c r="N122" s="31" t="str">
        <x:v>RECONSTRUCTED_FROM_REPORT</x:v>
      </x:c>
      <x:c r="O122" s="31" t="str">
        <x:v>RETAIN</x:v>
      </x:c>
      <x:c r="P122" s="19" t="str">
        <x:v>Fear of Temperature_ Historical Lexical Discovery and Anchor Validation.pdf</x:v>
      </x:c>
      <x:c r="Q122" s="31" t="str">
        <x:v>RECONSTRUCTED_FROM_REPORT</x:v>
      </x:c>
      <x:c r="R122" s="46" t="str">
        <x:v>Original candidate ID and row fields reconstructed from the compact narrative PDF table; this is not the missing original structured record.</x:v>
      </x:c>
    </x:row>
    <x:row r="123" ht="32" customHeight="1">
      <x:c r="A123" s="18" t="str">
        <x:v>FT-SEED-R1-0607-D-06</x:v>
      </x:c>
      <x:c r="B123" s="19" t="str">
        <x:v>INITIAL_180</x:v>
      </x:c>
      <x:c r="C123" s="31" t="str">
        <x:v>0607-D-06</x:v>
      </x:c>
      <x:c r="D123" s="19" t="str">
        <x:v>21</x:v>
      </x:c>
      <x:c r="E123" s="19" t="str">
        <x:v>FT-A0607</x:v>
      </x:c>
      <x:c r="F123" s="31" t="str">
        <x:v>planetary emergency</x:v>
      </x:c>
      <x:c r="G123" s="19" t="str">
        <x:v>D</x:v>
      </x:c>
      <x:c r="H123" s="19" t="str">
        <x:v>NOT_ANNOTATED_IN_SOURCE</x:v>
      </x:c>
      <x:c r="I123" s="19" t="str">
        <x:v>E07-3</x:v>
      </x:c>
      <x:c r="J123" s="19" t="str">
        <x:v>NOT_ANNOTATED_IN_SOURCE</x:v>
      </x:c>
      <x:c r="K123" s="19" t="str">
        <x:v>CONFIDENCE=Moderate;CARRY_FORWARD=Yes</x:v>
      </x:c>
      <x:c r="L123" s="19" t="str">
        <x:v>Moderate</x:v>
      </x:c>
      <x:c r="M123" s="19" t="str">
        <x:v>Yes</x:v>
      </x:c>
      <x:c r="N123" s="31" t="str">
        <x:v>RECONSTRUCTED_FROM_REPORT</x:v>
      </x:c>
      <x:c r="O123" s="31" t="str">
        <x:v>RETAIN</x:v>
      </x:c>
      <x:c r="P123" s="19" t="str">
        <x:v>Fear of Temperature_ Historical Lexical Discovery and Anchor Validation.pdf</x:v>
      </x:c>
      <x:c r="Q123" s="31" t="str">
        <x:v>RECONSTRUCTED_FROM_REPORT</x:v>
      </x:c>
      <x:c r="R123" s="46" t="str">
        <x:v>Original candidate ID and row fields reconstructed from the compact narrative PDF table; this is not the missing original structured record.</x:v>
      </x:c>
    </x:row>
    <x:row r="124" ht="32" customHeight="1">
      <x:c r="A124" s="18" t="str">
        <x:v>FT-SEED-R1-0607-D-07</x:v>
      </x:c>
      <x:c r="B124" s="19" t="str">
        <x:v>INITIAL_180</x:v>
      </x:c>
      <x:c r="C124" s="31" t="str">
        <x:v>0607-D-07</x:v>
      </x:c>
      <x:c r="D124" s="19" t="str">
        <x:v>21</x:v>
      </x:c>
      <x:c r="E124" s="19" t="str">
        <x:v>FT-A0607</x:v>
      </x:c>
      <x:c r="F124" s="31" t="str">
        <x:v>threat</x:v>
      </x:c>
      <x:c r="G124" s="19" t="str">
        <x:v>D</x:v>
      </x:c>
      <x:c r="H124" s="19" t="str">
        <x:v>NOT_ANNOTATED_IN_SOURCE</x:v>
      </x:c>
      <x:c r="I124" s="19" t="str">
        <x:v>E07-1</x:v>
      </x:c>
      <x:c r="J124" s="19" t="str">
        <x:v>NOT_ANNOTATED_IN_SOURCE</x:v>
      </x:c>
      <x:c r="K124" s="19" t="str">
        <x:v>CONFIDENCE=Strong;CARRY_FORWARD=Yes</x:v>
      </x:c>
      <x:c r="L124" s="19" t="str">
        <x:v>Strong</x:v>
      </x:c>
      <x:c r="M124" s="19" t="str">
        <x:v>Yes</x:v>
      </x:c>
      <x:c r="N124" s="31" t="str">
        <x:v>RECONSTRUCTED_FROM_REPORT</x:v>
      </x:c>
      <x:c r="O124" s="31" t="str">
        <x:v>RETAIN</x:v>
      </x:c>
      <x:c r="P124" s="19" t="str">
        <x:v>Fear of Temperature_ Historical Lexical Discovery and Anchor Validation.pdf</x:v>
      </x:c>
      <x:c r="Q124" s="31" t="str">
        <x:v>RECONSTRUCTED_FROM_REPORT</x:v>
      </x:c>
      <x:c r="R124" s="46" t="str">
        <x:v>Original candidate ID and row fields reconstructed from the compact narrative PDF table; this is not the missing original structured record.</x:v>
      </x:c>
    </x:row>
    <x:row r="125" ht="32" customHeight="1">
      <x:c r="A125" s="18" t="str">
        <x:v>FT-SEED-R1-2015-A-01</x:v>
      </x:c>
      <x:c r="B125" s="19" t="str">
        <x:v>INITIAL_180</x:v>
      </x:c>
      <x:c r="C125" s="31" t="str">
        <x:v>2015-A-01</x:v>
      </x:c>
      <x:c r="D125" s="19" t="str">
        <x:v>22</x:v>
      </x:c>
      <x:c r="E125" s="19" t="str">
        <x:v>FT-A2015</x:v>
      </x:c>
      <x:c r="F125" s="31" t="str">
        <x:v>global average temperature</x:v>
      </x:c>
      <x:c r="G125" s="19" t="str">
        <x:v>A</x:v>
      </x:c>
      <x:c r="H125" s="19" t="str">
        <x:v>NOT_ANNOTATED_IN_SOURCE</x:v>
      </x:c>
      <x:c r="I125" s="19" t="str">
        <x:v>E15-1,2</x:v>
      </x:c>
      <x:c r="J125" s="19" t="str">
        <x:v>NOT_ANNOTATED_IN_SOURCE</x:v>
      </x:c>
      <x:c r="K125" s="19" t="str">
        <x:v>CONFIDENCE=NOT_EXPOSED;CARRY_FORWARD=Yes</x:v>
      </x:c>
      <x:c r="L125" s="19" t="str">
        <x:v>NOT_EXPOSED_IN_SOURCE</x:v>
      </x:c>
      <x:c r="M125" s="19" t="str">
        <x:v>Yes</x:v>
      </x:c>
      <x:c r="N125" s="31" t="str">
        <x:v>RECONSTRUCTED_FROM_REPORT</x:v>
      </x:c>
      <x:c r="O125" s="31" t="str">
        <x:v>RETAIN</x:v>
      </x:c>
      <x:c r="P125" s="19" t="str">
        <x:v>Fear of Temperature_ Historical Lexical Discovery and Anchor Validation.pdf</x:v>
      </x:c>
      <x:c r="Q125" s="31" t="str">
        <x:v>RECONSTRUCTED_FROM_REPORT</x:v>
      </x:c>
      <x:c r="R125" s="46" t="str">
        <x:v>Original candidate ID and row fields reconstructed from the compact narrative PDF table; this is not the missing original structured record.</x:v>
      </x:c>
    </x:row>
    <x:row r="126" ht="32" customHeight="1">
      <x:c r="A126" s="18" t="str">
        <x:v>FT-SEED-R1-2015-A-02</x:v>
      </x:c>
      <x:c r="B126" s="19" t="str">
        <x:v>INITIAL_180</x:v>
      </x:c>
      <x:c r="C126" s="31" t="str">
        <x:v>2015-A-02</x:v>
      </x:c>
      <x:c r="D126" s="19" t="str">
        <x:v>22</x:v>
      </x:c>
      <x:c r="E126" s="19" t="str">
        <x:v>FT-A2015</x:v>
      </x:c>
      <x:c r="F126" s="31" t="str">
        <x:v>temperature increase</x:v>
      </x:c>
      <x:c r="G126" s="19" t="str">
        <x:v>A</x:v>
      </x:c>
      <x:c r="H126" s="19" t="str">
        <x:v>NOT_ANNOTATED_IN_SOURCE</x:v>
      </x:c>
      <x:c r="I126" s="19" t="str">
        <x:v>E15-1,2</x:v>
      </x:c>
      <x:c r="J126" s="19" t="str">
        <x:v>NOT_ANNOTATED_IN_SOURCE</x:v>
      </x:c>
      <x:c r="K126" s="19" t="str">
        <x:v>CONFIDENCE=NOT_EXPOSED;CARRY_FORWARD=Yes</x:v>
      </x:c>
      <x:c r="L126" s="19" t="str">
        <x:v>NOT_EXPOSED_IN_SOURCE</x:v>
      </x:c>
      <x:c r="M126" s="19" t="str">
        <x:v>Yes</x:v>
      </x:c>
      <x:c r="N126" s="31" t="str">
        <x:v>RECONSTRUCTED_FROM_REPORT</x:v>
      </x:c>
      <x:c r="O126" s="31" t="str">
        <x:v>RETAIN</x:v>
      </x:c>
      <x:c r="P126" s="19" t="str">
        <x:v>Fear of Temperature_ Historical Lexical Discovery and Anchor Validation.pdf</x:v>
      </x:c>
      <x:c r="Q126" s="31" t="str">
        <x:v>RECONSTRUCTED_FROM_REPORT</x:v>
      </x:c>
      <x:c r="R126" s="46" t="str">
        <x:v>Original candidate ID and row fields reconstructed from the compact narrative PDF table; this is not the missing original structured record.</x:v>
      </x:c>
    </x:row>
    <x:row r="127" ht="32" customHeight="1">
      <x:c r="A127" s="18" t="str">
        <x:v>FT-SEED-R1-2015-A-03</x:v>
      </x:c>
      <x:c r="B127" s="19" t="str">
        <x:v>INITIAL_180</x:v>
      </x:c>
      <x:c r="C127" s="31" t="str">
        <x:v>2015-A-03</x:v>
      </x:c>
      <x:c r="D127" s="19" t="str">
        <x:v>22</x:v>
      </x:c>
      <x:c r="E127" s="19" t="str">
        <x:v>FT-A2015</x:v>
      </x:c>
      <x:c r="F127" s="31" t="str">
        <x:v>global temperature rise</x:v>
      </x:c>
      <x:c r="G127" s="19" t="str">
        <x:v>A</x:v>
      </x:c>
      <x:c r="H127" s="19" t="str">
        <x:v>NOT_ANNOTATED_IN_SOURCE</x:v>
      </x:c>
      <x:c r="I127" s="19" t="str">
        <x:v>E15-2</x:v>
      </x:c>
      <x:c r="J127" s="19" t="str">
        <x:v>NOT_ANNOTATED_IN_SOURCE</x:v>
      </x:c>
      <x:c r="K127" s="19" t="str">
        <x:v>CONFIDENCE=NOT_EXPOSED;CARRY_FORWARD=Yes</x:v>
      </x:c>
      <x:c r="L127" s="19" t="str">
        <x:v>NOT_EXPOSED_IN_SOURCE</x:v>
      </x:c>
      <x:c r="M127" s="19" t="str">
        <x:v>Yes</x:v>
      </x:c>
      <x:c r="N127" s="31" t="str">
        <x:v>RECONSTRUCTED_FROM_REPORT</x:v>
      </x:c>
      <x:c r="O127" s="31" t="str">
        <x:v>RETAIN</x:v>
      </x:c>
      <x:c r="P127" s="19" t="str">
        <x:v>Fear of Temperature_ Historical Lexical Discovery and Anchor Validation.pdf</x:v>
      </x:c>
      <x:c r="Q127" s="31" t="str">
        <x:v>RECONSTRUCTED_FROM_REPORT</x:v>
      </x:c>
      <x:c r="R127" s="46" t="str">
        <x:v>Original candidate ID and row fields reconstructed from the compact narrative PDF table; this is not the missing original structured record.</x:v>
      </x:c>
    </x:row>
    <x:row r="128" ht="32" customHeight="1">
      <x:c r="A128" s="18" t="str">
        <x:v>FT-SEED-R1-2015-A-04</x:v>
      </x:c>
      <x:c r="B128" s="19" t="str">
        <x:v>INITIAL_180</x:v>
      </x:c>
      <x:c r="C128" s="31" t="str">
        <x:v>2015-A-04</x:v>
      </x:c>
      <x:c r="D128" s="19" t="str">
        <x:v>22</x:v>
      </x:c>
      <x:c r="E128" s="19" t="str">
        <x:v>FT-A2015</x:v>
      </x:c>
      <x:c r="F128" s="31" t="str">
        <x:v>2°C</x:v>
      </x:c>
      <x:c r="G128" s="19" t="str">
        <x:v>A</x:v>
      </x:c>
      <x:c r="H128" s="19" t="str">
        <x:v>NOT_ANNOTATED_IN_SOURCE</x:v>
      </x:c>
      <x:c r="I128" s="19" t="str">
        <x:v>E15-1,2</x:v>
      </x:c>
      <x:c r="J128" s="19" t="str">
        <x:v>NOT_ANNOTATED_IN_SOURCE</x:v>
      </x:c>
      <x:c r="K128" s="19" t="str">
        <x:v>CONFIDENCE=NOT_EXPOSED;CARRY_FORWARD=Yes</x:v>
      </x:c>
      <x:c r="L128" s="19" t="str">
        <x:v>NOT_EXPOSED_IN_SOURCE</x:v>
      </x:c>
      <x:c r="M128" s="19" t="str">
        <x:v>Yes</x:v>
      </x:c>
      <x:c r="N128" s="31" t="str">
        <x:v>RECONSTRUCTED_FROM_REPORT</x:v>
      </x:c>
      <x:c r="O128" s="31" t="str">
        <x:v>RETAIN</x:v>
      </x:c>
      <x:c r="P128" s="19" t="str">
        <x:v>Fear of Temperature_ Historical Lexical Discovery and Anchor Validation.pdf</x:v>
      </x:c>
      <x:c r="Q128" s="31" t="str">
        <x:v>RECONSTRUCTED_FROM_REPORT</x:v>
      </x:c>
      <x:c r="R128" s="46" t="str">
        <x:v>Original candidate ID and row fields reconstructed from the compact narrative PDF table; this is not the missing original structured record.</x:v>
      </x:c>
    </x:row>
    <x:row r="129" ht="32" customHeight="1">
      <x:c r="A129" s="18" t="str">
        <x:v>FT-SEED-R1-2015-A-05</x:v>
      </x:c>
      <x:c r="B129" s="19" t="str">
        <x:v>INITIAL_180</x:v>
      </x:c>
      <x:c r="C129" s="31" t="str">
        <x:v>2015-A-05</x:v>
      </x:c>
      <x:c r="D129" s="19" t="str">
        <x:v>22</x:v>
      </x:c>
      <x:c r="E129" s="19" t="str">
        <x:v>FT-A2015</x:v>
      </x:c>
      <x:c r="F129" s="31" t="str">
        <x:v>1.5°C</x:v>
      </x:c>
      <x:c r="G129" s="19" t="str">
        <x:v>A</x:v>
      </x:c>
      <x:c r="H129" s="19" t="str">
        <x:v>NOT_ANNOTATED_IN_SOURCE</x:v>
      </x:c>
      <x:c r="I129" s="19" t="str">
        <x:v>E15-1,2</x:v>
      </x:c>
      <x:c r="J129" s="19" t="str">
        <x:v>NOT_ANNOTATED_IN_SOURCE</x:v>
      </x:c>
      <x:c r="K129" s="19" t="str">
        <x:v>CONFIDENCE=NOT_EXPOSED;CARRY_FORWARD=Yes</x:v>
      </x:c>
      <x:c r="L129" s="19" t="str">
        <x:v>NOT_EXPOSED_IN_SOURCE</x:v>
      </x:c>
      <x:c r="M129" s="19" t="str">
        <x:v>Yes</x:v>
      </x:c>
      <x:c r="N129" s="31" t="str">
        <x:v>RECONSTRUCTED_FROM_REPORT</x:v>
      </x:c>
      <x:c r="O129" s="31" t="str">
        <x:v>RETAIN</x:v>
      </x:c>
      <x:c r="P129" s="19" t="str">
        <x:v>Fear of Temperature_ Historical Lexical Discovery and Anchor Validation.pdf</x:v>
      </x:c>
      <x:c r="Q129" s="31" t="str">
        <x:v>RECONSTRUCTED_FROM_REPORT</x:v>
      </x:c>
      <x:c r="R129" s="46" t="str">
        <x:v>Original candidate ID and row fields reconstructed from the compact narrative PDF table; this is not the missing original structured record.</x:v>
      </x:c>
    </x:row>
    <x:row r="130" ht="32" customHeight="1">
      <x:c r="A130" s="18" t="str">
        <x:v>FT-SEED-R1-2015-A-06</x:v>
      </x:c>
      <x:c r="B130" s="19" t="str">
        <x:v>INITIAL_180</x:v>
      </x:c>
      <x:c r="C130" s="31" t="str">
        <x:v>2015-A-06</x:v>
      </x:c>
      <x:c r="D130" s="19" t="str">
        <x:v>22</x:v>
      </x:c>
      <x:c r="E130" s="19" t="str">
        <x:v>FT-A2015</x:v>
      </x:c>
      <x:c r="F130" s="31" t="str">
        <x:v>global warming</x:v>
      </x:c>
      <x:c r="G130" s="19" t="str">
        <x:v>A</x:v>
      </x:c>
      <x:c r="H130" s="19" t="str">
        <x:v>NOT_ANNOTATED_IN_SOURCE</x:v>
      </x:c>
      <x:c r="I130" s="19" t="str">
        <x:v>E15-1</x:v>
      </x:c>
      <x:c r="J130" s="19" t="str">
        <x:v>NOT_ANNOTATED_IN_SOURCE</x:v>
      </x:c>
      <x:c r="K130" s="19" t="str">
        <x:v>CONFIDENCE=NOT_EXPOSED;CARRY_FORWARD=Yes</x:v>
      </x:c>
      <x:c r="L130" s="19" t="str">
        <x:v>NOT_EXPOSED_IN_SOURCE</x:v>
      </x:c>
      <x:c r="M130" s="19" t="str">
        <x:v>Yes</x:v>
      </x:c>
      <x:c r="N130" s="31" t="str">
        <x:v>RECONSTRUCTED_FROM_REPORT</x:v>
      </x:c>
      <x:c r="O130" s="31" t="str">
        <x:v>RETAIN</x:v>
      </x:c>
      <x:c r="P130" s="19" t="str">
        <x:v>Fear of Temperature_ Historical Lexical Discovery and Anchor Validation.pdf</x:v>
      </x:c>
      <x:c r="Q130" s="31" t="str">
        <x:v>RECONSTRUCTED_FROM_REPORT</x:v>
      </x:c>
      <x:c r="R130" s="46" t="str">
        <x:v>Original candidate ID and row fields reconstructed from the compact narrative PDF table; this is not the missing original structured record.</x:v>
      </x:c>
    </x:row>
    <x:row r="131" ht="32" cust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NOT_ANNOTATED_IN_SOURCE</x:v>
      </x:c>
      <x:c r="I131" s="19" t="str">
        <x:v>E15-3,4</x:v>
      </x:c>
      <x:c r="J131" s="19" t="str">
        <x:v>NOT_ANNOTATED_IN_SOURCE</x:v>
      </x:c>
      <x:c r="K131" s="19" t="str">
        <x:v>CONFIDENCE=NOT_EXPOSED;CARRY_FORWARD=Yes</x:v>
      </x:c>
      <x:c r="L131" s="19" t="str">
        <x:v>NOT_EXPOSED_IN_SOURCE</x:v>
      </x:c>
      <x:c r="M131" s="19" t="str">
        <x:v>Yes</x:v>
      </x:c>
      <x:c r="N131" s="31" t="str">
        <x:v>RECONSTRUCTED_FROM_REPORT</x:v>
      </x:c>
      <x:c r="O131" s="31" t="str">
        <x:v>RETAIN</x:v>
      </x:c>
      <x:c r="P131" s="19" t="str">
        <x:v>Fear of Temperature_ Historical Lexical Discovery and Anchor Validation.pdf</x:v>
      </x:c>
      <x:c r="Q131" s="31" t="str">
        <x:v>RECONSTRUCTED_FROM_REPORT</x:v>
      </x:c>
      <x:c r="R131" s="46" t="str">
        <x:v>Original candidate ID and row fields reconstructed from the compact narrative PDF table; this is not the missing original structured record.</x:v>
      </x:c>
    </x:row>
    <x:row r="132" ht="32" customHeight="1">
      <x:c r="A132" s="18" t="str">
        <x:v>FT-SEED-R1-2015-A-08</x:v>
      </x:c>
      <x:c r="B132" s="19" t="str">
        <x:v>INITIAL_180</x:v>
      </x:c>
      <x:c r="C132" s="31" t="str">
        <x:v>2015-A-08</x:v>
      </x:c>
      <x:c r="D132" s="19" t="str">
        <x:v>22</x:v>
      </x:c>
      <x:c r="E132" s="19" t="str">
        <x:v>FT-A2015</x:v>
      </x:c>
      <x:c r="F132" s="31" t="str">
        <x:v>heat waves</x:v>
      </x:c>
      <x:c r="G132" s="19" t="str">
        <x:v>A</x:v>
      </x:c>
      <x:c r="H132" s="19" t="str">
        <x:v>NOT_ANNOTATED_IN_SOURCE</x:v>
      </x:c>
      <x:c r="I132" s="19" t="str">
        <x:v>E15-3,4</x:v>
      </x:c>
      <x:c r="J132" s="19" t="str">
        <x:v>NOT_ANNOTATED_IN_SOURCE</x:v>
      </x:c>
      <x:c r="K132" s="19" t="str">
        <x:v>CONFIDENCE=NOT_EXPOSED;CARRY_FORWARD=Yes</x:v>
      </x:c>
      <x:c r="L132" s="19" t="str">
        <x:v>NOT_EXPOSED_IN_SOURCE</x:v>
      </x:c>
      <x:c r="M132" s="19" t="str">
        <x:v>Yes</x:v>
      </x:c>
      <x:c r="N132" s="31" t="str">
        <x:v>RECONSTRUCTED_FROM_REPORT</x:v>
      </x:c>
      <x:c r="O132" s="31" t="str">
        <x:v>RETAIN</x:v>
      </x:c>
      <x:c r="P132" s="19" t="str">
        <x:v>Fear of Temperature_ Historical Lexical Discovery and Anchor Validation.pdf</x:v>
      </x:c>
      <x:c r="Q132" s="31" t="str">
        <x:v>RECONSTRUCTED_FROM_REPORT</x:v>
      </x:c>
      <x:c r="R132" s="46" t="str">
        <x:v>Original candidate ID and row fields reconstructed from the compact narrative PDF table; this is not the missing original structured record.</x:v>
      </x:c>
    </x:row>
    <x:row r="133" ht="32" customHeight="1">
      <x:c r="A133" s="18" t="str">
        <x:v>FT-SEED-R1-2015-B-01</x:v>
      </x:c>
      <x:c r="B133" s="19" t="str">
        <x:v>INITIAL_180</x:v>
      </x:c>
      <x:c r="C133" s="31" t="str">
        <x:v>2015-B-01</x:v>
      </x:c>
      <x:c r="D133" s="19" t="str">
        <x:v>22</x:v>
      </x:c>
      <x:c r="E133" s="19" t="str">
        <x:v>FT-A2015</x:v>
      </x:c>
      <x:c r="F133" s="31" t="str">
        <x:v>climate change</x:v>
      </x:c>
      <x:c r="G133" s="19" t="str">
        <x:v>B</x:v>
      </x:c>
      <x:c r="H133" s="19" t="str">
        <x:v>NOT_ANNOTATED_IN_SOURCE</x:v>
      </x:c>
      <x:c r="I133" s="19" t="str">
        <x:v>E15-1,2</x:v>
      </x:c>
      <x:c r="J133" s="19" t="str">
        <x:v>NOT_ANNOTATED_IN_SOURCE</x:v>
      </x:c>
      <x:c r="K133" s="19" t="str">
        <x:v>CONFIDENCE=NOT_EXPOSED;CARRY_FORWARD=Yes</x:v>
      </x:c>
      <x:c r="L133" s="19" t="str">
        <x:v>NOT_EXPOSED_IN_SOURCE</x:v>
      </x:c>
      <x:c r="M133" s="19" t="str">
        <x:v>Yes</x:v>
      </x:c>
      <x:c r="N133" s="31" t="str">
        <x:v>RECONSTRUCTED_FROM_REPORT</x:v>
      </x:c>
      <x:c r="O133" s="31" t="str">
        <x:v>RETAIN</x:v>
      </x:c>
      <x:c r="P133" s="19" t="str">
        <x:v>Fear of Temperature_ Historical Lexical Discovery and Anchor Validation.pdf</x:v>
      </x:c>
      <x:c r="Q133" s="31" t="str">
        <x:v>RECONSTRUCTED_FROM_REPORT</x:v>
      </x:c>
      <x:c r="R133" s="46" t="str">
        <x:v>Original candidate ID and row fields reconstructed from the compact narrative PDF table; this is not the missing original structured record.</x:v>
      </x:c>
    </x:row>
    <x:row r="134" ht="32" customHeight="1">
      <x:c r="A134" s="18" t="str">
        <x:v>FT-SEED-R1-2015-B-02</x:v>
      </x:c>
      <x:c r="B134" s="19" t="str">
        <x:v>INITIAL_180</x:v>
      </x:c>
      <x:c r="C134" s="31" t="str">
        <x:v>2015-B-02</x:v>
      </x:c>
      <x:c r="D134" s="19" t="str">
        <x:v>23</x:v>
      </x:c>
      <x:c r="E134" s="19" t="str">
        <x:v>FT-A2015</x:v>
      </x:c>
      <x:c r="F134" s="31" t="str">
        <x:v>greenhouse gas emissions</x:v>
      </x:c>
      <x:c r="G134" s="19" t="str">
        <x:v>B</x:v>
      </x:c>
      <x:c r="H134" s="19" t="str">
        <x:v>NOT_ANNOTATED_IN_SOURCE</x:v>
      </x:c>
      <x:c r="I134" s="19" t="str">
        <x:v>E15-1,2</x:v>
      </x:c>
      <x:c r="J134" s="19" t="str">
        <x:v>NOT_ANNOTATED_IN_SOURCE</x:v>
      </x:c>
      <x:c r="K134" s="19" t="str">
        <x:v>CONFIDENCE=NOT_EXPOSED;CARRY_FORWARD=Yes</x:v>
      </x:c>
      <x:c r="L134" s="19" t="str">
        <x:v>NOT_EXPOSED_IN_SOURCE</x:v>
      </x:c>
      <x:c r="M134" s="19" t="str">
        <x:v>Yes</x:v>
      </x:c>
      <x:c r="N134" s="31" t="str">
        <x:v>RECONSTRUCTED_FROM_REPORT</x:v>
      </x:c>
      <x:c r="O134" s="31" t="str">
        <x:v>RETAIN</x:v>
      </x:c>
      <x:c r="P134" s="19" t="str">
        <x:v>Fear of Temperature_ Historical Lexical Discovery and Anchor Validation.pdf</x:v>
      </x:c>
      <x:c r="Q134" s="31" t="str">
        <x:v>RECONSTRUCTED_FROM_REPORT</x:v>
      </x:c>
      <x:c r="R134" s="46" t="str">
        <x:v>Original candidate ID and row fields reconstructed from the compact narrative PDF table; this is not the missing original structured record.</x:v>
      </x:c>
    </x:row>
    <x:row r="135" ht="32" customHeight="1">
      <x:c r="A135" s="18" t="str">
        <x:v>FT-SEED-R1-2015-B-03</x:v>
      </x:c>
      <x:c r="B135" s="19" t="str">
        <x:v>INITIAL_180</x:v>
      </x:c>
      <x:c r="C135" s="31" t="str">
        <x:v>2015-B-03</x:v>
      </x:c>
      <x:c r="D135" s="19" t="str">
        <x:v>23</x:v>
      </x:c>
      <x:c r="E135" s="19" t="str">
        <x:v>FT-A2015</x:v>
      </x:c>
      <x:c r="F135" s="31" t="str">
        <x:v>pre-industrial levels</x:v>
      </x:c>
      <x:c r="G135" s="19" t="str">
        <x:v>B</x:v>
      </x:c>
      <x:c r="H135" s="19" t="str">
        <x:v>NOT_ANNOTATED_IN_SOURCE</x:v>
      </x:c>
      <x:c r="I135" s="19" t="str">
        <x:v>E15-1,2</x:v>
      </x:c>
      <x:c r="J135" s="19" t="str">
        <x:v>NOT_ANNOTATED_IN_SOURCE</x:v>
      </x:c>
      <x:c r="K135" s="19" t="str">
        <x:v>CONFIDENCE=NOT_EXPOSED;CARRY_FORWARD=Yes</x:v>
      </x:c>
      <x:c r="L135" s="19" t="str">
        <x:v>NOT_EXPOSED_IN_SOURCE</x:v>
      </x:c>
      <x:c r="M135" s="19" t="str">
        <x:v>Yes</x:v>
      </x:c>
      <x:c r="N135" s="31" t="str">
        <x:v>RECONSTRUCTED_FROM_REPORT</x:v>
      </x:c>
      <x:c r="O135" s="31" t="str">
        <x:v>RETAIN</x:v>
      </x:c>
      <x:c r="P135" s="19" t="str">
        <x:v>Fear of Temperature_ Historical Lexical Discovery and Anchor Validation.pdf</x:v>
      </x:c>
      <x:c r="Q135" s="31" t="str">
        <x:v>RECONSTRUCTED_FROM_REPORT</x:v>
      </x:c>
      <x:c r="R135" s="46" t="str">
        <x:v>Original candidate ID and row fields reconstructed from the compact narrative PDF table; this is not the missing original structured record.</x:v>
      </x:c>
    </x:row>
    <x:row r="136" ht="32" customHeight="1">
      <x:c r="A136" s="18" t="str">
        <x:v>FT-SEED-R1-2015-B-04</x:v>
      </x:c>
      <x:c r="B136" s="19" t="str">
        <x:v>INITIAL_180</x:v>
      </x:c>
      <x:c r="C136" s="31" t="str">
        <x:v>2015-B-04</x:v>
      </x:c>
      <x:c r="D136" s="19" t="str">
        <x:v>23</x:v>
      </x:c>
      <x:c r="E136" s="19" t="str">
        <x:v>FT-A2015</x:v>
      </x:c>
      <x:c r="F136" s="31" t="str">
        <x:v>climate system</x:v>
      </x:c>
      <x:c r="G136" s="19" t="str">
        <x:v>B</x:v>
      </x:c>
      <x:c r="H136" s="19" t="str">
        <x:v>NOT_ANNOTATED_IN_SOURCE</x:v>
      </x:c>
      <x:c r="I136" s="19" t="str">
        <x:v>E15-1,4</x:v>
      </x:c>
      <x:c r="J136" s="19" t="str">
        <x:v>NOT_ANNOTATED_IN_SOURCE</x:v>
      </x:c>
      <x:c r="K136" s="19" t="str">
        <x:v>CONFIDENCE=NOT_EXPOSED;CARRY_FORWARD=Yes</x:v>
      </x:c>
      <x:c r="L136" s="19" t="str">
        <x:v>NOT_EXPOSED_IN_SOURCE</x:v>
      </x:c>
      <x:c r="M136" s="19" t="str">
        <x:v>Yes</x:v>
      </x:c>
      <x:c r="N136" s="31" t="str">
        <x:v>RECONSTRUCTED_FROM_REPORT</x:v>
      </x:c>
      <x:c r="O136" s="31" t="str">
        <x:v>RETAIN</x:v>
      </x:c>
      <x:c r="P136" s="19" t="str">
        <x:v>Fear of Temperature_ Historical Lexical Discovery and Anchor Validation.pdf</x:v>
      </x:c>
      <x:c r="Q136" s="31" t="str">
        <x:v>RECONSTRUCTED_FROM_REPORT</x:v>
      </x:c>
      <x:c r="R136" s="46" t="str">
        <x:v>Original candidate ID and row fields reconstructed from the compact narrative PDF table; this is not the missing original structured record.</x:v>
      </x:c>
    </x:row>
    <x:row r="137" ht="32" customHeight="1">
      <x:c r="A137" s="18" t="str">
        <x:v>FT-SEED-R1-2015-B-05</x:v>
      </x:c>
      <x:c r="B137" s="19" t="str">
        <x:v>INITIAL_180</x:v>
      </x:c>
      <x:c r="C137" s="31" t="str">
        <x:v>2015-B-05</x:v>
      </x:c>
      <x:c r="D137" s="19" t="str">
        <x:v>23</x:v>
      </x:c>
      <x:c r="E137" s="19" t="str">
        <x:v>FT-A2015</x:v>
      </x:c>
      <x:c r="F137" s="31" t="str">
        <x:v>anthropogenic emissions</x:v>
      </x:c>
      <x:c r="G137" s="19" t="str">
        <x:v>B</x:v>
      </x:c>
      <x:c r="H137" s="19" t="str">
        <x:v>NOT_ANNOTATED_IN_SOURCE</x:v>
      </x:c>
      <x:c r="I137" s="19" t="str">
        <x:v>E15-2</x:v>
      </x:c>
      <x:c r="J137" s="19" t="str">
        <x:v>NOT_ANNOTATED_IN_SOURCE</x:v>
      </x:c>
      <x:c r="K137" s="19" t="str">
        <x:v>CONFIDENCE=NOT_EXPOSED;CARRY_FORWARD=Yes</x:v>
      </x:c>
      <x:c r="L137" s="19" t="str">
        <x:v>NOT_EXPOSED_IN_SOURCE</x:v>
      </x:c>
      <x:c r="M137" s="19" t="str">
        <x:v>Yes</x:v>
      </x:c>
      <x:c r="N137" s="31" t="str">
        <x:v>RECONSTRUCTED_FROM_REPORT</x:v>
      </x:c>
      <x:c r="O137" s="31" t="str">
        <x:v>RETAIN</x:v>
      </x:c>
      <x:c r="P137" s="19" t="str">
        <x:v>Fear of Temperature_ Historical Lexical Discovery and Anchor Validation.pdf</x:v>
      </x:c>
      <x:c r="Q137" s="31" t="str">
        <x:v>RECONSTRUCTED_FROM_REPORT</x:v>
      </x:c>
      <x:c r="R137" s="46" t="str">
        <x:v>Original candidate ID and row fields reconstructed from the compact narrative PDF table; this is not the missing original structured record.</x:v>
      </x:c>
    </x:row>
    <x:row r="138" ht="32" customHeight="1">
      <x:c r="A138" s="18" t="str">
        <x:v>FT-SEED-R1-2015-B-06</x:v>
      </x:c>
      <x:c r="B138" s="19" t="str">
        <x:v>INITIAL_180</x:v>
      </x:c>
      <x:c r="C138" s="31" t="str">
        <x:v>2015-B-06</x:v>
      </x:c>
      <x:c r="D138" s="19" t="str">
        <x:v>23</x:v>
      </x:c>
      <x:c r="E138" s="19" t="str">
        <x:v>FT-A2015</x:v>
      </x:c>
      <x:c r="F138" s="31" t="str">
        <x:v>global response</x:v>
      </x:c>
      <x:c r="G138" s="19" t="str">
        <x:v>B</x:v>
      </x:c>
      <x:c r="H138" s="19" t="str">
        <x:v>NOT_ANNOTATED_IN_SOURCE</x:v>
      </x:c>
      <x:c r="I138" s="19" t="str">
        <x:v>E15-2</x:v>
      </x:c>
      <x:c r="J138" s="19" t="str">
        <x:v>NOT_ANNOTATED_IN_SOURCE</x:v>
      </x:c>
      <x:c r="K138" s="19" t="str">
        <x:v>CONFIDENCE=NOT_EXPOSED;CARRY_FORWARD=Yes</x:v>
      </x:c>
      <x:c r="L138" s="19" t="str">
        <x:v>NOT_EXPOSED_IN_SOURCE</x:v>
      </x:c>
      <x:c r="M138" s="19" t="str">
        <x:v>Yes</x:v>
      </x:c>
      <x:c r="N138" s="31" t="str">
        <x:v>RECONSTRUCTED_FROM_REPORT</x:v>
      </x:c>
      <x:c r="O138" s="31" t="str">
        <x:v>RETAIN</x:v>
      </x:c>
      <x:c r="P138" s="19" t="str">
        <x:v>Fear of Temperature_ Historical Lexical Discovery and Anchor Validation.pdf</x:v>
      </x:c>
      <x:c r="Q138" s="31" t="str">
        <x:v>RECONSTRUCTED_FROM_REPORT</x:v>
      </x:c>
      <x:c r="R138" s="46" t="str">
        <x:v>Original candidate ID and row fields reconstructed from the compact narrative PDF table; this is not the missing original structured record.</x:v>
      </x:c>
    </x:row>
    <x:row r="139" ht="32" customHeight="1">
      <x:c r="A139" s="18" t="str">
        <x:v>FT-SEED-R1-2015-B-07</x:v>
      </x:c>
      <x:c r="B139" s="19" t="str">
        <x:v>INITIAL_180</x:v>
      </x:c>
      <x:c r="C139" s="31" t="str">
        <x:v>2015-B-07</x:v>
      </x:c>
      <x:c r="D139" s="19" t="str">
        <x:v>23</x:v>
      </x:c>
      <x:c r="E139" s="19" t="str">
        <x:v>FT-A2015</x:v>
      </x:c>
      <x:c r="F139" s="31" t="str">
        <x:v>low GHG emissions</x:v>
      </x:c>
      <x:c r="G139" s="19" t="str">
        <x:v>B</x:v>
      </x:c>
      <x:c r="H139" s="19" t="str">
        <x:v>NOT_ANNOTATED_IN_SOURCE</x:v>
      </x:c>
      <x:c r="I139" s="19" t="str">
        <x:v>E15-2</x:v>
      </x:c>
      <x:c r="J139" s="19" t="str">
        <x:v>NOT_ANNOTATED_IN_SOURCE</x:v>
      </x:c>
      <x:c r="K139" s="19" t="str">
        <x:v>CONFIDENCE=NOT_EXPOSED;CARRY_FORWARD=Yes</x:v>
      </x:c>
      <x:c r="L139" s="19" t="str">
        <x:v>NOT_EXPOSED_IN_SOURCE</x:v>
      </x:c>
      <x:c r="M139" s="19" t="str">
        <x:v>Yes</x:v>
      </x:c>
      <x:c r="N139" s="31" t="str">
        <x:v>RECONSTRUCTED_FROM_REPORT</x:v>
      </x:c>
      <x:c r="O139" s="31" t="str">
        <x:v>RETAIN</x:v>
      </x:c>
      <x:c r="P139" s="19" t="str">
        <x:v>Fear of Temperature_ Historical Lexical Discovery and Anchor Validation.pdf</x:v>
      </x:c>
      <x:c r="Q139" s="31" t="str">
        <x:v>RECONSTRUCTED_FROM_REPORT</x:v>
      </x:c>
      <x:c r="R139" s="46" t="str">
        <x:v>Original candidate ID and row fields reconstructed from the compact narrative PDF table; this is not the missing original structured record.</x:v>
      </x:c>
    </x:row>
    <x:row r="140" ht="32" customHeight="1">
      <x:c r="A140" s="18" t="str">
        <x:v>FT-SEED-R1-2015-B-08</x:v>
      </x:c>
      <x:c r="B140" s="19" t="str">
        <x:v>INITIAL_180</x:v>
      </x:c>
      <x:c r="C140" s="31" t="str">
        <x:v>2015-B-08</x:v>
      </x:c>
      <x:c r="D140" s="19" t="str">
        <x:v>23</x:v>
      </x:c>
      <x:c r="E140" s="19" t="str">
        <x:v>FT-A2015</x:v>
      </x:c>
      <x:c r="F140" s="31" t="str">
        <x:v>changing climate</x:v>
      </x:c>
      <x:c r="G140" s="19" t="str">
        <x:v>B</x:v>
      </x:c>
      <x:c r="H140" s="19" t="str">
        <x:v>NOT_ANNOTATED_IN_SOURCE</x:v>
      </x:c>
      <x:c r="I140" s="19" t="str">
        <x:v>E15-1</x:v>
      </x:c>
      <x:c r="J140" s="19" t="str">
        <x:v>NOT_ANNOTATED_IN_SOURCE</x:v>
      </x:c>
      <x:c r="K140" s="19" t="str">
        <x:v>CONFIDENCE=NOT_EXPOSED;CARRY_FORWARD=Yes</x:v>
      </x:c>
      <x:c r="L140" s="19" t="str">
        <x:v>NOT_EXPOSED_IN_SOURCE</x:v>
      </x:c>
      <x:c r="M140" s="19" t="str">
        <x:v>Yes</x:v>
      </x:c>
      <x:c r="N140" s="31" t="str">
        <x:v>RECONSTRUCTED_FROM_REPORT</x:v>
      </x:c>
      <x:c r="O140" s="31" t="str">
        <x:v>RETAIN</x:v>
      </x:c>
      <x:c r="P140" s="19" t="str">
        <x:v>Fear of Temperature_ Historical Lexical Discovery and Anchor Validation.pdf</x:v>
      </x:c>
      <x:c r="Q140" s="31" t="str">
        <x:v>RECONSTRUCTED_FROM_REPORT</x:v>
      </x:c>
      <x:c r="R140" s="46" t="str">
        <x:v>Original candidate ID and row fields reconstructed from the compact narrative PDF table; this is not the missing original structured record.</x:v>
      </x:c>
    </x:row>
    <x:row r="141" ht="32" customHeight="1">
      <x:c r="A141" s="18" t="str">
        <x:v>FT-SEED-R1-2015-C-01</x:v>
      </x:c>
      <x:c r="B141" s="19" t="str">
        <x:v>INITIAL_180</x:v>
      </x:c>
      <x:c r="C141" s="31" t="str">
        <x:v>2015-C-01</x:v>
      </x:c>
      <x:c r="D141" s="19" t="str">
        <x:v>23</x:v>
      </x:c>
      <x:c r="E141" s="19" t="str">
        <x:v>FT-A2015</x:v>
      </x:c>
      <x:c r="F141" s="31" t="str">
        <x:v>concern</x:v>
      </x:c>
      <x:c r="G141" s="19" t="str">
        <x:v>C</x:v>
      </x:c>
      <x:c r="H141" s="19" t="str">
        <x:v>NOT_ANNOTATED_IN_SOURCE</x:v>
      </x:c>
      <x:c r="I141" s="19" t="str">
        <x:v>E15-1,2</x:v>
      </x:c>
      <x:c r="J141" s="19" t="str">
        <x:v>NOT_ANNOTATED_IN_SOURCE</x:v>
      </x:c>
      <x:c r="K141" s="19" t="str">
        <x:v>CONFIDENCE=NOT_EXPOSED;CARRY_FORWARD=Conditional</x:v>
      </x:c>
      <x:c r="L141" s="19" t="str">
        <x:v>NOT_EXPOSED_IN_SOURCE</x:v>
      </x:c>
      <x:c r="M141" s="19" t="str">
        <x:v>Conditional</x:v>
      </x:c>
      <x:c r="N141" s="31" t="str">
        <x:v>RECONSTRUCTED_FROM_REPORT</x:v>
      </x:c>
      <x:c r="O141" s="31" t="str">
        <x:v>UNRESOLVED</x:v>
      </x:c>
      <x:c r="P141" s="19" t="str">
        <x:v>Fear of Temperature_ Historical Lexical Discovery and Anchor Validation.pdf</x:v>
      </x:c>
      <x:c r="Q141" s="31" t="str">
        <x:v>RECONSTRUCTED_FROM_REPORT</x:v>
      </x:c>
      <x:c r="R141" s="46" t="str">
        <x:v>Original candidate ID and row fields reconstructed from the compact narrative PDF table; this is not the missing original structured record.</x:v>
      </x:c>
    </x:row>
    <x:row r="142" ht="32" customHeight="1">
      <x:c r="A142" s="18" t="str">
        <x:v>FT-SEED-R1-2015-C-02</x:v>
      </x:c>
      <x:c r="B142" s="19" t="str">
        <x:v>INITIAL_180</x:v>
      </x:c>
      <x:c r="C142" s="31" t="str">
        <x:v>2015-C-02</x:v>
      </x:c>
      <x:c r="D142" s="19" t="str">
        <x:v>23</x:v>
      </x:c>
      <x:c r="E142" s="19" t="str">
        <x:v>FT-A2015</x:v>
      </x:c>
      <x:c r="F142" s="31" t="str">
        <x:v>common concern of humankind</x:v>
      </x:c>
      <x:c r="G142" s="19" t="str">
        <x:v>C</x:v>
      </x:c>
      <x:c r="H142" s="19" t="str">
        <x:v>NOT_ANNOTATED_IN_SOURCE</x:v>
      </x:c>
      <x:c r="I142" s="19" t="str">
        <x:v>E15-1</x:v>
      </x:c>
      <x:c r="J142" s="19" t="str">
        <x:v>E1</x:v>
      </x:c>
      <x:c r="K142" s="19" t="str">
        <x:v>CONFIDENCE=NOT_EXPOSED;CARRY_FORWARD=Conditional</x:v>
      </x:c>
      <x:c r="L142" s="19" t="str">
        <x:v>NOT_EXPOSED_IN_SOURCE</x:v>
      </x:c>
      <x:c r="M142" s="19" t="str">
        <x:v>Conditional</x:v>
      </x:c>
      <x:c r="N142" s="31" t="str">
        <x:v>RECONSTRUCTED_FROM_REPORT</x:v>
      </x:c>
      <x:c r="O142" s="31" t="str">
        <x:v>UNRESOLVED</x:v>
      </x:c>
      <x:c r="P142" s="19" t="str">
        <x:v>Fear of Temperature_ Historical Lexical Discovery and Anchor Validation.pdf</x:v>
      </x:c>
      <x:c r="Q142" s="31" t="str">
        <x:v>RECONSTRUCTED_FROM_REPORT</x:v>
      </x:c>
      <x:c r="R142" s="46" t="str">
        <x:v>Original candidate ID and row fields reconstructed from the compact narrative PDF table; this is not the missing original structured record.</x:v>
      </x:c>
    </x:row>
    <x:row r="143" ht="32" customHeight="1">
      <x:c r="A143" s="18" t="str">
        <x:v>FT-SEED-R1-2015-C-03</x:v>
      </x:c>
      <x:c r="B143" s="19" t="str">
        <x:v>INITIAL_180</x:v>
      </x:c>
      <x:c r="C143" s="31" t="str">
        <x:v>2015-C-03</x:v>
      </x:c>
      <x:c r="D143" s="19" t="str">
        <x:v>24</x:v>
      </x:c>
      <x:c r="E143" s="19" t="str">
        <x:v>FT-A2015</x:v>
      </x:c>
      <x:c r="F143" s="31" t="str">
        <x:v>urgency</x:v>
      </x:c>
      <x:c r="G143" s="19" t="str">
        <x:v>C</x:v>
      </x:c>
      <x:c r="H143" s="19" t="str">
        <x:v>NOT_ANNOTATED_IN_SOURCE</x:v>
      </x:c>
      <x:c r="I143" s="19" t="str">
        <x:v>E15-1,2</x:v>
      </x:c>
      <x:c r="J143" s="19" t="str">
        <x:v>NOT_ANNOTATED_IN_SOURCE</x:v>
      </x:c>
      <x:c r="K143" s="19" t="str">
        <x:v>CONFIDENCE=NOT_EXPOSED;CARRY_FORWARD=No</x:v>
      </x:c>
      <x:c r="L143" s="19" t="str">
        <x:v>NOT_EXPOSED_IN_SOURCE</x:v>
      </x:c>
      <x:c r="M143" s="19" t="str">
        <x:v>No</x:v>
      </x:c>
      <x:c r="N143" s="31" t="str">
        <x:v>RECONSTRUCTED_FROM_REPORT</x:v>
      </x:c>
      <x:c r="O143" s="31" t="str">
        <x:v>EXCLUDE</x:v>
      </x:c>
      <x:c r="P143" s="19" t="str">
        <x:v>Fear of Temperature_ Historical Lexical Discovery and Anchor Validation.pdf</x:v>
      </x:c>
      <x:c r="Q143" s="31" t="str">
        <x:v>RECONSTRUCTED_FROM_REPORT</x:v>
      </x:c>
      <x:c r="R143" s="46" t="str">
        <x:v>Original candidate ID and row fields reconstructed from the compact narrative PDF table; this is not the missing original structured record.</x:v>
      </x:c>
    </x:row>
    <x:row r="144" ht="32" customHeight="1">
      <x:c r="A144" s="18" t="str">
        <x:v>FT-SEED-R1-2015-C-04</x:v>
      </x:c>
      <x:c r="B144" s="19" t="str">
        <x:v>INITIAL_180</x:v>
      </x:c>
      <x:c r="C144" s="31" t="str">
        <x:v>2015-C-04</x:v>
      </x:c>
      <x:c r="D144" s="19" t="str">
        <x:v>24</x:v>
      </x:c>
      <x:c r="E144" s="19" t="str">
        <x:v>FT-A2015</x:v>
      </x:c>
      <x:c r="F144" s="31" t="str">
        <x:v>public awareness</x:v>
      </x:c>
      <x:c r="G144" s="19" t="str">
        <x:v>C</x:v>
      </x:c>
      <x:c r="H144" s="19" t="str">
        <x:v>NOT_ANNOTATED_IN_SOURCE</x:v>
      </x:c>
      <x:c r="I144" s="19" t="str">
        <x:v>E15-2</x:v>
      </x:c>
      <x:c r="J144" s="19" t="str">
        <x:v>NOT_ANNOTATED_IN_SOURCE</x:v>
      </x:c>
      <x:c r="K144" s="19" t="str">
        <x:v>CONFIDENCE=NOT_EXPOSED;CARRY_FORWARD=No</x:v>
      </x:c>
      <x:c r="L144" s="19" t="str">
        <x:v>NOT_EXPOSED_IN_SOURCE</x:v>
      </x:c>
      <x:c r="M144" s="19" t="str">
        <x:v>No</x:v>
      </x:c>
      <x:c r="N144" s="31" t="str">
        <x:v>RECONSTRUCTED_FROM_REPORT</x:v>
      </x:c>
      <x:c r="O144" s="31" t="str">
        <x:v>EXCLUDE</x:v>
      </x:c>
      <x:c r="P144" s="19" t="str">
        <x:v>Fear of Temperature_ Historical Lexical Discovery and Anchor Validation.pdf</x:v>
      </x:c>
      <x:c r="Q144" s="31" t="str">
        <x:v>RECONSTRUCTED_FROM_REPORT</x:v>
      </x:c>
      <x:c r="R144" s="46" t="str">
        <x:v>Original candidate ID and row fields reconstructed from the compact narrative PDF table; this is not the missing original structured record.</x:v>
      </x:c>
    </x:row>
    <x:row r="145" ht="32" customHeight="1">
      <x:c r="A145" s="18" t="str">
        <x:v>FT-SEED-R1-2015-C-05</x:v>
      </x:c>
      <x:c r="B145" s="19" t="str">
        <x:v>INITIAL_180</x:v>
      </x:c>
      <x:c r="C145" s="31" t="str">
        <x:v>2015-C-05</x:v>
      </x:c>
      <x:c r="D145" s="19" t="str">
        <x:v>24</x:v>
      </x:c>
      <x:c r="E145" s="19" t="str">
        <x:v>FT-A2015</x:v>
      </x:c>
      <x:c r="F145" s="31" t="str">
        <x:v>fear</x:v>
      </x:c>
      <x:c r="G145" s="19" t="str">
        <x:v>C</x:v>
      </x:c>
      <x:c r="H145" s="19" t="str">
        <x:v>NOT_ANNOTATED_IN_SOURCE</x:v>
      </x:c>
      <x:c r="I145" s="19" t="str">
        <x:v>E15-1–4</x:v>
      </x:c>
      <x:c r="J145" s="19" t="str">
        <x:v>NOT_ANNOTATED_IN_SOURCE</x:v>
      </x:c>
      <x:c r="K145" s="19" t="str">
        <x:v>CONFIDENCE=NOT_EXPOSED;CARRY_FORWARD=No</x:v>
      </x:c>
      <x:c r="L145" s="19" t="str">
        <x:v>NOT_EXPOSED_IN_SOURCE</x:v>
      </x:c>
      <x:c r="M145" s="19" t="str">
        <x:v>No</x:v>
      </x:c>
      <x:c r="N145" s="31" t="str">
        <x:v>RECONSTRUCTED_FROM_REPORT</x:v>
      </x:c>
      <x:c r="O145" s="31" t="str">
        <x:v>EXCLUDE</x:v>
      </x:c>
      <x:c r="P145" s="19" t="str">
        <x:v>Fear of Temperature_ Historical Lexical Discovery and Anchor Validation.pdf</x:v>
      </x:c>
      <x:c r="Q145" s="31" t="str">
        <x:v>RECONSTRUCTED_FROM_REPORT</x:v>
      </x:c>
      <x:c r="R145" s="46" t="str">
        <x:v>Original candidate ID and row fields reconstructed from the compact narrative PDF table; this is not the missing original structured record.</x:v>
      </x:c>
    </x:row>
    <x:row r="146" ht="32" customHeight="1">
      <x:c r="A146" s="18" t="str">
        <x:v>FT-SEED-R1-2015-C-06</x:v>
      </x:c>
      <x:c r="B146" s="19" t="str">
        <x:v>INITIAL_180</x:v>
      </x:c>
      <x:c r="C146" s="31" t="str">
        <x:v>2015-C-06</x:v>
      </x:c>
      <x:c r="D146" s="19" t="str">
        <x:v>24</x:v>
      </x:c>
      <x:c r="E146" s="19" t="str">
        <x:v>FT-A2015</x:v>
      </x:c>
      <x:c r="F146" s="31" t="str">
        <x:v>anxiety</x:v>
      </x:c>
      <x:c r="G146" s="19" t="str">
        <x:v>C</x:v>
      </x:c>
      <x:c r="H146" s="19" t="str">
        <x:v>NOT_ANNOTATED_IN_SOURCE</x:v>
      </x:c>
      <x:c r="I146" s="19" t="str">
        <x:v>E15-1–4</x:v>
      </x:c>
      <x:c r="J146" s="19" t="str">
        <x:v>NOT_ANNOTATED_IN_SOURCE</x:v>
      </x:c>
      <x:c r="K146" s="19" t="str">
        <x:v>CONFIDENCE=NOT_EXPOSED;CARRY_FORWARD=No</x:v>
      </x:c>
      <x:c r="L146" s="19" t="str">
        <x:v>NOT_EXPOSED_IN_SOURCE</x:v>
      </x:c>
      <x:c r="M146" s="19" t="str">
        <x:v>No</x:v>
      </x:c>
      <x:c r="N146" s="31" t="str">
        <x:v>RECONSTRUCTED_FROM_REPORT</x:v>
      </x:c>
      <x:c r="O146" s="31" t="str">
        <x:v>EXCLUDE</x:v>
      </x:c>
      <x:c r="P146" s="19" t="str">
        <x:v>Fear of Temperature_ Historical Lexical Discovery and Anchor Validation.pdf</x:v>
      </x:c>
      <x:c r="Q146" s="31" t="str">
        <x:v>RECONSTRUCTED_FROM_REPORT</x:v>
      </x:c>
      <x:c r="R146" s="46" t="str">
        <x:v>Original candidate ID and row fields reconstructed from the compact narrative PDF table; this is not the missing original structured record.</x:v>
      </x:c>
    </x:row>
    <x:row r="147" ht="32" customHeight="1">
      <x:c r="A147" s="18" t="str">
        <x:v>FT-SEED-R1-2015-C-07</x:v>
      </x:c>
      <x:c r="B147" s="19" t="str">
        <x:v>INITIAL_180</x:v>
      </x:c>
      <x:c r="C147" s="31" t="str">
        <x:v>2015-C-07</x:v>
      </x:c>
      <x:c r="D147" s="19" t="str">
        <x:v>24</x:v>
      </x:c>
      <x:c r="E147" s="19" t="str">
        <x:v>FT-A2015</x:v>
      </x:c>
      <x:c r="F147" s="31" t="str">
        <x:v>worry</x:v>
      </x:c>
      <x:c r="G147" s="19" t="str">
        <x:v>C</x:v>
      </x:c>
      <x:c r="H147" s="19" t="str">
        <x:v>NOT_ANNOTATED_IN_SOURCE</x:v>
      </x:c>
      <x:c r="I147" s="19" t="str">
        <x:v>E15-1–4</x:v>
      </x:c>
      <x:c r="J147" s="19" t="str">
        <x:v>NOT_ANNOTATED_IN_SOURCE</x:v>
      </x:c>
      <x:c r="K147" s="19" t="str">
        <x:v>CONFIDENCE=NOT_EXPOSED;CARRY_FORWARD=No</x:v>
      </x:c>
      <x:c r="L147" s="19" t="str">
        <x:v>NOT_EXPOSED_IN_SOURCE</x:v>
      </x:c>
      <x:c r="M147" s="19" t="str">
        <x:v>No</x:v>
      </x:c>
      <x:c r="N147" s="31" t="str">
        <x:v>RECONSTRUCTED_FROM_REPORT</x:v>
      </x:c>
      <x:c r="O147" s="31" t="str">
        <x:v>EXCLUDE</x:v>
      </x:c>
      <x:c r="P147" s="19" t="str">
        <x:v>Fear of Temperature_ Historical Lexical Discovery and Anchor Validation.pdf</x:v>
      </x:c>
      <x:c r="Q147" s="31" t="str">
        <x:v>RECONSTRUCTED_FROM_REPORT</x:v>
      </x:c>
      <x:c r="R147" s="46" t="str">
        <x:v>Original candidate ID and row fields reconstructed from the compact narrative PDF table; this is not the missing original structured record.</x:v>
      </x:c>
    </x:row>
    <x:row r="148" ht="32" customHeight="1">
      <x:c r="A148" s="18" t="str">
        <x:v>FT-SEED-R1-2015-D-01</x:v>
      </x:c>
      <x:c r="B148" s="19" t="str">
        <x:v>INITIAL_180</x:v>
      </x:c>
      <x:c r="C148" s="31" t="str">
        <x:v>2015-D-01</x:v>
      </x:c>
      <x:c r="D148" s="19" t="str">
        <x:v>24</x:v>
      </x:c>
      <x:c r="E148" s="19" t="str">
        <x:v>FT-A2015</x:v>
      </x:c>
      <x:c r="F148" s="31" t="str">
        <x:v>threat of climate change</x:v>
      </x:c>
      <x:c r="G148" s="19" t="str">
        <x:v>D</x:v>
      </x:c>
      <x:c r="H148" s="19" t="str">
        <x:v>NOT_ANNOTATED_IN_SOURCE</x:v>
      </x:c>
      <x:c r="I148" s="19" t="str">
        <x:v>E15-2</x:v>
      </x:c>
      <x:c r="J148" s="19" t="str">
        <x:v>NOT_ANNOTATED_IN_SOURCE</x:v>
      </x:c>
      <x:c r="K148" s="19" t="str">
        <x:v>CONFIDENCE=NOT_EXPOSED;CARRY_FORWARD=Yes</x:v>
      </x:c>
      <x:c r="L148" s="19" t="str">
        <x:v>NOT_EXPOSED_IN_SOURCE</x:v>
      </x:c>
      <x:c r="M148" s="19" t="str">
        <x:v>Yes</x:v>
      </x:c>
      <x:c r="N148" s="31" t="str">
        <x:v>RECONSTRUCTED_FROM_REPORT</x:v>
      </x:c>
      <x:c r="O148" s="31" t="str">
        <x:v>RETAIN</x:v>
      </x:c>
      <x:c r="P148" s="19" t="str">
        <x:v>Fear of Temperature_ Historical Lexical Discovery and Anchor Validation.pdf</x:v>
      </x:c>
      <x:c r="Q148" s="31" t="str">
        <x:v>RECONSTRUCTED_FROM_REPORT</x:v>
      </x:c>
      <x:c r="R148" s="46" t="str">
        <x:v>Original candidate ID and row fields reconstructed from the compact narrative PDF table; this is not the missing original structured record.</x:v>
      </x:c>
    </x:row>
    <x:row r="149" ht="32" customHeight="1">
      <x:c r="A149" s="18" t="str">
        <x:v>FT-SEED-R1-2015-D-02</x:v>
      </x:c>
      <x:c r="B149" s="19" t="str">
        <x:v>INITIAL_180</x:v>
      </x:c>
      <x:c r="C149" s="31" t="str">
        <x:v>2015-D-02</x:v>
      </x:c>
      <x:c r="D149" s="19" t="str">
        <x:v>24</x:v>
      </x:c>
      <x:c r="E149" s="19" t="str">
        <x:v>FT-A2015</x:v>
      </x:c>
      <x:c r="F149" s="31" t="str">
        <x:v>risk</x:v>
      </x:c>
      <x:c r="G149" s="19" t="str">
        <x:v>D</x:v>
      </x:c>
      <x:c r="H149" s="19" t="str">
        <x:v>NOT_ANNOTATED_IN_SOURCE</x:v>
      </x:c>
      <x:c r="I149" s="19" t="str">
        <x:v>E15-1,2,4</x:v>
      </x:c>
      <x:c r="J149" s="19" t="str">
        <x:v>NOT_ANNOTATED_IN_SOURCE</x:v>
      </x:c>
      <x:c r="K149" s="19" t="str">
        <x:v>CONFIDENCE=NOT_EXPOSED;CARRY_FORWARD=Yes</x:v>
      </x:c>
      <x:c r="L149" s="19" t="str">
        <x:v>NOT_EXPOSED_IN_SOURCE</x:v>
      </x:c>
      <x:c r="M149" s="19" t="str">
        <x:v>Yes</x:v>
      </x:c>
      <x:c r="N149" s="31" t="str">
        <x:v>RECONSTRUCTED_FROM_REPORT</x:v>
      </x:c>
      <x:c r="O149" s="31" t="str">
        <x:v>RETAIN</x:v>
      </x:c>
      <x:c r="P149" s="19" t="str">
        <x:v>Fear of Temperature_ Historical Lexical Discovery and Anchor Validation.pdf</x:v>
      </x:c>
      <x:c r="Q149" s="31" t="str">
        <x:v>RECONSTRUCTED_FROM_REPORT</x:v>
      </x:c>
      <x:c r="R149" s="46" t="str">
        <x:v>Original candidate ID and row fields reconstructed from the compact narrative PDF table; this is not the missing original structured record.</x:v>
      </x:c>
    </x:row>
    <x:row r="150" ht="32" customHeight="1">
      <x:c r="A150" s="18" t="str">
        <x:v>FT-SEED-R1-2015-D-03</x:v>
      </x:c>
      <x:c r="B150" s="19" t="str">
        <x:v>INITIAL_180</x:v>
      </x:c>
      <x:c r="C150" s="31" t="str">
        <x:v>2015-D-03</x:v>
      </x:c>
      <x:c r="D150" s="19" t="str">
        <x:v>24</x:v>
      </x:c>
      <x:c r="E150" s="19" t="str">
        <x:v>FT-A2015</x:v>
      </x:c>
      <x:c r="F150" s="31" t="str">
        <x:v>adverse effects</x:v>
      </x:c>
      <x:c r="G150" s="19" t="str">
        <x:v>D</x:v>
      </x:c>
      <x:c r="H150" s="19" t="str">
        <x:v>NOT_ANNOTATED_IN_SOURCE</x:v>
      </x:c>
      <x:c r="I150" s="19" t="str">
        <x:v>E15-1,2</x:v>
      </x:c>
      <x:c r="J150" s="19" t="str">
        <x:v>NOT_ANNOTATED_IN_SOURCE</x:v>
      </x:c>
      <x:c r="K150" s="19" t="str">
        <x:v>CONFIDENCE=NOT_EXPOSED;CARRY_FORWARD=Yes</x:v>
      </x:c>
      <x:c r="L150" s="19" t="str">
        <x:v>NOT_EXPOSED_IN_SOURCE</x:v>
      </x:c>
      <x:c r="M150" s="19" t="str">
        <x:v>Yes</x:v>
      </x:c>
      <x:c r="N150" s="31" t="str">
        <x:v>RECONSTRUCTED_FROM_REPORT</x:v>
      </x:c>
      <x:c r="O150" s="31" t="str">
        <x:v>RETAIN</x:v>
      </x:c>
      <x:c r="P150" s="19" t="str">
        <x:v>Fear of Temperature_ Historical Lexical Discovery and Anchor Validation.pdf</x:v>
      </x:c>
      <x:c r="Q150" s="31" t="str">
        <x:v>RECONSTRUCTED_FROM_REPORT</x:v>
      </x:c>
      <x:c r="R150" s="46" t="str">
        <x:v>Original candidate ID and row fields reconstructed from the compact narrative PDF table; this is not the missing original structured record.</x:v>
      </x:c>
    </x:row>
    <x:row r="151" ht="32" customHeight="1">
      <x:c r="A151" s="18" t="str">
        <x:v>FT-SEED-R1-2015-D-04</x:v>
      </x:c>
      <x:c r="B151" s="19" t="str">
        <x:v>INITIAL_180</x:v>
      </x:c>
      <x:c r="C151" s="31" t="str">
        <x:v>2015-D-04</x:v>
      </x:c>
      <x:c r="D151" s="19" t="str">
        <x:v>25</x:v>
      </x:c>
      <x:c r="E151" s="19" t="str">
        <x:v>FT-A2015</x:v>
      </x:c>
      <x:c r="F151" s="31" t="str">
        <x:v>loss and damage</x:v>
      </x:c>
      <x:c r="G151" s="19" t="str">
        <x:v>D</x:v>
      </x:c>
      <x:c r="H151" s="19" t="str">
        <x:v>NOT_ANNOTATED_IN_SOURCE</x:v>
      </x:c>
      <x:c r="I151" s="19" t="str">
        <x:v>E15-2</x:v>
      </x:c>
      <x:c r="J151" s="19" t="str">
        <x:v>NOT_ANNOTATED_IN_SOURCE</x:v>
      </x:c>
      <x:c r="K151" s="19" t="str">
        <x:v>CONFIDENCE=NOT_EXPOSED;CARRY_FORWARD=Yes</x:v>
      </x:c>
      <x:c r="L151" s="19" t="str">
        <x:v>NOT_EXPOSED_IN_SOURCE</x:v>
      </x:c>
      <x:c r="M151" s="19" t="str">
        <x:v>Yes</x:v>
      </x:c>
      <x:c r="N151" s="31" t="str">
        <x:v>RECONSTRUCTED_FROM_REPORT</x:v>
      </x:c>
      <x:c r="O151" s="31" t="str">
        <x:v>RETAIN</x:v>
      </x:c>
      <x:c r="P151" s="19" t="str">
        <x:v>Fear of Temperature_ Historical Lexical Discovery and Anchor Validation.pdf</x:v>
      </x:c>
      <x:c r="Q151" s="31" t="str">
        <x:v>RECONSTRUCTED_FROM_REPORT</x:v>
      </x:c>
      <x:c r="R151" s="46" t="str">
        <x:v>Original candidate ID and row fields reconstructed from the compact narrative PDF table; this is not the missing original structured record.</x:v>
      </x:c>
    </x:row>
    <x:row r="152" ht="32" customHeight="1">
      <x:c r="A152" s="18" t="str">
        <x:v>FT-SEED-R1-2015-D-05</x:v>
      </x:c>
      <x:c r="B152" s="19" t="str">
        <x:v>INITIAL_180</x:v>
      </x:c>
      <x:c r="C152" s="31" t="str">
        <x:v>2015-D-05</x:v>
      </x:c>
      <x:c r="D152" s="19" t="str">
        <x:v>25</x:v>
      </x:c>
      <x:c r="E152" s="19" t="str">
        <x:v>FT-A2015</x:v>
      </x:c>
      <x:c r="F152" s="31" t="str">
        <x:v>vulnerability</x:v>
      </x:c>
      <x:c r="G152" s="19" t="str">
        <x:v>D</x:v>
      </x:c>
      <x:c r="H152" s="19" t="str">
        <x:v>NOT_ANNOTATED_IN_SOURCE</x:v>
      </x:c>
      <x:c r="I152" s="19" t="str">
        <x:v>E15-1,2</x:v>
      </x:c>
      <x:c r="J152" s="19" t="str">
        <x:v>NOT_ANNOTATED_IN_SOURCE</x:v>
      </x:c>
      <x:c r="K152" s="19" t="str">
        <x:v>CONFIDENCE=NOT_EXPOSED;CARRY_FORWARD=Conditional</x:v>
      </x:c>
      <x:c r="L152" s="19" t="str">
        <x:v>NOT_EXPOSED_IN_SOURCE</x:v>
      </x:c>
      <x:c r="M152" s="19" t="str">
        <x:v>Conditional</x:v>
      </x:c>
      <x:c r="N152" s="31" t="str">
        <x:v>RECONSTRUCTED_FROM_REPORT</x:v>
      </x:c>
      <x:c r="O152" s="31" t="str">
        <x:v>UNRESOLVED</x:v>
      </x:c>
      <x:c r="P152" s="19" t="str">
        <x:v>Fear of Temperature_ Historical Lexical Discovery and Anchor Validation.pdf</x:v>
      </x:c>
      <x:c r="Q152" s="31" t="str">
        <x:v>RECONSTRUCTED_FROM_REPORT</x:v>
      </x:c>
      <x:c r="R152" s="46" t="str">
        <x:v>Original candidate ID and row fields reconstructed from the compact narrative PDF table; this is not the missing original structured record.</x:v>
      </x:c>
    </x:row>
    <x:row r="153" ht="32" customHeight="1">
      <x:c r="A153" s="18" t="str">
        <x:v>FT-SEED-R1-2015-D-06</x:v>
      </x:c>
      <x:c r="B153" s="19" t="str">
        <x:v>INITIAL_180</x:v>
      </x:c>
      <x:c r="C153" s="31" t="str">
        <x:v>2015-D-06</x:v>
      </x:c>
      <x:c r="D153" s="19" t="str">
        <x:v>25</x:v>
      </x:c>
      <x:c r="E153" s="19" t="str">
        <x:v>FT-A2015</x:v>
      </x:c>
      <x:c r="F153" s="31" t="str">
        <x:v>danger</x:v>
      </x:c>
      <x:c r="G153" s="19" t="str">
        <x:v>D</x:v>
      </x:c>
      <x:c r="H153" s="19" t="str">
        <x:v>NOT_ANNOTATED_IN_SOURCE</x:v>
      </x:c>
      <x:c r="I153" s="19" t="str">
        <x:v>E15-3</x:v>
      </x:c>
      <x:c r="J153" s="19" t="str">
        <x:v>NOT_ANNOTATED_IN_SOURCE</x:v>
      </x:c>
      <x:c r="K153" s="19" t="str">
        <x:v>CONFIDENCE=NOT_EXPOSED;CARRY_FORWARD=Yes</x:v>
      </x:c>
      <x:c r="L153" s="19" t="str">
        <x:v>NOT_EXPOSED_IN_SOURCE</x:v>
      </x:c>
      <x:c r="M153" s="19" t="str">
        <x:v>Yes</x:v>
      </x:c>
      <x:c r="N153" s="31" t="str">
        <x:v>RECONSTRUCTED_FROM_REPORT</x:v>
      </x:c>
      <x:c r="O153" s="31" t="str">
        <x:v>RETAIN</x:v>
      </x:c>
      <x:c r="P153" s="19" t="str">
        <x:v>Fear of Temperature_ Historical Lexical Discovery and Anchor Validation.pdf</x:v>
      </x:c>
      <x:c r="Q153" s="31" t="str">
        <x:v>RECONSTRUCTED_FROM_REPORT</x:v>
      </x:c>
      <x:c r="R153" s="46" t="str">
        <x:v>Original candidate ID and row fields reconstructed from the compact narrative PDF table; this is not the missing original structured record.</x:v>
      </x:c>
    </x:row>
    <x:row r="154" ht="32" customHeight="1">
      <x:c r="A154" s="18" t="str">
        <x:v>FT-SEED-R1-2015-D-07</x:v>
      </x:c>
      <x:c r="B154" s="19" t="str">
        <x:v>INITIAL_180</x:v>
      </x:c>
      <x:c r="C154" s="31" t="str">
        <x:v>2015-D-07</x:v>
      </x:c>
      <x:c r="D154" s="19" t="str">
        <x:v>25</x:v>
      </x:c>
      <x:c r="E154" s="19" t="str">
        <x:v>FT-A2015</x:v>
      </x:c>
      <x:c r="F154" s="31" t="str">
        <x:v>present threat</x:v>
      </x:c>
      <x:c r="G154" s="19" t="str">
        <x:v>D</x:v>
      </x:c>
      <x:c r="H154" s="19" t="str">
        <x:v>NOT_ANNOTATED_IN_SOURCE</x:v>
      </x:c>
      <x:c r="I154" s="19" t="str">
        <x:v>E15-3</x:v>
      </x:c>
      <x:c r="J154" s="19" t="str">
        <x:v>NOT_ANNOTATED_IN_SOURCE</x:v>
      </x:c>
      <x:c r="K154" s="19" t="str">
        <x:v>CONFIDENCE=NOT_EXPOSED;CARRY_FORWARD=Yes</x:v>
      </x:c>
      <x:c r="L154" s="19" t="str">
        <x:v>NOT_EXPOSED_IN_SOURCE</x:v>
      </x:c>
      <x:c r="M154" s="19" t="str">
        <x:v>Yes</x:v>
      </x:c>
      <x:c r="N154" s="31" t="str">
        <x:v>RECONSTRUCTED_FROM_REPORT</x:v>
      </x:c>
      <x:c r="O154" s="31" t="str">
        <x:v>RETAIN</x:v>
      </x:c>
      <x:c r="P154" s="19" t="str">
        <x:v>Fear of Temperature_ Historical Lexical Discovery and Anchor Validation.pdf</x:v>
      </x:c>
      <x:c r="Q154" s="31" t="str">
        <x:v>RECONSTRUCTED_FROM_REPORT</x:v>
      </x:c>
      <x:c r="R154" s="46" t="str">
        <x:v>Original candidate ID and row fields reconstructed from the compact narrative PDF table; this is not the missing original structured record.</x:v>
      </x:c>
    </x:row>
    <x:row r="155" ht="32" customHeight="1">
      <x:c r="A155" s="18" t="str">
        <x:v>FT-SEED-R1-2022-A-01</x:v>
      </x:c>
      <x:c r="B155" s="19" t="str">
        <x:v>INITIAL_180</x:v>
      </x:c>
      <x:c r="C155" s="31" t="str">
        <x:v>2022-A-01</x:v>
      </x:c>
      <x:c r="D155" s="19" t="str">
        <x:v>26</x:v>
      </x:c>
      <x:c r="E155" s="19" t="str">
        <x:v>FT-A2022</x:v>
      </x:c>
      <x:c r="F155" s="31" t="str">
        <x:v>global temperature</x:v>
      </x:c>
      <x:c r="G155" s="19" t="str">
        <x:v>A</x:v>
      </x:c>
      <x:c r="H155" s="19" t="str">
        <x:v>NOT_ANNOTATED_IN_SOURCE</x:v>
      </x:c>
      <x:c r="I155" s="19" t="str">
        <x:v>E22-1,2</x:v>
      </x:c>
      <x:c r="J155" s="19" t="str">
        <x:v>NOT_ANNOTATED_IN_SOURCE</x:v>
      </x:c>
      <x:c r="K155" s="19" t="str">
        <x:v>CONFIDENCE=Strong;CARRY_FORWARD=Yes</x:v>
      </x:c>
      <x:c r="L155" s="19" t="str">
        <x:v>Strong</x:v>
      </x:c>
      <x:c r="M155" s="19" t="str">
        <x:v>Yes</x:v>
      </x:c>
      <x:c r="N155" s="31" t="str">
        <x:v>RECONSTRUCTED_FROM_REPORT</x:v>
      </x:c>
      <x:c r="O155" s="31" t="str">
        <x:v>RETAIN</x:v>
      </x:c>
      <x:c r="P155" s="19" t="str">
        <x:v>Fear of Temperature_ Historical Lexical Discovery and Anchor Validation.pdf</x:v>
      </x:c>
      <x:c r="Q155" s="31" t="str">
        <x:v>RECONSTRUCTED_FROM_REPORT</x:v>
      </x:c>
      <x:c r="R155" s="46" t="str">
        <x:v>Original candidate ID and row fields reconstructed from the compact narrative PDF table; this is not the missing original structured record.</x:v>
      </x:c>
    </x:row>
    <x:row r="156" ht="32" customHeight="1">
      <x:c r="A156" s="18" t="str">
        <x:v>FT-SEED-R1-2022-A-02</x:v>
      </x:c>
      <x:c r="B156" s="19" t="str">
        <x:v>INITIAL_180</x:v>
      </x:c>
      <x:c r="C156" s="31" t="str">
        <x:v>2022-A-02</x:v>
      </x:c>
      <x:c r="D156" s="19" t="str">
        <x:v>26</x:v>
      </x:c>
      <x:c r="E156" s="19" t="str">
        <x:v>FT-A2022</x:v>
      </x:c>
      <x:c r="F156" s="31" t="str">
        <x:v>global mean temperature</x:v>
      </x:c>
      <x:c r="G156" s="19" t="str">
        <x:v>A</x:v>
      </x:c>
      <x:c r="H156" s="19" t="str">
        <x:v>NOT_ANNOTATED_IN_SOURCE</x:v>
      </x:c>
      <x:c r="I156" s="19" t="str">
        <x:v>E22-2</x:v>
      </x:c>
      <x:c r="J156" s="19" t="str">
        <x:v>NOT_ANNOTATED_IN_SOURCE</x:v>
      </x:c>
      <x:c r="K156" s="19" t="str">
        <x:v>CONFIDENCE=Strong;CARRY_FORWARD=Yes</x:v>
      </x:c>
      <x:c r="L156" s="19" t="str">
        <x:v>Strong</x:v>
      </x:c>
      <x:c r="M156" s="19" t="str">
        <x:v>Yes</x:v>
      </x:c>
      <x:c r="N156" s="31" t="str">
        <x:v>RECONSTRUCTED_FROM_REPORT</x:v>
      </x:c>
      <x:c r="O156" s="31" t="str">
        <x:v>RETAIN</x:v>
      </x:c>
      <x:c r="P156" s="19" t="str">
        <x:v>Fear of Temperature_ Historical Lexical Discovery and Anchor Validation.pdf</x:v>
      </x:c>
      <x:c r="Q156" s="31" t="str">
        <x:v>RECONSTRUCTED_FROM_REPORT</x:v>
      </x:c>
      <x:c r="R156" s="46" t="str">
        <x:v>Original candidate ID and row fields reconstructed from the compact narrative PDF table; this is not the missing original structured record.</x:v>
      </x:c>
    </x:row>
    <x:row r="157" ht="32" customHeight="1">
      <x:c r="A157" s="18" t="str">
        <x:v>FT-SEED-R1-2022-A-03</x:v>
      </x:c>
      <x:c r="B157" s="19" t="str">
        <x:v>INITIAL_180</x:v>
      </x:c>
      <x:c r="C157" s="31" t="str">
        <x:v>2022-A-03</x:v>
      </x:c>
      <x:c r="D157" s="19" t="str">
        <x:v>26</x:v>
      </x:c>
      <x:c r="E157" s="19" t="str">
        <x:v>FT-A2022</x:v>
      </x:c>
      <x:c r="F157" s="31" t="str">
        <x:v>rising temperatures</x:v>
      </x:c>
      <x:c r="G157" s="19" t="str">
        <x:v>A</x:v>
      </x:c>
      <x:c r="H157" s="19" t="str">
        <x:v>NOT_ANNOTATED_IN_SOURCE</x:v>
      </x:c>
      <x:c r="I157" s="19" t="str">
        <x:v>E22-1–3</x:v>
      </x:c>
      <x:c r="J157" s="19" t="str">
        <x:v>NOT_ANNOTATED_IN_SOURCE</x:v>
      </x:c>
      <x:c r="K157" s="19" t="str">
        <x:v>CONFIDENCE=Moderate;CARRY_FORWARD=Yes</x:v>
      </x:c>
      <x:c r="L157" s="19" t="str">
        <x:v>Moderate</x:v>
      </x:c>
      <x:c r="M157" s="19" t="str">
        <x:v>Yes</x:v>
      </x:c>
      <x:c r="N157" s="31" t="str">
        <x:v>RECONSTRUCTED_FROM_REPORT</x:v>
      </x:c>
      <x:c r="O157" s="31" t="str">
        <x:v>RETAIN</x:v>
      </x:c>
      <x:c r="P157" s="19" t="str">
        <x:v>Fear of Temperature_ Historical Lexical Discovery and Anchor Validation.pdf</x:v>
      </x:c>
      <x:c r="Q157" s="31" t="str">
        <x:v>RECONSTRUCTED_FROM_REPORT</x:v>
      </x:c>
      <x:c r="R157" s="46" t="str">
        <x:v>Original candidate ID and row fields reconstructed from the compact narrative PDF table; this is not the missing original structured record.</x:v>
      </x:c>
    </x:row>
    <x:row r="158" ht="32" customHeight="1">
      <x:c r="A158" s="18" t="str">
        <x:v>FT-SEED-R1-2022-A-04</x:v>
      </x:c>
      <x:c r="B158" s="19" t="str">
        <x:v>INITIAL_180</x:v>
      </x:c>
      <x:c r="C158" s="31" t="str">
        <x:v>2022-A-04</x:v>
      </x:c>
      <x:c r="D158" s="19" t="str">
        <x:v>26</x:v>
      </x:c>
      <x:c r="E158" s="19" t="str">
        <x:v>FT-A2022</x:v>
      </x:c>
      <x:c r="F158" s="31" t="str">
        <x:v>warming</x:v>
      </x:c>
      <x:c r="G158" s="19" t="str">
        <x:v>A</x:v>
      </x:c>
      <x:c r="H158" s="19" t="str">
        <x:v>NOT_ANNOTATED_IN_SOURCE</x:v>
      </x:c>
      <x:c r="I158" s="19" t="str">
        <x:v>E22-2,3</x:v>
      </x:c>
      <x:c r="J158" s="19" t="str">
        <x:v>NOT_ANNOTATED_IN_SOURCE</x:v>
      </x:c>
      <x:c r="K158" s="19" t="str">
        <x:v>CONFIDENCE=Strong;CARRY_FORWARD=Yes</x:v>
      </x:c>
      <x:c r="L158" s="19" t="str">
        <x:v>Strong</x:v>
      </x:c>
      <x:c r="M158" s="19" t="str">
        <x:v>Yes</x:v>
      </x:c>
      <x:c r="N158" s="31" t="str">
        <x:v>RECONSTRUCTED_FROM_REPORT</x:v>
      </x:c>
      <x:c r="O158" s="31" t="str">
        <x:v>RETAIN</x:v>
      </x:c>
      <x:c r="P158" s="19" t="str">
        <x:v>Fear of Temperature_ Historical Lexical Discovery and Anchor Validation.pdf</x:v>
      </x:c>
      <x:c r="Q158" s="31" t="str">
        <x:v>RECONSTRUCTED_FROM_REPORT</x:v>
      </x:c>
      <x:c r="R158" s="46" t="str">
        <x:v>Original candidate ID and row fields reconstructed from the compact narrative PDF table; this is not the missing original structured record.</x:v>
      </x:c>
    </x:row>
    <x:row r="159" ht="32" customHeight="1">
      <x:c r="A159" s="18" t="str">
        <x:v>FT-SEED-R1-2022-A-05</x:v>
      </x:c>
      <x:c r="B159" s="19" t="str">
        <x:v>INITIAL_180</x:v>
      </x:c>
      <x:c r="C159" s="31" t="str">
        <x:v>2022-A-05</x:v>
      </x:c>
      <x:c r="D159" s="19" t="str">
        <x:v>26</x:v>
      </x:c>
      <x:c r="E159" s="19" t="str">
        <x:v>FT-A2022</x:v>
      </x:c>
      <x:c r="F159" s="31" t="str">
        <x:v>global warming</x:v>
      </x:c>
      <x:c r="G159" s="19" t="str">
        <x:v>A</x:v>
      </x:c>
      <x:c r="H159" s="19" t="str">
        <x:v>NOT_ANNOTATED_IN_SOURCE</x:v>
      </x:c>
      <x:c r="I159" s="19" t="str">
        <x:v>E22-2,3</x:v>
      </x:c>
      <x:c r="J159" s="19" t="str">
        <x:v>NOT_ANNOTATED_IN_SOURCE</x:v>
      </x:c>
      <x:c r="K159" s="19" t="str">
        <x:v>CONFIDENCE=Strong;CARRY_FORWARD=Yes</x:v>
      </x:c>
      <x:c r="L159" s="19" t="str">
        <x:v>Strong</x:v>
      </x:c>
      <x:c r="M159" s="19" t="str">
        <x:v>Yes</x:v>
      </x:c>
      <x:c r="N159" s="31" t="str">
        <x:v>RECONSTRUCTED_FROM_REPORT</x:v>
      </x:c>
      <x:c r="O159" s="31" t="str">
        <x:v>RETAIN</x:v>
      </x:c>
      <x:c r="P159" s="19" t="str">
        <x:v>Fear of Temperature_ Historical Lexical Discovery and Anchor Validation.pdf</x:v>
      </x:c>
      <x:c r="Q159" s="31" t="str">
        <x:v>RECONSTRUCTED_FROM_REPORT</x:v>
      </x:c>
      <x:c r="R159" s="46" t="str">
        <x:v>Original candidate ID and row fields reconstructed from the compact narrative PDF table; this is not the missing original structured record.</x:v>
      </x:c>
    </x:row>
    <x:row r="160" ht="32" customHeight="1">
      <x:c r="A160" s="18" t="str">
        <x:v>FT-SEED-R1-2022-A-06</x:v>
      </x:c>
      <x:c r="B160" s="19" t="str">
        <x:v>INITIAL_180</x:v>
      </x:c>
      <x:c r="C160" s="31" t="str">
        <x:v>2022-A-06</x:v>
      </x:c>
      <x:c r="D160" s="19" t="str">
        <x:v>26</x:v>
      </x:c>
      <x:c r="E160" s="19" t="str">
        <x:v>FT-A2022</x:v>
      </x:c>
      <x:c r="F160" s="31" t="str">
        <x:v>extreme heat</x:v>
      </x:c>
      <x:c r="G160" s="19" t="str">
        <x:v>A</x:v>
      </x:c>
      <x:c r="H160" s="19" t="str">
        <x:v>NOT_ANNOTATED_IN_SOURCE</x:v>
      </x:c>
      <x:c r="I160" s="19" t="str">
        <x:v>E22-1–3</x:v>
      </x:c>
      <x:c r="J160" s="19" t="str">
        <x:v>NOT_ANNOTATED_IN_SOURCE</x:v>
      </x:c>
      <x:c r="K160" s="19" t="str">
        <x:v>CONFIDENCE=Strong;CARRY_FORWARD=Yes</x:v>
      </x:c>
      <x:c r="L160" s="19" t="str">
        <x:v>Strong</x:v>
      </x:c>
      <x:c r="M160" s="19" t="str">
        <x:v>Yes</x:v>
      </x:c>
      <x:c r="N160" s="31" t="str">
        <x:v>RECONSTRUCTED_FROM_REPORT</x:v>
      </x:c>
      <x:c r="O160" s="31" t="str">
        <x:v>RETAIN</x:v>
      </x:c>
      <x:c r="P160" s="19" t="str">
        <x:v>Fear of Temperature_ Historical Lexical Discovery and Anchor Validation.pdf</x:v>
      </x:c>
      <x:c r="Q160" s="31" t="str">
        <x:v>RECONSTRUCTED_FROM_REPORT</x:v>
      </x:c>
      <x:c r="R160" s="46" t="str">
        <x:v>Original candidate ID and row fields reconstructed from the compact narrative PDF table; this is not the missing original structured record.</x:v>
      </x:c>
    </x:row>
    <x:row r="161" ht="32" customHeight="1">
      <x:c r="A161" s="18" t="str">
        <x:v>FT-SEED-R1-2022-A-07</x:v>
      </x:c>
      <x:c r="B161" s="19" t="str">
        <x:v>INITIAL_180</x:v>
      </x:c>
      <x:c r="C161" s="31" t="str">
        <x:v>2022-A-07</x:v>
      </x:c>
      <x:c r="D161" s="19" t="str">
        <x:v>26</x:v>
      </x:c>
      <x:c r="E161" s="19" t="str">
        <x:v>FT-A2022</x:v>
      </x:c>
      <x:c r="F161" s="31" t="str">
        <x:v>extreme heatwaves</x:v>
      </x:c>
      <x:c r="G161" s="19" t="str">
        <x:v>A</x:v>
      </x:c>
      <x:c r="H161" s="19" t="str">
        <x:v>NOT_ANNOTATED_IN_SOURCE</x:v>
      </x:c>
      <x:c r="I161" s="19" t="str">
        <x:v>E22-1</x:v>
      </x:c>
      <x:c r="J161" s="19" t="str">
        <x:v>NOT_ANNOTATED_IN_SOURCE</x:v>
      </x:c>
      <x:c r="K161" s="19" t="str">
        <x:v>CONFIDENCE=Strong;CARRY_FORWARD=Yes</x:v>
      </x:c>
      <x:c r="L161" s="19" t="str">
        <x:v>Strong</x:v>
      </x:c>
      <x:c r="M161" s="19" t="str">
        <x:v>Yes</x:v>
      </x:c>
      <x:c r="N161" s="31" t="str">
        <x:v>RECONSTRUCTED_FROM_REPORT</x:v>
      </x:c>
      <x:c r="O161" s="31" t="str">
        <x:v>RETAIN</x:v>
      </x:c>
      <x:c r="P161" s="19" t="str">
        <x:v>Fear of Temperature_ Historical Lexical Discovery and Anchor Validation.pdf</x:v>
      </x:c>
      <x:c r="Q161" s="31" t="str">
        <x:v>RECONSTRUCTED_FROM_REPORT</x:v>
      </x:c>
      <x:c r="R161" s="46" t="str">
        <x:v>Original candidate ID and row fields reconstructed from the compact narrative PDF table; this is not the missing original structured record.</x:v>
      </x:c>
    </x:row>
    <x:row r="162" ht="32" customHeight="1">
      <x:c r="A162" s="18" t="str">
        <x:v>FT-SEED-R1-2022-A-08</x:v>
      </x:c>
      <x:c r="B162" s="19" t="str">
        <x:v>INITIAL_180</x:v>
      </x:c>
      <x:c r="C162" s="31" t="str">
        <x:v>2022-A-08</x:v>
      </x:c>
      <x:c r="D162" s="19" t="str">
        <x:v>27</x:v>
      </x:c>
      <x:c r="E162" s="19" t="str">
        <x:v>FT-A2022</x:v>
      </x:c>
      <x:c r="F162" s="31" t="str">
        <x:v>ocean heat</x:v>
      </x:c>
      <x:c r="G162" s="19" t="str">
        <x:v>A</x:v>
      </x:c>
      <x:c r="H162" s="19" t="str">
        <x:v>NOT_ANNOTATED_IN_SOURCE</x:v>
      </x:c>
      <x:c r="I162" s="19" t="str">
        <x:v>E22-2</x:v>
      </x:c>
      <x:c r="J162" s="19" t="str">
        <x:v>NOT_ANNOTATED_IN_SOURCE</x:v>
      </x:c>
      <x:c r="K162" s="19" t="str">
        <x:v>CONFIDENCE=Strong;CARRY_FORWARD=Yes</x:v>
      </x:c>
      <x:c r="L162" s="19" t="str">
        <x:v>Strong</x:v>
      </x:c>
      <x:c r="M162" s="19" t="str">
        <x:v>Yes</x:v>
      </x:c>
      <x:c r="N162" s="31" t="str">
        <x:v>RECONSTRUCTED_FROM_REPORT</x:v>
      </x:c>
      <x:c r="O162" s="31" t="str">
        <x:v>RETAIN</x:v>
      </x:c>
      <x:c r="P162" s="19" t="str">
        <x:v>Fear of Temperature_ Historical Lexical Discovery and Anchor Validation.pdf</x:v>
      </x:c>
      <x:c r="Q162" s="31" t="str">
        <x:v>RECONSTRUCTED_FROM_REPORT</x:v>
      </x:c>
      <x:c r="R162" s="46" t="str">
        <x:v>Original candidate ID and row fields reconstructed from the compact narrative PDF table; this is not the missing original structured record.</x:v>
      </x:c>
    </x:row>
    <x:row r="163" ht="32" customHeight="1">
      <x:c r="A163" s="18" t="str">
        <x:v>FT-SEED-R1-2022-B-01</x:v>
      </x:c>
      <x:c r="B163" s="19" t="str">
        <x:v>INITIAL_180</x:v>
      </x:c>
      <x:c r="C163" s="31" t="str">
        <x:v>2022-B-01</x:v>
      </x:c>
      <x:c r="D163" s="19" t="str">
        <x:v>27</x:v>
      </x:c>
      <x:c r="E163" s="19" t="str">
        <x:v>FT-A2022</x:v>
      </x:c>
      <x:c r="F163" s="31" t="str">
        <x:v>climate change</x:v>
      </x:c>
      <x:c r="G163" s="19" t="str">
        <x:v>B</x:v>
      </x:c>
      <x:c r="H163" s="19" t="str">
        <x:v>NOT_ANNOTATED_IN_SOURCE</x:v>
      </x:c>
      <x:c r="I163" s="19" t="str">
        <x:v>E22-1–3</x:v>
      </x:c>
      <x:c r="J163" s="19" t="str">
        <x:v>NOT_ANNOTATED_IN_SOURCE</x:v>
      </x:c>
      <x:c r="K163" s="19" t="str">
        <x:v>CONFIDENCE=Strong;CARRY_FORWARD=Yes</x:v>
      </x:c>
      <x:c r="L163" s="19" t="str">
        <x:v>Strong</x:v>
      </x:c>
      <x:c r="M163" s="19" t="str">
        <x:v>Yes</x:v>
      </x:c>
      <x:c r="N163" s="31" t="str">
        <x:v>RECONSTRUCTED_FROM_REPORT</x:v>
      </x:c>
      <x:c r="O163" s="31" t="str">
        <x:v>RETAIN</x:v>
      </x:c>
      <x:c r="P163" s="19" t="str">
        <x:v>Fear of Temperature_ Historical Lexical Discovery and Anchor Validation.pdf</x:v>
      </x:c>
      <x:c r="Q163" s="31" t="str">
        <x:v>RECONSTRUCTED_FROM_REPORT</x:v>
      </x:c>
      <x:c r="R163" s="46" t="str">
        <x:v>Original candidate ID and row fields reconstructed from the compact narrative PDF table; this is not the missing original structured record.</x:v>
      </x:c>
    </x:row>
    <x:row r="164" ht="32" customHeight="1">
      <x:c r="A164" s="18" t="str">
        <x:v>FT-SEED-R1-2022-B-02</x:v>
      </x:c>
      <x:c r="B164" s="19" t="str">
        <x:v>INITIAL_180</x:v>
      </x:c>
      <x:c r="C164" s="31" t="str">
        <x:v>2022-B-02</x:v>
      </x:c>
      <x:c r="D164" s="19" t="str">
        <x:v>27</x:v>
      </x:c>
      <x:c r="E164" s="19" t="str">
        <x:v>FT-A2022</x:v>
      </x:c>
      <x:c r="F164" s="31" t="str">
        <x:v>human- induced climate change</x:v>
      </x:c>
      <x:c r="G164" s="19" t="str">
        <x:v>B</x:v>
      </x:c>
      <x:c r="H164" s="19" t="str">
        <x:v>NOT_ANNOTATED_IN_SOURCE</x:v>
      </x:c>
      <x:c r="I164" s="19" t="str">
        <x:v>E22-3</x:v>
      </x:c>
      <x:c r="J164" s="19" t="str">
        <x:v>NOT_ANNOTATED_IN_SOURCE</x:v>
      </x:c>
      <x:c r="K164" s="19" t="str">
        <x:v>CONFIDENCE=Strong;CARRY_FORWARD=Yes</x:v>
      </x:c>
      <x:c r="L164" s="19" t="str">
        <x:v>Strong</x:v>
      </x:c>
      <x:c r="M164" s="19" t="str">
        <x:v>Yes</x:v>
      </x:c>
      <x:c r="N164" s="31" t="str">
        <x:v>RECONSTRUCTED_FROM_REPORT</x:v>
      </x:c>
      <x:c r="O164" s="31" t="str">
        <x:v>RETAIN</x:v>
      </x:c>
      <x:c r="P164" s="19" t="str">
        <x:v>Fear of Temperature_ Historical Lexical Discovery and Anchor Validation.pdf</x:v>
      </x:c>
      <x:c r="Q164" s="31" t="str">
        <x:v>RECONSTRUCTED_FROM_REPORT</x:v>
      </x:c>
      <x:c r="R164" s="46" t="str">
        <x:v>Original candidate ID and row fields reconstructed from the compact narrative PDF table; this is not the missing original structured record.</x:v>
      </x:c>
    </x:row>
    <x:row r="165" ht="32" customHeight="1">
      <x:c r="A165" s="18" t="str">
        <x:v>FT-SEED-R1-2022-B-03</x:v>
      </x:c>
      <x:c r="B165" s="19" t="str">
        <x:v>INITIAL_180</x:v>
      </x:c>
      <x:c r="C165" s="31" t="str">
        <x:v>2022-B-03</x:v>
      </x:c>
      <x:c r="D165" s="19" t="str">
        <x:v>27</x:v>
      </x:c>
      <x:c r="E165" s="19" t="str">
        <x:v>FT-A2022</x:v>
      </x:c>
      <x:c r="F165" s="31" t="str">
        <x:v>climate system</x:v>
      </x:c>
      <x:c r="G165" s="19" t="str">
        <x:v>B</x:v>
      </x:c>
      <x:c r="H165" s="19" t="str">
        <x:v>NOT_ANNOTATED_IN_SOURCE</x:v>
      </x:c>
      <x:c r="I165" s="19" t="str">
        <x:v>E22-3</x:v>
      </x:c>
      <x:c r="J165" s="19" t="str">
        <x:v>NOT_ANNOTATED_IN_SOURCE</x:v>
      </x:c>
      <x:c r="K165" s="19" t="str">
        <x:v>CONFIDENCE=Strong;CARRY_FORWARD=Yes</x:v>
      </x:c>
      <x:c r="L165" s="19" t="str">
        <x:v>Strong</x:v>
      </x:c>
      <x:c r="M165" s="19" t="str">
        <x:v>Yes</x:v>
      </x:c>
      <x:c r="N165" s="31" t="str">
        <x:v>RECONSTRUCTED_FROM_REPORT</x:v>
      </x:c>
      <x:c r="O165" s="31" t="str">
        <x:v>RETAIN</x:v>
      </x:c>
      <x:c r="P165" s="19" t="str">
        <x:v>Fear of Temperature_ Historical Lexical Discovery and Anchor Validation.pdf</x:v>
      </x:c>
      <x:c r="Q165" s="31" t="str">
        <x:v>RECONSTRUCTED_FROM_REPORT</x:v>
      </x:c>
      <x:c r="R165" s="46" t="str">
        <x:v>Original candidate ID and row fields reconstructed from the compact narrative PDF table; this is not the missing original structured record.</x:v>
      </x:c>
    </x:row>
    <x:row r="166" ht="32" customHeight="1">
      <x:c r="A166" s="18" t="str">
        <x:v>FT-SEED-R1-2022-B-04</x:v>
      </x:c>
      <x:c r="B166" s="19" t="str">
        <x:v>INITIAL_180</x:v>
      </x:c>
      <x:c r="C166" s="31" t="str">
        <x:v>2022-B-04</x:v>
      </x:c>
      <x:c r="D166" s="19" t="str">
        <x:v>27</x:v>
      </x:c>
      <x:c r="E166" s="19" t="str">
        <x:v>FT-A2022</x:v>
      </x:c>
      <x:c r="F166" s="31" t="str">
        <x:v>greenhouse gases</x:v>
      </x:c>
      <x:c r="G166" s="19" t="str">
        <x:v>B</x:v>
      </x:c>
      <x:c r="H166" s="19" t="str">
        <x:v>NOT_ANNOTATED_IN_SOURCE</x:v>
      </x:c>
      <x:c r="I166" s="19" t="str">
        <x:v>E22-1,2</x:v>
      </x:c>
      <x:c r="J166" s="19" t="str">
        <x:v>NOT_ANNOTATED_IN_SOURCE</x:v>
      </x:c>
      <x:c r="K166" s="19" t="str">
        <x:v>CONFIDENCE=Strong;CARRY_FORWARD=Yes</x:v>
      </x:c>
      <x:c r="L166" s="19" t="str">
        <x:v>Strong</x:v>
      </x:c>
      <x:c r="M166" s="19" t="str">
        <x:v>Yes</x:v>
      </x:c>
      <x:c r="N166" s="31" t="str">
        <x:v>RECONSTRUCTED_FROM_REPORT</x:v>
      </x:c>
      <x:c r="O166" s="31" t="str">
        <x:v>RETAIN</x:v>
      </x:c>
      <x:c r="P166" s="19" t="str">
        <x:v>Fear of Temperature_ Historical Lexical Discovery and Anchor Validation.pdf</x:v>
      </x:c>
      <x:c r="Q166" s="31" t="str">
        <x:v>RECONSTRUCTED_FROM_REPORT</x:v>
      </x:c>
      <x:c r="R166" s="46" t="str">
        <x:v>Original candidate ID and row fields reconstructed from the compact narrative PDF table; this is not the missing original structured record.</x:v>
      </x:c>
    </x:row>
    <x:row r="167" ht="32" customHeight="1">
      <x:c r="A167" s="18" t="str">
        <x:v>FT-SEED-R1-2022-B-05</x:v>
      </x:c>
      <x:c r="B167" s="19" t="str">
        <x:v>INITIAL_180</x:v>
      </x:c>
      <x:c r="C167" s="31" t="str">
        <x:v>2022-B-05</x:v>
      </x:c>
      <x:c r="D167" s="19" t="str">
        <x:v>27</x:v>
      </x:c>
      <x:c r="E167" s="19" t="str">
        <x:v>FT-A2022</x:v>
      </x:c>
      <x:c r="F167" s="31" t="str">
        <x:v>heat- trapping greenhouse gases</x:v>
      </x:c>
      <x:c r="G167" s="19" t="str">
        <x:v>B</x:v>
      </x:c>
      <x:c r="H167" s="19" t="str">
        <x:v>NOT_ANNOTATED_IN_SOURCE</x:v>
      </x:c>
      <x:c r="I167" s="19" t="str">
        <x:v>E22-2</x:v>
      </x:c>
      <x:c r="J167" s="19" t="str">
        <x:v>NOT_ANNOTATED_IN_SOURCE</x:v>
      </x:c>
      <x:c r="K167" s="19" t="str">
        <x:v>CONFIDENCE=Strong;CARRY_FORWARD=Yes</x:v>
      </x:c>
      <x:c r="L167" s="19" t="str">
        <x:v>Strong</x:v>
      </x:c>
      <x:c r="M167" s="19" t="str">
        <x:v>Yes</x:v>
      </x:c>
      <x:c r="N167" s="31" t="str">
        <x:v>RECONSTRUCTED_FROM_REPORT</x:v>
      </x:c>
      <x:c r="O167" s="31" t="str">
        <x:v>RETAIN</x:v>
      </x:c>
      <x:c r="P167" s="19" t="str">
        <x:v>Fear of Temperature_ Historical Lexical Discovery and Anchor Validation.pdf</x:v>
      </x:c>
      <x:c r="Q167" s="31" t="str">
        <x:v>RECONSTRUCTED_FROM_REPORT</x:v>
      </x:c>
      <x:c r="R167" s="46" t="str">
        <x:v>Original candidate ID and row fields reconstructed from the compact narrative PDF table; this is not the missing original structured record.</x:v>
      </x:c>
    </x:row>
    <x:row r="168" ht="32" customHeight="1">
      <x:c r="A168" s="18" t="str">
        <x:v>FT-SEED-R1-2022-B-06</x:v>
      </x:c>
      <x:c r="B168" s="19" t="str">
        <x:v>INITIAL_180</x:v>
      </x:c>
      <x:c r="C168" s="31" t="str">
        <x:v>2022-B-06</x:v>
      </x:c>
      <x:c r="D168" s="19" t="str">
        <x:v>27</x:v>
      </x:c>
      <x:c r="E168" s="19" t="str">
        <x:v>FT-A2022</x:v>
      </x:c>
      <x:c r="F168" s="31" t="str">
        <x:v>climate- related</x:v>
      </x:c>
      <x:c r="G168" s="19" t="str">
        <x:v>B</x:v>
      </x:c>
      <x:c r="H168" s="19" t="str">
        <x:v>NOT_ANNOTATED_IN_SOURCE</x:v>
      </x:c>
      <x:c r="I168" s="19" t="str">
        <x:v>E22-2,3</x:v>
      </x:c>
      <x:c r="J168" s="19" t="str">
        <x:v>NOT_ANNOTATED_IN_SOURCE</x:v>
      </x:c>
      <x:c r="K168" s="19" t="str">
        <x:v>CONFIDENCE=Moderate;CARRY_FORWARD=Conditional</x:v>
      </x:c>
      <x:c r="L168" s="19" t="str">
        <x:v>Moderate</x:v>
      </x:c>
      <x:c r="M168" s="19" t="str">
        <x:v>Conditional</x:v>
      </x:c>
      <x:c r="N168" s="31" t="str">
        <x:v>RECONSTRUCTED_FROM_REPORT</x:v>
      </x:c>
      <x:c r="O168" s="31" t="str">
        <x:v>UNRESOLVED</x:v>
      </x:c>
      <x:c r="P168" s="19" t="str">
        <x:v>Fear of Temperature_ Historical Lexical Discovery and Anchor Validation.pdf</x:v>
      </x:c>
      <x:c r="Q168" s="31" t="str">
        <x:v>RECONSTRUCTED_FROM_REPORT</x:v>
      </x:c>
      <x:c r="R168" s="46" t="str">
        <x:v>Original candidate ID and row fields reconstructed from the compact narrative PDF table; this is not the missing original structured record.</x:v>
      </x:c>
    </x:row>
    <x:row r="169" ht="32" customHeight="1">
      <x:c r="A169" s="18" t="str">
        <x:v>FT-SEED-R1-2022-B-07</x:v>
      </x:c>
      <x:c r="B169" s="19" t="str">
        <x:v>INITIAL_180</x:v>
      </x:c>
      <x:c r="C169" s="31" t="str">
        <x:v>2022-B-07</x:v>
      </x:c>
      <x:c r="D169" s="19" t="str">
        <x:v>27</x:v>
      </x:c>
      <x:c r="E169" s="19" t="str">
        <x:v>FT-A2022</x:v>
      </x:c>
      <x:c r="F169" s="31" t="str">
        <x:v>global climate</x:v>
      </x:c>
      <x:c r="G169" s="19" t="str">
        <x:v>B</x:v>
      </x:c>
      <x:c r="H169" s="19" t="str">
        <x:v>NOT_ANNOTATED_IN_SOURCE</x:v>
      </x:c>
      <x:c r="I169" s="19" t="str">
        <x:v>E22-1,2</x:v>
      </x:c>
      <x:c r="J169" s="19" t="str">
        <x:v>NOT_ANNOTATED_IN_SOURCE</x:v>
      </x:c>
      <x:c r="K169" s="19" t="str">
        <x:v>CONFIDENCE=Strong;CARRY_FORWARD=Yes</x:v>
      </x:c>
      <x:c r="L169" s="19" t="str">
        <x:v>Strong</x:v>
      </x:c>
      <x:c r="M169" s="19" t="str">
        <x:v>Yes</x:v>
      </x:c>
      <x:c r="N169" s="31" t="str">
        <x:v>RECONSTRUCTED_FROM_REPORT</x:v>
      </x:c>
      <x:c r="O169" s="31" t="str">
        <x:v>RETAIN</x:v>
      </x:c>
      <x:c r="P169" s="19" t="str">
        <x:v>Fear of Temperature_ Historical Lexical Discovery and Anchor Validation.pdf</x:v>
      </x:c>
      <x:c r="Q169" s="31" t="str">
        <x:v>RECONSTRUCTED_FROM_REPORT</x:v>
      </x:c>
      <x:c r="R169" s="46" t="str">
        <x:v>Original candidate ID and row fields reconstructed from the compact narrative PDF table; this is not the missing original structured record.</x:v>
      </x:c>
    </x:row>
    <x:row r="170" ht="32" customHeight="1">
      <x:c r="A170" s="18" t="str">
        <x:v>FT-SEED-R1-2022-B-08</x:v>
      </x:c>
      <x:c r="B170" s="19" t="str">
        <x:v>INITIAL_180</x:v>
      </x:c>
      <x:c r="C170" s="31" t="str">
        <x:v>2022-B-08</x:v>
      </x:c>
      <x:c r="D170" s="19" t="str">
        <x:v>27</x:v>
      </x:c>
      <x:c r="E170" s="19" t="str">
        <x:v>FT-A2022</x:v>
      </x:c>
      <x:c r="F170" s="31" t="str">
        <x:v>changing climate</x:v>
      </x:c>
      <x:c r="G170" s="19" t="str">
        <x:v>B</x:v>
      </x:c>
      <x:c r="H170" s="19" t="str">
        <x:v>NOT_ANNOTATED_IN_SOURCE</x:v>
      </x:c>
      <x:c r="I170" s="19" t="str">
        <x:v>E22-1–3</x:v>
      </x:c>
      <x:c r="J170" s="19" t="str">
        <x:v>NOT_ANNOTATED_IN_SOURCE</x:v>
      </x:c>
      <x:c r="K170" s="19" t="str">
        <x:v>CONFIDENCE=Strong;CARRY_FORWARD=Yes</x:v>
      </x:c>
      <x:c r="L170" s="19" t="str">
        <x:v>Strong</x:v>
      </x:c>
      <x:c r="M170" s="19" t="str">
        <x:v>Yes</x:v>
      </x:c>
      <x:c r="N170" s="31" t="str">
        <x:v>RECONSTRUCTED_FROM_REPORT</x:v>
      </x:c>
      <x:c r="O170" s="31" t="str">
        <x:v>RETAIN</x:v>
      </x:c>
      <x:c r="P170" s="19" t="str">
        <x:v>Fear of Temperature_ Historical Lexical Discovery and Anchor Validation.pdf</x:v>
      </x:c>
      <x:c r="Q170" s="31" t="str">
        <x:v>RECONSTRUCTED_FROM_REPORT</x:v>
      </x:c>
      <x:c r="R170" s="46" t="str">
        <x:v>Original candidate ID and row fields reconstructed from the compact narrative PDF table; this is not the missing original structured record.</x:v>
      </x:c>
    </x:row>
    <x:row r="171" ht="32" customHeight="1">
      <x:c r="A171" s="18" t="str">
        <x:v>FT-SEED-R1-2022-C-01</x:v>
      </x:c>
      <x:c r="B171" s="19" t="str">
        <x:v>INITIAL_180</x:v>
      </x:c>
      <x:c r="C171" s="31" t="str">
        <x:v>2022-C-01</x:v>
      </x:c>
      <x:c r="D171" s="19" t="str">
        <x:v>27</x:v>
      </x:c>
      <x:c r="E171" s="19" t="str">
        <x:v>FT-A2022</x:v>
      </x:c>
      <x:c r="F171" s="31" t="str">
        <x:v>climate anxiety</x:v>
      </x:c>
      <x:c r="G171" s="19" t="str">
        <x:v>C</x:v>
      </x:c>
      <x:c r="H171" s="19" t="str">
        <x:v>NOT_ANNOTATED_IN_SOURCE</x:v>
      </x:c>
      <x:c r="I171" s="19" t="str">
        <x:v>E22-4</x:v>
      </x:c>
      <x:c r="J171" s="19" t="str">
        <x:v>E4</x:v>
      </x:c>
      <x:c r="K171" s="19" t="str">
        <x:v>CONFIDENCE=Strong;CARRY_FORWARD=Yes</x:v>
      </x:c>
      <x:c r="L171" s="19" t="str">
        <x:v>Strong</x:v>
      </x:c>
      <x:c r="M171" s="19" t="str">
        <x:v>Yes</x:v>
      </x:c>
      <x:c r="N171" s="31" t="str">
        <x:v>RECONSTRUCTED_FROM_REPORT</x:v>
      </x:c>
      <x:c r="O171" s="31" t="str">
        <x:v>RETAIN</x:v>
      </x:c>
      <x:c r="P171" s="19" t="str">
        <x:v>Fear of Temperature_ Historical Lexical Discovery and Anchor Validation.pdf</x:v>
      </x:c>
      <x:c r="Q171" s="31" t="str">
        <x:v>RECONSTRUCTED_FROM_REPORT</x:v>
      </x:c>
      <x:c r="R171" s="46" t="str">
        <x:v>Original candidate ID and row fields reconstructed from the compact narrative PDF table; this is not the missing original structured record.</x:v>
      </x:c>
    </x:row>
    <x:row r="172" ht="32" customHeight="1">
      <x:c r="A172" s="18" t="str">
        <x:v>FT-SEED-R1-2022-C-02</x:v>
      </x:c>
      <x:c r="B172" s="19" t="str">
        <x:v>INITIAL_180</x:v>
      </x:c>
      <x:c r="C172" s="31" t="str">
        <x:v>2022-C-02</x:v>
      </x:c>
      <x:c r="D172" s="19" t="str">
        <x:v>27</x:v>
      </x:c>
      <x:c r="E172" s="19" t="str">
        <x:v>FT-A2022</x:v>
      </x:c>
      <x:c r="F172" s="31" t="str">
        <x:v>eco-anxiety</x:v>
      </x:c>
      <x:c r="G172" s="19" t="str">
        <x:v>C</x:v>
      </x:c>
      <x:c r="H172" s="19" t="str">
        <x:v>NOT_ANNOTATED_IN_SOURCE</x:v>
      </x:c>
      <x:c r="I172" s="19" t="str">
        <x:v>E22-5</x:v>
      </x:c>
      <x:c r="J172" s="19" t="str">
        <x:v>NOT_ANNOTATED_IN_SOURCE</x:v>
      </x:c>
      <x:c r="K172" s="19" t="str">
        <x:v>CONFIDENCE=Strong;CARRY_FORWARD=Yes</x:v>
      </x:c>
      <x:c r="L172" s="19" t="str">
        <x:v>Strong</x:v>
      </x:c>
      <x:c r="M172" s="19" t="str">
        <x:v>Yes</x:v>
      </x:c>
      <x:c r="N172" s="31" t="str">
        <x:v>RECONSTRUCTED_FROM_REPORT</x:v>
      </x:c>
      <x:c r="O172" s="31" t="str">
        <x:v>RETAIN</x:v>
      </x:c>
      <x:c r="P172" s="19" t="str">
        <x:v>Fear of Temperature_ Historical Lexical Discovery and Anchor Validation.pdf</x:v>
      </x:c>
      <x:c r="Q172" s="31" t="str">
        <x:v>RECONSTRUCTED_FROM_REPORT</x:v>
      </x:c>
      <x:c r="R172" s="46" t="str">
        <x:v>Original candidate ID and row fields reconstructed from the compact narrative PDF table; this is not the missing original structured record.</x:v>
      </x:c>
    </x:row>
    <x:row r="173" ht="32" customHeight="1">
      <x:c r="A173" s="18" t="str">
        <x:v>FT-SEED-R1-2022-C-03</x:v>
      </x:c>
      <x:c r="B173" s="19" t="str">
        <x:v>INITIAL_180</x:v>
      </x:c>
      <x:c r="C173" s="31" t="str">
        <x:v>2022-C-03</x:v>
      </x:c>
      <x:c r="D173" s="19" t="str">
        <x:v>28</x:v>
      </x:c>
      <x:c r="E173" s="19" t="str">
        <x:v>FT-A2022</x:v>
      </x:c>
      <x:c r="F173" s="31" t="str">
        <x:v>worried about climate change</x:v>
      </x:c>
      <x:c r="G173" s="19" t="str">
        <x:v>C</x:v>
      </x:c>
      <x:c r="H173" s="19" t="str">
        <x:v>NOT_ANNOTATED_IN_SOURCE</x:v>
      </x:c>
      <x:c r="I173" s="19" t="str">
        <x:v>E22-4</x:v>
      </x:c>
      <x:c r="J173" s="19" t="str">
        <x:v>NOT_ANNOTATED_IN_SOURCE</x:v>
      </x:c>
      <x:c r="K173" s="19" t="str">
        <x:v>CONFIDENCE=Strong;CARRY_FORWARD=Yes</x:v>
      </x:c>
      <x:c r="L173" s="19" t="str">
        <x:v>Strong</x:v>
      </x:c>
      <x:c r="M173" s="19" t="str">
        <x:v>Yes</x:v>
      </x:c>
      <x:c r="N173" s="31" t="str">
        <x:v>RECONSTRUCTED_FROM_REPORT</x:v>
      </x:c>
      <x:c r="O173" s="31" t="str">
        <x:v>RETAIN</x:v>
      </x:c>
      <x:c r="P173" s="19" t="str">
        <x:v>Fear of Temperature_ Historical Lexical Discovery and Anchor Validation.pdf</x:v>
      </x:c>
      <x:c r="Q173" s="31" t="str">
        <x:v>RECONSTRUCTED_FROM_REPORT</x:v>
      </x:c>
      <x:c r="R173" s="46" t="str">
        <x:v>Original candidate ID and row fields reconstructed from the compact narrative PDF table; this is not the missing original structured record.</x:v>
      </x:c>
    </x:row>
    <x:row r="174" ht="32" customHeight="1">
      <x:c r="A174" s="18" t="str">
        <x:v>FT-SEED-R1-2022-C-04</x:v>
      </x:c>
      <x:c r="B174" s="19" t="str">
        <x:v>INITIAL_180</x:v>
      </x:c>
      <x:c r="C174" s="31" t="str">
        <x:v>2022-C-04</x:v>
      </x:c>
      <x:c r="D174" s="19" t="str">
        <x:v>28</x:v>
      </x:c>
      <x:c r="E174" s="19" t="str">
        <x:v>FT-A2022</x:v>
      </x:c>
      <x:c r="F174" s="31" t="str">
        <x:v>worry</x:v>
      </x:c>
      <x:c r="G174" s="19" t="str">
        <x:v>C</x:v>
      </x:c>
      <x:c r="H174" s="19" t="str">
        <x:v>NOT_ANNOTATED_IN_SOURCE</x:v>
      </x:c>
      <x:c r="I174" s="19" t="str">
        <x:v>E22-4,5</x:v>
      </x:c>
      <x:c r="J174" s="19" t="str">
        <x:v>NOT_ANNOTATED_IN_SOURCE</x:v>
      </x:c>
      <x:c r="K174" s="19" t="str">
        <x:v>CONFIDENCE=Strong;CARRY_FORWARD=Yes</x:v>
      </x:c>
      <x:c r="L174" s="19" t="str">
        <x:v>Strong</x:v>
      </x:c>
      <x:c r="M174" s="19" t="str">
        <x:v>Yes</x:v>
      </x:c>
      <x:c r="N174" s="31" t="str">
        <x:v>RECONSTRUCTED_FROM_REPORT</x:v>
      </x:c>
      <x:c r="O174" s="31" t="str">
        <x:v>RETAIN</x:v>
      </x:c>
      <x:c r="P174" s="19" t="str">
        <x:v>Fear of Temperature_ Historical Lexical Discovery and Anchor Validation.pdf</x:v>
      </x:c>
      <x:c r="Q174" s="31" t="str">
        <x:v>RECONSTRUCTED_FROM_REPORT</x:v>
      </x:c>
      <x:c r="R174" s="46" t="str">
        <x:v>Original candidate ID and row fields reconstructed from the compact narrative PDF table; this is not the missing original structured record.</x:v>
      </x:c>
    </x:row>
    <x:row r="175" ht="32" customHeight="1">
      <x:c r="A175" s="18" t="str">
        <x:v>FT-SEED-R1-2022-C-05</x:v>
      </x:c>
      <x:c r="B175" s="19" t="str">
        <x:v>INITIAL_180</x:v>
      </x:c>
      <x:c r="C175" s="31" t="str">
        <x:v>2022-C-05</x:v>
      </x:c>
      <x:c r="D175" s="19" t="str">
        <x:v>28</x:v>
      </x:c>
      <x:c r="E175" s="19" t="str">
        <x:v>FT-A2022</x:v>
      </x:c>
      <x:c r="F175" s="31" t="str">
        <x:v>psychological distress</x:v>
      </x:c>
      <x:c r="G175" s="19" t="str">
        <x:v>C</x:v>
      </x:c>
      <x:c r="H175" s="19" t="str">
        <x:v>NOT_ANNOTATED_IN_SOURCE</x:v>
      </x:c>
      <x:c r="I175" s="19" t="str">
        <x:v>E22-5</x:v>
      </x:c>
      <x:c r="J175" s="19" t="str">
        <x:v>NOT_ANNOTATED_IN_SOURCE</x:v>
      </x:c>
      <x:c r="K175" s="19" t="str">
        <x:v>CONFIDENCE=Strong;CARRY_FORWARD=Yes</x:v>
      </x:c>
      <x:c r="L175" s="19" t="str">
        <x:v>Strong</x:v>
      </x:c>
      <x:c r="M175" s="19" t="str">
        <x:v>Yes</x:v>
      </x:c>
      <x:c r="N175" s="31" t="str">
        <x:v>RECONSTRUCTED_FROM_REPORT</x:v>
      </x:c>
      <x:c r="O175" s="31" t="str">
        <x:v>RETAIN</x:v>
      </x:c>
      <x:c r="P175" s="19" t="str">
        <x:v>Fear of Temperature_ Historical Lexical Discovery and Anchor Validation.pdf</x:v>
      </x:c>
      <x:c r="Q175" s="31" t="str">
        <x:v>RECONSTRUCTED_FROM_REPORT</x:v>
      </x:c>
      <x:c r="R175" s="46" t="str">
        <x:v>Original candidate ID and row fields reconstructed from the compact narrative PDF table; this is not the missing original structured record.</x:v>
      </x:c>
    </x:row>
    <x:row r="176" ht="32" customHeight="1">
      <x:c r="A176" s="18" t="str">
        <x:v>FT-SEED-R1-2022-C-06</x:v>
      </x:c>
      <x:c r="B176" s="19" t="str">
        <x:v>INITIAL_180</x:v>
      </x:c>
      <x:c r="C176" s="31" t="str">
        <x:v>2022-C-06</x:v>
      </x:c>
      <x:c r="D176" s="19" t="str">
        <x:v>28</x:v>
      </x:c>
      <x:c r="E176" s="19" t="str">
        <x:v>FT-A2022</x:v>
      </x:c>
      <x:c r="F176" s="31" t="str">
        <x:v>afraid</x:v>
      </x:c>
      <x:c r="G176" s="19" t="str">
        <x:v>C</x:v>
      </x:c>
      <x:c r="H176" s="19" t="str">
        <x:v>NOT_ANNOTATED_IN_SOURCE</x:v>
      </x:c>
      <x:c r="I176" s="19" t="str">
        <x:v>E22-4</x:v>
      </x:c>
      <x:c r="J176" s="19" t="str">
        <x:v>NOT_ANNOTATED_IN_SOURCE</x:v>
      </x:c>
      <x:c r="K176" s="19" t="str">
        <x:v>CONFIDENCE=Strong;CARRY_FORWARD=Yes</x:v>
      </x:c>
      <x:c r="L176" s="19" t="str">
        <x:v>Strong</x:v>
      </x:c>
      <x:c r="M176" s="19" t="str">
        <x:v>Yes</x:v>
      </x:c>
      <x:c r="N176" s="31" t="str">
        <x:v>RECONSTRUCTED_FROM_REPORT</x:v>
      </x:c>
      <x:c r="O176" s="31" t="str">
        <x:v>RETAIN</x:v>
      </x:c>
      <x:c r="P176" s="19" t="str">
        <x:v>Fear of Temperature_ Historical Lexical Discovery and Anchor Validation.pdf</x:v>
      </x:c>
      <x:c r="Q176" s="31" t="str">
        <x:v>RECONSTRUCTED_FROM_REPORT</x:v>
      </x:c>
      <x:c r="R176" s="46" t="str">
        <x:v>Original candidate ID and row fields reconstructed from the compact narrative PDF table; this is not the missing original structured record.</x:v>
      </x:c>
    </x:row>
    <x:row r="177" ht="32" customHeight="1">
      <x:c r="A177" s="18" t="str">
        <x:v>FT-SEED-R1-2022-C-07</x:v>
      </x:c>
      <x:c r="B177" s="19" t="str">
        <x:v>INITIAL_180</x:v>
      </x:c>
      <x:c r="C177" s="31" t="str">
        <x:v>2022-C-07</x:v>
      </x:c>
      <x:c r="D177" s="19" t="str">
        <x:v>28</x:v>
      </x:c>
      <x:c r="E177" s="19" t="str">
        <x:v>FT-A2022</x:v>
      </x:c>
      <x:c r="F177" s="31" t="str">
        <x:v>hopelessness</x:v>
      </x:c>
      <x:c r="G177" s="19" t="str">
        <x:v>C</x:v>
      </x:c>
      <x:c r="H177" s="19" t="str">
        <x:v>NOT_ANNOTATED_IN_SOURCE</x:v>
      </x:c>
      <x:c r="I177" s="19" t="str">
        <x:v>E22-5</x:v>
      </x:c>
      <x:c r="J177" s="19" t="str">
        <x:v>NOT_ANNOTATED_IN_SOURCE</x:v>
      </x:c>
      <x:c r="K177" s="19" t="str">
        <x:v>CONFIDENCE=Moderate;CARRY_FORWARD=Yes</x:v>
      </x:c>
      <x:c r="L177" s="19" t="str">
        <x:v>Moderate</x:v>
      </x:c>
      <x:c r="M177" s="19" t="str">
        <x:v>Yes</x:v>
      </x:c>
      <x:c r="N177" s="31" t="str">
        <x:v>RECONSTRUCTED_FROM_REPORT</x:v>
      </x:c>
      <x:c r="O177" s="31" t="str">
        <x:v>RETAIN</x:v>
      </x:c>
      <x:c r="P177" s="19" t="str">
        <x:v>Fear of Temperature_ Historical Lexical Discovery and Anchor Validation.pdf</x:v>
      </x:c>
      <x:c r="Q177" s="31" t="str">
        <x:v>RECONSTRUCTED_FROM_REPORT</x:v>
      </x:c>
      <x:c r="R177" s="46" t="str">
        <x:v>Original candidate ID and row fields reconstructed from the compact narrative PDF table; this is not the missing original structured record.</x:v>
      </x:c>
    </x:row>
    <x:row r="178" ht="32" customHeight="1">
      <x:c r="A178" s="18" t="str">
        <x:v>FT-SEED-R1-2022-D-01</x:v>
      </x:c>
      <x:c r="B178" s="19" t="str">
        <x:v>INITIAL_180</x:v>
      </x:c>
      <x:c r="C178" s="31" t="str">
        <x:v>2022-D-01</x:v>
      </x:c>
      <x:c r="D178" s="19" t="str">
        <x:v>28</x:v>
      </x:c>
      <x:c r="E178" s="19" t="str">
        <x:v>FT-A2022</x:v>
      </x:c>
      <x:c r="F178" s="31" t="str">
        <x:v>risk</x:v>
      </x:c>
      <x:c r="G178" s="19" t="str">
        <x:v>D</x:v>
      </x:c>
      <x:c r="H178" s="19" t="str">
        <x:v>NOT_ANNOTATED_IN_SOURCE</x:v>
      </x:c>
      <x:c r="I178" s="19" t="str">
        <x:v>E22-2,3</x:v>
      </x:c>
      <x:c r="J178" s="19" t="str">
        <x:v>NOT_ANNOTATED_IN_SOURCE</x:v>
      </x:c>
      <x:c r="K178" s="19" t="str">
        <x:v>CONFIDENCE=Strong;CARRY_FORWARD=Yes</x:v>
      </x:c>
      <x:c r="L178" s="19" t="str">
        <x:v>Strong</x:v>
      </x:c>
      <x:c r="M178" s="19" t="str">
        <x:v>Yes</x:v>
      </x:c>
      <x:c r="N178" s="31" t="str">
        <x:v>RECONSTRUCTED_FROM_REPORT</x:v>
      </x:c>
      <x:c r="O178" s="31" t="str">
        <x:v>RETAIN</x:v>
      </x:c>
      <x:c r="P178" s="19" t="str">
        <x:v>Fear of Temperature_ Historical Lexical Discovery and Anchor Validation.pdf</x:v>
      </x:c>
      <x:c r="Q178" s="31" t="str">
        <x:v>RECONSTRUCTED_FROM_REPORT</x:v>
      </x:c>
      <x:c r="R178" s="46" t="str">
        <x:v>Original candidate ID and row fields reconstructed from the compact narrative PDF table; this is not the missing original structured record.</x:v>
      </x:c>
    </x:row>
    <x:row r="179" ht="32" customHeight="1">
      <x:c r="A179" s="18" t="str">
        <x:v>FT-SEED-R1-2022-D-02</x:v>
      </x:c>
      <x:c r="B179" s="19" t="str">
        <x:v>INITIAL_180</x:v>
      </x:c>
      <x:c r="C179" s="31" t="str">
        <x:v>2022-D-02</x:v>
      </x:c>
      <x:c r="D179" s="19" t="str">
        <x:v>28</x:v>
      </x:c>
      <x:c r="E179" s="19" t="str">
        <x:v>FT-A2022</x:v>
      </x:c>
      <x:c r="F179" s="31" t="str">
        <x:v>climate- related risks</x:v>
      </x:c>
      <x:c r="G179" s="19" t="str">
        <x:v>D</x:v>
      </x:c>
      <x:c r="H179" s="19" t="str">
        <x:v>NOT_ANNOTATED_IN_SOURCE</x:v>
      </x:c>
      <x:c r="I179" s="19" t="str">
        <x:v>E22-2,3</x:v>
      </x:c>
      <x:c r="J179" s="19" t="str">
        <x:v>NOT_ANNOTATED_IN_SOURCE</x:v>
      </x:c>
      <x:c r="K179" s="19" t="str">
        <x:v>CONFIDENCE=Strong;CARRY_FORWARD=Yes</x:v>
      </x:c>
      <x:c r="L179" s="19" t="str">
        <x:v>Strong</x:v>
      </x:c>
      <x:c r="M179" s="19" t="str">
        <x:v>Yes</x:v>
      </x:c>
      <x:c r="N179" s="31" t="str">
        <x:v>RECONSTRUCTED_FROM_REPORT</x:v>
      </x:c>
      <x:c r="O179" s="31" t="str">
        <x:v>RETAIN</x:v>
      </x:c>
      <x:c r="P179" s="19" t="str">
        <x:v>Fear of Temperature_ Historical Lexical Discovery and Anchor Validation.pdf</x:v>
      </x:c>
      <x:c r="Q179" s="31" t="str">
        <x:v>RECONSTRUCTED_FROM_REPORT</x:v>
      </x:c>
      <x:c r="R179" s="46" t="str">
        <x:v>Original candidate ID and row fields reconstructed from the compact narrative PDF table; this is not the missing original structured record.</x:v>
      </x:c>
    </x:row>
    <x:row r="180" ht="32" customHeight="1">
      <x:c r="A180" s="18" t="str">
        <x:v>FT-SEED-R1-2022-D-03</x:v>
      </x:c>
      <x:c r="B180" s="19" t="str">
        <x:v>INITIAL_180</x:v>
      </x:c>
      <x:c r="C180" s="31" t="str">
        <x:v>2022-D-03</x:v>
      </x:c>
      <x:c r="D180" s="19" t="str">
        <x:v>28</x:v>
      </x:c>
      <x:c r="E180" s="19" t="str">
        <x:v>FT-A2022</x:v>
      </x:c>
      <x:c r="F180" s="31" t="str">
        <x:v>threat</x:v>
      </x:c>
      <x:c r="G180" s="19" t="str">
        <x:v>D</x:v>
      </x:c>
      <x:c r="H180" s="19" t="str">
        <x:v>NOT_ANNOTATED_IN_SOURCE</x:v>
      </x:c>
      <x:c r="I180" s="19" t="str">
        <x:v>E22-6</x:v>
      </x:c>
      <x:c r="J180" s="19" t="str">
        <x:v>NOT_ANNOTATED_IN_SOURCE</x:v>
      </x:c>
      <x:c r="K180" s="19" t="str">
        <x:v>CONFIDENCE=Strong;CARRY_FORWARD=Yes</x:v>
      </x:c>
      <x:c r="L180" s="19" t="str">
        <x:v>Strong</x:v>
      </x:c>
      <x:c r="M180" s="19" t="str">
        <x:v>Yes</x:v>
      </x:c>
      <x:c r="N180" s="31" t="str">
        <x:v>RECONSTRUCTED_FROM_REPORT</x:v>
      </x:c>
      <x:c r="O180" s="31" t="str">
        <x:v>RETAIN</x:v>
      </x:c>
      <x:c r="P180" s="19" t="str">
        <x:v>Fear of Temperature_ Historical Lexical Discovery and Anchor Validation.pdf</x:v>
      </x:c>
      <x:c r="Q180" s="31" t="str">
        <x:v>RECONSTRUCTED_FROM_REPORT</x:v>
      </x:c>
      <x:c r="R180" s="46" t="str">
        <x:v>Original candidate ID and row fields reconstructed from the compact narrative PDF table; this is not the missing original structured record.</x:v>
      </x:c>
    </x:row>
    <x:row r="181" ht="32" customHeight="1">
      <x:c r="A181" s="18" t="str">
        <x:v>FT-SEED-R1-2022-D-04</x:v>
      </x:c>
      <x:c r="B181" s="19" t="str">
        <x:v>INITIAL_180</x:v>
      </x:c>
      <x:c r="C181" s="31" t="str">
        <x:v>2022-D-04</x:v>
      </x:c>
      <x:c r="D181" s="19" t="str">
        <x:v>29</x:v>
      </x:c>
      <x:c r="E181" s="19" t="str">
        <x:v>FT-A2022</x:v>
      </x:c>
      <x:c r="F181" s="31" t="str">
        <x:v>climate crisis</x:v>
      </x:c>
      <x:c r="G181" s="19" t="str">
        <x:v>D</x:v>
      </x:c>
      <x:c r="H181" s="19" t="str">
        <x:v>NOT_ANNOTATED_IN_SOURCE</x:v>
      </x:c>
      <x:c r="I181" s="19" t="str">
        <x:v>E22-6</x:v>
      </x:c>
      <x:c r="J181" s="19" t="str">
        <x:v>NOT_ANNOTATED_IN_SOURCE</x:v>
      </x:c>
      <x:c r="K181" s="19" t="str">
        <x:v>CONFIDENCE=Strong;CARRY_FORWARD=Yes</x:v>
      </x:c>
      <x:c r="L181" s="19" t="str">
        <x:v>Strong</x:v>
      </x:c>
      <x:c r="M181" s="19" t="str">
        <x:v>Yes</x:v>
      </x:c>
      <x:c r="N181" s="31" t="str">
        <x:v>RECONSTRUCTED_FROM_REPORT</x:v>
      </x:c>
      <x:c r="O181" s="31" t="str">
        <x:v>RETAIN</x:v>
      </x:c>
      <x:c r="P181" s="19" t="str">
        <x:v>Fear of Temperature_ Historical Lexical Discovery and Anchor Validation.pdf</x:v>
      </x:c>
      <x:c r="Q181" s="31" t="str">
        <x:v>RECONSTRUCTED_FROM_REPORT</x:v>
      </x:c>
      <x:c r="R181" s="46" t="str">
        <x:v>Original candidate ID and row fields reconstructed from the compact narrative PDF table; this is not the missing original structured record.</x:v>
      </x:c>
    </x:row>
    <x:row r="182" ht="32" customHeight="1">
      <x:c r="A182" s="18" t="str">
        <x:v>FT-SEED-R1-2022-D-05</x:v>
      </x:c>
      <x:c r="B182" s="19" t="str">
        <x:v>INITIAL_180</x:v>
      </x:c>
      <x:c r="C182" s="31" t="str">
        <x:v>2022-D-05</x:v>
      </x:c>
      <x:c r="D182" s="19" t="str">
        <x:v>29</x:v>
      </x:c>
      <x:c r="E182" s="19" t="str">
        <x:v>FT-A2022</x:v>
      </x:c>
      <x:c r="F182" s="31" t="str">
        <x:v>climate emergency</x:v>
      </x:c>
      <x:c r="G182" s="19" t="str">
        <x:v>D</x:v>
      </x:c>
      <x:c r="H182" s="19" t="str">
        <x:v>NOT_ANNOTATED_IN_SOURCE</x:v>
      </x:c>
      <x:c r="I182" s="19" t="str">
        <x:v>E22-6</x:v>
      </x:c>
      <x:c r="J182" s="19" t="str">
        <x:v>NOT_ANNOTATED_IN_SOURCE</x:v>
      </x:c>
      <x:c r="K182" s="19" t="str">
        <x:v>CONFIDENCE=Strong;CARRY_FORWARD=Yes</x:v>
      </x:c>
      <x:c r="L182" s="19" t="str">
        <x:v>Strong</x:v>
      </x:c>
      <x:c r="M182" s="19" t="str">
        <x:v>Yes</x:v>
      </x:c>
      <x:c r="N182" s="31" t="str">
        <x:v>RECONSTRUCTED_FROM_REPORT</x:v>
      </x:c>
      <x:c r="O182" s="31" t="str">
        <x:v>RETAIN</x:v>
      </x:c>
      <x:c r="P182" s="19" t="str">
        <x:v>Fear of Temperature_ Historical Lexical Discovery and Anchor Validation.pdf</x:v>
      </x:c>
      <x:c r="Q182" s="31" t="str">
        <x:v>RECONSTRUCTED_FROM_REPORT</x:v>
      </x:c>
      <x:c r="R182" s="46" t="str">
        <x:v>Original candidate ID and row fields reconstructed from the compact narrative PDF table; this is not the missing original structured record.</x:v>
      </x:c>
    </x:row>
    <x:row r="183" ht="32" customHeight="1">
      <x:c r="A183" s="18" t="str">
        <x:v>FT-SEED-R1-2022-D-06</x:v>
      </x:c>
      <x:c r="B183" s="19" t="str">
        <x:v>INITIAL_180</x:v>
      </x:c>
      <x:c r="C183" s="31" t="str">
        <x:v>2022-D-06</x:v>
      </x:c>
      <x:c r="D183" s="19" t="str">
        <x:v>29</x:v>
      </x:c>
      <x:c r="E183" s="19" t="str">
        <x:v>FT-A2022</x:v>
      </x:c>
      <x:c r="F183" s="31" t="str">
        <x:v>climate catastrophe</x:v>
      </x:c>
      <x:c r="G183" s="19" t="str">
        <x:v>D</x:v>
      </x:c>
      <x:c r="H183" s="19" t="str">
        <x:v>NOT_ANNOTATED_IN_SOURCE</x:v>
      </x:c>
      <x:c r="I183" s="19" t="str">
        <x:v>E22-7</x:v>
      </x:c>
      <x:c r="J183" s="19" t="str">
        <x:v>NOT_ANNOTATED_IN_SOURCE</x:v>
      </x:c>
      <x:c r="K183" s="19" t="str">
        <x:v>CONFIDENCE=Moderate;CARRY_FORWARD=Conditional</x:v>
      </x:c>
      <x:c r="L183" s="19" t="str">
        <x:v>Moderate</x:v>
      </x:c>
      <x:c r="M183" s="19" t="str">
        <x:v>Conditional</x:v>
      </x:c>
      <x:c r="N183" s="31" t="str">
        <x:v>RECONSTRUCTED_FROM_REPORT</x:v>
      </x:c>
      <x:c r="O183" s="31" t="str">
        <x:v>UNRESOLVED</x:v>
      </x:c>
      <x:c r="P183" s="19" t="str">
        <x:v>Fear of Temperature_ Historical Lexical Discovery and Anchor Validation.pdf</x:v>
      </x:c>
      <x:c r="Q183" s="31" t="str">
        <x:v>RECONSTRUCTED_FROM_REPORT</x:v>
      </x:c>
      <x:c r="R183" s="46" t="str">
        <x:v>Original candidate ID and row fields reconstructed from the compact narrative PDF table; this is not the missing original structured record.</x:v>
      </x:c>
    </x:row>
    <x:row r="184" ht="32" customHeight="1">
      <x:c r="A184" s="18" t="str">
        <x:v>FT-SEED-R1-2022-D-07</x:v>
      </x:c>
      <x:c r="B184" s="19" t="str">
        <x:v>INITIAL_180</x:v>
      </x:c>
      <x:c r="C184" s="31" t="str">
        <x:v>2022-D-07</x:v>
      </x:c>
      <x:c r="D184" s="19" t="str">
        <x:v>29</x:v>
      </x:c>
      <x:c r="E184" s="19" t="str">
        <x:v>FT-A2022</x:v>
      </x:c>
      <x:c r="F184" s="31" t="str">
        <x:v>devastating</x:v>
      </x:c>
      <x:c r="G184" s="19" t="str">
        <x:v>D</x:v>
      </x:c>
      <x:c r="H184" s="19" t="str">
        <x:v>NOT_ANNOTATED_IN_SOURCE</x:v>
      </x:c>
      <x:c r="I184" s="19" t="str">
        <x:v>E22-1</x:v>
      </x:c>
      <x:c r="J184" s="19" t="str">
        <x:v>NOT_ANNOTATED_IN_SOURCE</x:v>
      </x:c>
      <x:c r="K184" s="19" t="str">
        <x:v>CONFIDENCE=Strong;CARRY_FORWARD=Conditional</x:v>
      </x:c>
      <x:c r="L184" s="19" t="str">
        <x:v>Strong</x:v>
      </x:c>
      <x:c r="M184" s="19" t="str">
        <x:v>Conditional</x:v>
      </x:c>
      <x:c r="N184" s="31" t="str">
        <x:v>RECONSTRUCTED_FROM_REPORT</x:v>
      </x:c>
      <x:c r="O184" s="31" t="str">
        <x:v>UNRESOLVED</x:v>
      </x:c>
      <x:c r="P184" s="19" t="str">
        <x:v>Fear of Temperature_ Historical Lexical Discovery and Anchor Validation.pdf</x:v>
      </x:c>
      <x:c r="Q184" s="31" t="str">
        <x:v>RECONSTRUCTED_FROM_REPORT</x:v>
      </x:c>
      <x:c r="R184" s="46" t="str">
        <x:v>Original candidate ID and row fields reconstructed from the compact narrative PDF table; this is not the missing original structured record.</x:v>
      </x:c>
    </x:row>
    <x:row r="185" ht="32" customHeight="1">
      <x:c r="A185" s="18" t="str">
        <x:v>FT-SEED-R1B-P-1842-01</x:v>
      </x:c>
      <x:c r="B185" s="19" t="str">
        <x:v>PRIORITY_180</x:v>
      </x:c>
      <x:c r="C185" s="31" t="str">
        <x:v>NOT_EXPOSED_IN_REPORT</x:v>
      </x:c>
      <x:c r="D185" s="19" t="str">
        <x:v>6</x:v>
      </x:c>
      <x:c r="E185" s="19" t="str">
        <x:v>FT-A1842</x:v>
      </x:c>
      <x:c r="F185" s="31" t="str">
        <x:v>temperature</x:v>
      </x:c>
      <x:c r="G185" s="19" t="str">
        <x:v>A</x:v>
      </x:c>
      <x:c r="H185" s="19" t="str">
        <x:v>V1</x:v>
      </x:c>
      <x:c r="I185" s="19" t="str">
        <x:v>S1842-RS-COLABA</x:v>
      </x:c>
      <x:c r="J185" s="19" t="str">
        <x:v>NOT_EXPOSED_IN_REPORT</x:v>
      </x:c>
      <x:c r="K185" s="19" t="str">
        <x:v>PRIORITY_RANK=1;ORIGINAL_ROW_CONFIDENCE_NOT_EXPOSED</x:v>
      </x:c>
      <x:c r="L185" s="19" t="str">
        <x:v>NOT_EXPOSED_IN_REPORT</x:v>
      </x:c>
      <x:c r="M185" s="19" t="str">
        <x:v>PRIORITY_RANK_01</x:v>
      </x:c>
      <x:c r="N185" s="31" t="str">
        <x:v>RECONSTRUCTED_FROM_REPORT</x:v>
      </x:c>
      <x:c r="O185" s="31" t="str">
        <x:v>UNRESOLVED</x:v>
      </x:c>
      <x:c r="P185" s="19" t="str">
        <x:v>Fear of Temperature_ Stratified Lexical Expansion, Voice Mapping, and Semantic-Relational Pre-Valida.pdf</x:v>
      </x:c>
      <x:c r="Q185" s="31" t="str">
        <x:v>RECONSTRUCTED_FROM_REPORT</x:v>
      </x:c>
      <x:c r="R185" s="46" t="str">
        <x:v>New surrogate project ID assigned from the compact report table; never an original later-stage structured candidate ID.</x:v>
      </x:c>
    </x:row>
    <x:row r="186" ht="32" customHeight="1">
      <x:c r="A186" s="18" t="str">
        <x:v>FT-SEED-R1B-P-1842-02</x:v>
      </x:c>
      <x:c r="B186" s="19" t="str">
        <x:v>PRIORITY_180</x:v>
      </x:c>
      <x:c r="C186" s="31" t="str">
        <x:v>NOT_EXPOSED_IN_REPORT</x:v>
      </x:c>
      <x:c r="D186" s="19" t="str">
        <x:v>6</x:v>
      </x:c>
      <x:c r="E186" s="19" t="str">
        <x:v>FT-A1842</x:v>
      </x:c>
      <x:c r="F186" s="31" t="str">
        <x:v>mean temperature</x:v>
      </x:c>
      <x:c r="G186" s="19" t="str">
        <x:v>A</x:v>
      </x:c>
      <x:c r="H186" s="19" t="str">
        <x:v>V1</x:v>
      </x:c>
      <x:c r="I186" s="19" t="str">
        <x:v>S1842-ROSS</x:v>
      </x:c>
      <x:c r="J186" s="19" t="str">
        <x:v>NOT_EXPOSED_IN_REPORT</x:v>
      </x:c>
      <x:c r="K186" s="19" t="str">
        <x:v>PRIORITY_RANK=2;ORIGINAL_ROW_CONFIDENCE_NOT_EXPOSED</x:v>
      </x:c>
      <x:c r="L186" s="19" t="str">
        <x:v>NOT_EXPOSED_IN_REPORT</x:v>
      </x:c>
      <x:c r="M186" s="19" t="str">
        <x:v>PRIORITY_RANK_02</x:v>
      </x:c>
      <x:c r="N186" s="31" t="str">
        <x:v>RECONSTRUCTED_FROM_REPORT</x:v>
      </x:c>
      <x:c r="O186" s="31" t="str">
        <x:v>UNRESOLVED</x:v>
      </x:c>
      <x:c r="P186" s="19" t="str">
        <x:v>Fear of Temperature_ Stratified Lexical Expansion, Voice Mapping, and Semantic-Relational Pre-Valida.pdf</x:v>
      </x:c>
      <x:c r="Q186" s="31" t="str">
        <x:v>RECONSTRUCTED_FROM_REPORT</x:v>
      </x:c>
      <x:c r="R186" s="46" t="str">
        <x:v>New surrogate project ID assigned from the compact report table; never an original later-stage structured candidate ID.</x:v>
      </x:c>
    </x:row>
    <x:row r="187" ht="32" customHeight="1">
      <x:c r="A187" s="18" t="str">
        <x:v>FT-SEED-R1B-P-1842-03</x:v>
      </x:c>
      <x:c r="B187" s="19" t="str">
        <x:v>PRIORITY_180</x:v>
      </x:c>
      <x:c r="C187" s="31" t="str">
        <x:v>NOT_EXPOSED_IN_REPORT</x:v>
      </x:c>
      <x:c r="D187" s="19" t="str">
        <x:v>6</x:v>
      </x:c>
      <x:c r="E187" s="19" t="str">
        <x:v>FT-A1842</x:v>
      </x:c>
      <x:c r="F187" s="31" t="str">
        <x:v>temperature of the air in shade</x:v>
      </x:c>
      <x:c r="G187" s="19" t="str">
        <x:v>A</x:v>
      </x:c>
      <x:c r="H187" s="19" t="str">
        <x:v>V1</x:v>
      </x:c>
      <x:c r="I187" s="19" t="str">
        <x:v>S1842-ROSS</x:v>
      </x:c>
      <x:c r="J187" s="19" t="str">
        <x:v>NOT_EXPOSED_IN_REPORT</x:v>
      </x:c>
      <x:c r="K187" s="19" t="str">
        <x:v>PRIORITY_RANK=3;ORIGINAL_ROW_CONFIDENCE_NOT_EXPOSED</x:v>
      </x:c>
      <x:c r="L187" s="19" t="str">
        <x:v>NOT_EXPOSED_IN_REPORT</x:v>
      </x:c>
      <x:c r="M187" s="19" t="str">
        <x:v>PRIORITY_RANK_03</x:v>
      </x:c>
      <x:c r="N187" s="31" t="str">
        <x:v>RECONSTRUCTED_FROM_REPORT</x:v>
      </x:c>
      <x:c r="O187" s="31" t="str">
        <x:v>UNRESOLVED</x:v>
      </x:c>
      <x:c r="P187" s="19" t="str">
        <x:v>Fear of Temperature_ Stratified Lexical Expansion, Voice Mapping, and Semantic-Relational Pre-Valida.pdf</x:v>
      </x:c>
      <x:c r="Q187" s="31" t="str">
        <x:v>RECONSTRUCTED_FROM_REPORT</x:v>
      </x:c>
      <x:c r="R187" s="46" t="str">
        <x:v>New surrogate project ID assigned from the compact report table; never an original later-stage structured candidate ID.</x:v>
      </x:c>
    </x:row>
    <x:row r="188" ht="32" customHeight="1">
      <x:c r="A188" s="18" t="str">
        <x:v>FT-SEED-R1B-P-1842-04</x:v>
      </x:c>
      <x:c r="B188" s="19" t="str">
        <x:v>PRIORITY_180</x:v>
      </x:c>
      <x:c r="C188" s="31" t="str">
        <x:v>NOT_EXPOSED_IN_REPORT</x:v>
      </x:c>
      <x:c r="D188" s="19" t="str">
        <x:v>6</x:v>
      </x:c>
      <x:c r="E188" s="19" t="str">
        <x:v>FT-A1842</x:v>
      </x:c>
      <x:c r="F188" s="31" t="str">
        <x:v>maximum temperature</x:v>
      </x:c>
      <x:c r="G188" s="19" t="str">
        <x:v>A</x:v>
      </x:c>
      <x:c r="H188" s="19" t="str">
        <x:v>V1</x:v>
      </x:c>
      <x:c r="I188" s="19" t="str">
        <x:v>S1842-ROSS</x:v>
      </x:c>
      <x:c r="J188" s="19" t="str">
        <x:v>NOT_EXPOSED_IN_REPORT</x:v>
      </x:c>
      <x:c r="K188" s="19" t="str">
        <x:v>PRIORITY_RANK=4;ORIGINAL_ROW_CONFIDENCE_NOT_EXPOSED</x:v>
      </x:c>
      <x:c r="L188" s="19" t="str">
        <x:v>NOT_EXPOSED_IN_REPORT</x:v>
      </x:c>
      <x:c r="M188" s="19" t="str">
        <x:v>PRIORITY_RANK_04</x:v>
      </x:c>
      <x:c r="N188" s="31" t="str">
        <x:v>RECONSTRUCTED_FROM_REPORT</x:v>
      </x:c>
      <x:c r="O188" s="31" t="str">
        <x:v>UNRESOLVED</x:v>
      </x:c>
      <x:c r="P188" s="19" t="str">
        <x:v>Fear of Temperature_ Stratified Lexical Expansion, Voice Mapping, and Semantic-Relational Pre-Valida.pdf</x:v>
      </x:c>
      <x:c r="Q188" s="31" t="str">
        <x:v>RECONSTRUCTED_FROM_REPORT</x:v>
      </x:c>
      <x:c r="R188" s="46" t="str">
        <x:v>New surrogate project ID assigned from the compact report table; never an original later-stage structured candidate ID.</x:v>
      </x:c>
    </x:row>
    <x:row r="189" ht="32" customHeight="1">
      <x:c r="A189" s="18" t="str">
        <x:v>FT-SEED-R1B-P-1842-05</x:v>
      </x:c>
      <x:c r="B189" s="19" t="str">
        <x:v>PRIORITY_180</x:v>
      </x:c>
      <x:c r="C189" s="31" t="str">
        <x:v>NOT_EXPOSED_IN_REPORT</x:v>
      </x:c>
      <x:c r="D189" s="19" t="str">
        <x:v>6</x:v>
      </x:c>
      <x:c r="E189" s="19" t="str">
        <x:v>FT-A1842</x:v>
      </x:c>
      <x:c r="F189" s="31" t="str">
        <x:v>minimum temperature</x:v>
      </x:c>
      <x:c r="G189" s="19" t="str">
        <x:v>A</x:v>
      </x:c>
      <x:c r="H189" s="19" t="str">
        <x:v>V1</x:v>
      </x:c>
      <x:c r="I189" s="19" t="str">
        <x:v>S1842-ROSS</x:v>
      </x:c>
      <x:c r="J189" s="19" t="str">
        <x:v>NOT_EXPOSED_IN_REPORT</x:v>
      </x:c>
      <x:c r="K189" s="19" t="str">
        <x:v>PRIORITY_RANK=5;ORIGINAL_ROW_CONFIDENCE_NOT_EXPOSED</x:v>
      </x:c>
      <x:c r="L189" s="19" t="str">
        <x:v>NOT_EXPOSED_IN_REPORT</x:v>
      </x:c>
      <x:c r="M189" s="19" t="str">
        <x:v>PRIORITY_RANK_05</x:v>
      </x:c>
      <x:c r="N189" s="31" t="str">
        <x:v>RECONSTRUCTED_FROM_REPORT</x:v>
      </x:c>
      <x:c r="O189" s="31" t="str">
        <x:v>UNRESOLVED</x:v>
      </x:c>
      <x:c r="P189" s="19" t="str">
        <x:v>Fear of Temperature_ Stratified Lexical Expansion, Voice Mapping, and Semantic-Relational Pre-Valida.pdf</x:v>
      </x:c>
      <x:c r="Q189" s="31" t="str">
        <x:v>RECONSTRUCTED_FROM_REPORT</x:v>
      </x:c>
      <x:c r="R189" s="46" t="str">
        <x:v>New surrogate project ID assigned from the compact report table; never an original later-stage structured candidate ID.</x:v>
      </x:c>
    </x:row>
    <x:row r="190" ht="32" customHeight="1">
      <x:c r="A190" s="18" t="str">
        <x:v>FT-SEED-R1B-P-1842-06</x:v>
      </x:c>
      <x:c r="B190" s="19" t="str">
        <x:v>PRIORITY_180</x:v>
      </x:c>
      <x:c r="C190" s="31" t="str">
        <x:v>NOT_EXPOSED_IN_REPORT</x:v>
      </x:c>
      <x:c r="D190" s="19" t="str">
        <x:v>6</x:v>
      </x:c>
      <x:c r="E190" s="19" t="str">
        <x:v>FT-A1842</x:v>
      </x:c>
      <x:c r="F190" s="31" t="str">
        <x:v>mean temperature of sea at surface</x:v>
      </x:c>
      <x:c r="G190" s="19" t="str">
        <x:v>A</x:v>
      </x:c>
      <x:c r="H190" s="19" t="str">
        <x:v>V1</x:v>
      </x:c>
      <x:c r="I190" s="19" t="str">
        <x:v>S1842-ROSS</x:v>
      </x:c>
      <x:c r="J190" s="19" t="str">
        <x:v>NOT_EXPOSED_IN_REPORT</x:v>
      </x:c>
      <x:c r="K190" s="19" t="str">
        <x:v>PRIORITY_RANK=6;ORIGINAL_ROW_CONFIDENCE_NOT_EXPOSED</x:v>
      </x:c>
      <x:c r="L190" s="19" t="str">
        <x:v>NOT_EXPOSED_IN_REPORT</x:v>
      </x:c>
      <x:c r="M190" s="19" t="str">
        <x:v>PRIORITY_RANK_06</x:v>
      </x:c>
      <x:c r="N190" s="31" t="str">
        <x:v>RECONSTRUCTED_FROM_REPORT</x:v>
      </x:c>
      <x:c r="O190" s="31" t="str">
        <x:v>UNRESOLVED</x:v>
      </x:c>
      <x:c r="P190" s="19" t="str">
        <x:v>Fear of Temperature_ Stratified Lexical Expansion, Voice Mapping, and Semantic-Relational Pre-Valida.pdf</x:v>
      </x:c>
      <x:c r="Q190" s="31" t="str">
        <x:v>RECONSTRUCTED_FROM_REPORT</x:v>
      </x:c>
      <x:c r="R190" s="46" t="str">
        <x:v>New surrogate project ID assigned from the compact report table; never an original later-stage structured candidate ID.</x:v>
      </x:c>
    </x:row>
    <x:row r="191" ht="32" customHeight="1">
      <x:c r="A191" s="18" t="str">
        <x:v>FT-SEED-R1B-P-1842-07</x:v>
      </x:c>
      <x:c r="B191" s="19" t="str">
        <x:v>PRIORITY_180</x:v>
      </x:c>
      <x:c r="C191" s="31" t="str">
        <x:v>NOT_EXPOSED_IN_REPORT</x:v>
      </x:c>
      <x:c r="D191" s="19" t="str">
        <x:v>6</x:v>
      </x:c>
      <x:c r="E191" s="19" t="str">
        <x:v>FT-A1842</x:v>
      </x:c>
      <x:c r="F191" s="31" t="str">
        <x:v>dew point</x:v>
      </x:c>
      <x:c r="G191" s="19" t="str">
        <x:v>A</x:v>
      </x:c>
      <x:c r="H191" s="19" t="str">
        <x:v>V1</x:v>
      </x:c>
      <x:c r="I191" s="19" t="str">
        <x:v>S1842-LEICHHARDT-N</x:v>
      </x:c>
      <x:c r="J191" s="19" t="str">
        <x:v>NOT_EXPOSED_IN_REPORT</x:v>
      </x:c>
      <x:c r="K191" s="19" t="str">
        <x:v>PRIORITY_RANK=7;ORIGINAL_ROW_CONFIDENCE_NOT_EXPOSED</x:v>
      </x:c>
      <x:c r="L191" s="19" t="str">
        <x:v>NOT_EXPOSED_IN_REPORT</x:v>
      </x:c>
      <x:c r="M191" s="19" t="str">
        <x:v>PRIORITY_RANK_07</x:v>
      </x:c>
      <x:c r="N191" s="31" t="str">
        <x:v>RECONSTRUCTED_FROM_REPORT</x:v>
      </x:c>
      <x:c r="O191" s="31" t="str">
        <x:v>UNRESOLVED</x:v>
      </x:c>
      <x:c r="P191" s="19" t="str">
        <x:v>Fear of Temperature_ Stratified Lexical Expansion, Voice Mapping, and Semantic-Relational Pre-Valida.pdf</x:v>
      </x:c>
      <x:c r="Q191" s="31" t="str">
        <x:v>RECONSTRUCTED_FROM_REPORT</x:v>
      </x:c>
      <x:c r="R191" s="46" t="str">
        <x:v>New surrogate project ID assigned from the compact report table; never an original later-stage structured candidate ID.</x:v>
      </x:c>
    </x:row>
    <x:row r="192" ht="32" customHeight="1">
      <x:c r="A192" s="18" t="str">
        <x:v>FT-SEED-R1B-P-1842-11</x:v>
      </x:c>
      <x:c r="B192" s="19" t="str">
        <x:v>PRIORITY_180</x:v>
      </x:c>
      <x:c r="C192" s="31" t="str">
        <x:v>NOT_EXPOSED_IN_REPORT</x:v>
      </x:c>
      <x:c r="D192" s="19" t="str">
        <x:v>6</x:v>
      </x:c>
      <x:c r="E192" s="19" t="str">
        <x:v>FT-A1842</x:v>
      </x:c>
      <x:c r="F192" s="31" t="str">
        <x:v>wet bulb thermometer</x:v>
      </x:c>
      <x:c r="G192" s="19" t="str">
        <x:v>A</x:v>
      </x:c>
      <x:c r="H192" s="19" t="str">
        <x:v>V1</x:v>
      </x:c>
      <x:c r="I192" s="19" t="str">
        <x:v>S1842-RS-COLABA</x:v>
      </x:c>
      <x:c r="J192" s="19" t="str">
        <x:v>NOT_EXPOSED_IN_REPORT</x:v>
      </x:c>
      <x:c r="K192" s="19" t="str">
        <x:v>PRIORITY_RANK=11;ORIGINAL_ROW_CONFIDENCE_NOT_EXPOSED</x:v>
      </x:c>
      <x:c r="L192" s="19" t="str">
        <x:v>NOT_EXPOSED_IN_REPORT</x:v>
      </x:c>
      <x:c r="M192" s="19" t="str">
        <x:v>PRIORITY_RANK_11</x:v>
      </x:c>
      <x:c r="N192" s="31" t="str">
        <x:v>RECONSTRUCTED_FROM_REPORT</x:v>
      </x:c>
      <x:c r="O192" s="31" t="str">
        <x:v>UNRESOLVED</x:v>
      </x:c>
      <x:c r="P192" s="19" t="str">
        <x:v>Fear of Temperature_ Stratified Lexical Expansion, Voice Mapping, and Semantic-Relational Pre-Valida.pdf</x:v>
      </x:c>
      <x:c r="Q192" s="31" t="str">
        <x:v>RECONSTRUCTED_FROM_REPORT</x:v>
      </x:c>
      <x:c r="R192" s="46" t="str">
        <x:v>New surrogate project ID assigned from the compact report table; never an original later-stage structured candidate ID.</x:v>
      </x:c>
    </x:row>
    <x:row r="193" ht="32" customHeight="1">
      <x:c r="A193" s="18" t="str">
        <x:v>FT-SEED-R1B-P-1842-12</x:v>
      </x:c>
      <x:c r="B193" s="19" t="str">
        <x:v>PRIORITY_180</x:v>
      </x:c>
      <x:c r="C193" s="31" t="str">
        <x:v>NOT_EXPOSED_IN_REPORT</x:v>
      </x:c>
      <x:c r="D193" s="19" t="str">
        <x:v>6</x:v>
      </x:c>
      <x:c r="E193" s="19" t="str">
        <x:v>FT-A1842</x:v>
      </x:c>
      <x:c r="F193" s="31" t="str">
        <x:v>meteorological observations</x:v>
      </x:c>
      <x:c r="G193" s="19" t="str">
        <x:v>B</x:v>
      </x:c>
      <x:c r="H193" s="19" t="str">
        <x:v>V1</x:v>
      </x:c>
      <x:c r="I193" s="19" t="str">
        <x:v>S1842-RS-COLABA</x:v>
      </x:c>
      <x:c r="J193" s="19" t="str">
        <x:v>NOT_EXPOSED_IN_REPORT</x:v>
      </x:c>
      <x:c r="K193" s="19" t="str">
        <x:v>PRIORITY_RANK=12;ORIGINAL_ROW_CONFIDENCE_NOT_EXPOSED</x:v>
      </x:c>
      <x:c r="L193" s="19" t="str">
        <x:v>NOT_EXPOSED_IN_REPORT</x:v>
      </x:c>
      <x:c r="M193" s="19" t="str">
        <x:v>PRIORITY_RANK_12</x:v>
      </x:c>
      <x:c r="N193" s="31" t="str">
        <x:v>RECONSTRUCTED_FROM_REPORT</x:v>
      </x:c>
      <x:c r="O193" s="31" t="str">
        <x:v>UNRESOLVED</x:v>
      </x:c>
      <x:c r="P193" s="19" t="str">
        <x:v>Fear of Temperature_ Stratified Lexical Expansion, Voice Mapping, and Semantic-Relational Pre-Valida.pdf</x:v>
      </x:c>
      <x:c r="Q193" s="31" t="str">
        <x:v>RECONSTRUCTED_FROM_REPORT</x:v>
      </x:c>
      <x:c r="R193" s="46" t="str">
        <x:v>New surrogate project ID assigned from the compact report table; never an original later-stage structured candidate ID.</x:v>
      </x:c>
    </x:row>
    <x:row r="194" ht="32" customHeight="1">
      <x:c r="A194" s="18" t="str">
        <x:v>FT-SEED-R1B-P-1842-13</x:v>
      </x:c>
      <x:c r="B194" s="19" t="str">
        <x:v>PRIORITY_180</x:v>
      </x:c>
      <x:c r="C194" s="31" t="str">
        <x:v>NOT_EXPOSED_IN_REPORT</x:v>
      </x:c>
      <x:c r="D194" s="19" t="str">
        <x:v>6</x:v>
      </x:c>
      <x:c r="E194" s="19" t="str">
        <x:v>FT-A1842</x:v>
      </x:c>
      <x:c r="F194" s="31" t="str">
        <x:v>meteorological journal</x:v>
      </x:c>
      <x:c r="G194" s="19" t="str">
        <x:v>B</x:v>
      </x:c>
      <x:c r="H194" s="19" t="str">
        <x:v>V1</x:v>
      </x:c>
      <x:c r="I194" s="19" t="str">
        <x:v>S1842-ROSS</x:v>
      </x:c>
      <x:c r="J194" s="19" t="str">
        <x:v>NOT_EXPOSED_IN_REPORT</x:v>
      </x:c>
      <x:c r="K194" s="19" t="str">
        <x:v>PRIORITY_RANK=13;ORIGINAL_ROW_CONFIDENCE_NOT_EXPOSED</x:v>
      </x:c>
      <x:c r="L194" s="19" t="str">
        <x:v>NOT_EXPOSED_IN_REPORT</x:v>
      </x:c>
      <x:c r="M194" s="19" t="str">
        <x:v>PRIORITY_RANK_13</x:v>
      </x:c>
      <x:c r="N194" s="31" t="str">
        <x:v>RECONSTRUCTED_FROM_REPORT</x:v>
      </x:c>
      <x:c r="O194" s="31" t="str">
        <x:v>UNRESOLVED</x:v>
      </x:c>
      <x:c r="P194" s="19" t="str">
        <x:v>Fear of Temperature_ Stratified Lexical Expansion, Voice Mapping, and Semantic-Relational Pre-Valida.pdf</x:v>
      </x:c>
      <x:c r="Q194" s="31" t="str">
        <x:v>RECONSTRUCTED_FROM_REPORT</x:v>
      </x:c>
      <x:c r="R194" s="46" t="str">
        <x:v>New surrogate project ID assigned from the compact report table; never an original later-stage structured candidate ID.</x:v>
      </x:c>
    </x:row>
    <x:row r="195" ht="32" customHeight="1">
      <x:c r="A195" s="18" t="str">
        <x:v>FT-SEED-R1B-P-1842-14</x:v>
      </x:c>
      <x:c r="B195" s="19" t="str">
        <x:v>PRIORITY_180</x:v>
      </x:c>
      <x:c r="C195" s="31" t="str">
        <x:v>NOT_EXPOSED_IN_REPORT</x:v>
      </x:c>
      <x:c r="D195" s="19" t="str">
        <x:v>6</x:v>
      </x:c>
      <x:c r="E195" s="19" t="str">
        <x:v>FT-A1842</x:v>
      </x:c>
      <x:c r="F195" s="31" t="str">
        <x:v>weather</x:v>
      </x:c>
      <x:c r="G195" s="19" t="str">
        <x:v>B</x:v>
      </x:c>
      <x:c r="H195" s="19" t="str">
        <x:v>V1</x:v>
      </x:c>
      <x:c r="I195" s="19" t="str">
        <x:v>S1842-LEICHHARDT-L</x:v>
      </x:c>
      <x:c r="J195" s="19" t="str">
        <x:v>NOT_EXPOSED_IN_REPORT</x:v>
      </x:c>
      <x:c r="K195" s="19" t="str">
        <x:v>PRIORITY_RANK=14;ORIGINAL_ROW_CONFIDENCE_NOT_EXPOSED</x:v>
      </x:c>
      <x:c r="L195" s="19" t="str">
        <x:v>NOT_EXPOSED_IN_REPORT</x:v>
      </x:c>
      <x:c r="M195" s="19" t="str">
        <x:v>PRIORITY_RANK_14</x:v>
      </x:c>
      <x:c r="N195" s="31" t="str">
        <x:v>RECONSTRUCTED_FROM_REPORT</x:v>
      </x:c>
      <x:c r="O195" s="31" t="str">
        <x:v>UNRESOLVED</x:v>
      </x:c>
      <x:c r="P195" s="19" t="str">
        <x:v>Fear of Temperature_ Stratified Lexical Expansion, Voice Mapping, and Semantic-Relational Pre-Valida.pdf</x:v>
      </x:c>
      <x:c r="Q195" s="31" t="str">
        <x:v>RECONSTRUCTED_FROM_REPORT</x:v>
      </x:c>
      <x:c r="R195" s="46" t="str">
        <x:v>New surrogate project ID assigned from the compact report table; never an original later-stage structured candidate ID.</x:v>
      </x:c>
    </x:row>
    <x:row r="196" ht="32" customHeight="1">
      <x:c r="A196" s="18" t="str">
        <x:v>FT-SEED-R1B-P-1842-15</x:v>
      </x:c>
      <x:c r="B196" s="19" t="str">
        <x:v>PRIORITY_180</x:v>
      </x:c>
      <x:c r="C196" s="31" t="str">
        <x:v>NOT_EXPOSED_IN_REPORT</x:v>
      </x:c>
      <x:c r="D196" s="19" t="str">
        <x:v>6</x:v>
      </x:c>
      <x:c r="E196" s="19" t="str">
        <x:v>FT-A1842</x:v>
      </x:c>
      <x:c r="F196" s="31" t="str">
        <x:v>climate</x:v>
      </x:c>
      <x:c r="G196" s="19" t="str">
        <x:v>B</x:v>
      </x:c>
      <x:c r="H196" s="19" t="str">
        <x:v>V1</x:v>
      </x:c>
      <x:c r="I196" s="19" t="str">
        <x:v>S1842-LEICHHARDT-L</x:v>
      </x:c>
      <x:c r="J196" s="19" t="str">
        <x:v>NOT_EXPOSED_IN_REPORT</x:v>
      </x:c>
      <x:c r="K196" s="19" t="str">
        <x:v>PRIORITY_RANK=15;ORIGINAL_ROW_CONFIDENCE_NOT_EXPOSED</x:v>
      </x:c>
      <x:c r="L196" s="19" t="str">
        <x:v>NOT_EXPOSED_IN_REPORT</x:v>
      </x:c>
      <x:c r="M196" s="19" t="str">
        <x:v>PRIORITY_RANK_15</x:v>
      </x:c>
      <x:c r="N196" s="31" t="str">
        <x:v>RECONSTRUCTED_FROM_REPORT</x:v>
      </x:c>
      <x:c r="O196" s="31" t="str">
        <x:v>UNRESOLVED</x:v>
      </x:c>
      <x:c r="P196" s="19" t="str">
        <x:v>Fear of Temperature_ Stratified Lexical Expansion, Voice Mapping, and Semantic-Relational Pre-Valida.pdf</x:v>
      </x:c>
      <x:c r="Q196" s="31" t="str">
        <x:v>RECONSTRUCTED_FROM_REPORT</x:v>
      </x:c>
      <x:c r="R196" s="46" t="str">
        <x:v>New surrogate project ID assigned from the compact report table; never an original later-stage structured candidate ID.</x:v>
      </x:c>
    </x:row>
    <x:row r="197" ht="32" customHeight="1">
      <x:c r="A197" s="18" t="str">
        <x:v>FT-SEED-R1B-P-1842-16</x:v>
      </x:c>
      <x:c r="B197" s="19" t="str">
        <x:v>PRIORITY_180</x:v>
      </x:c>
      <x:c r="C197" s="31" t="str">
        <x:v>NOT_EXPOSED_IN_REPORT</x:v>
      </x:c>
      <x:c r="D197" s="19" t="str">
        <x:v>6</x:v>
      </x:c>
      <x:c r="E197" s="19" t="str">
        <x:v>FT-A1842</x:v>
      </x:c>
      <x:c r="F197" s="31" t="str">
        <x:v>sun's heat</x:v>
      </x:c>
      <x:c r="G197" s="19" t="str">
        <x:v>A</x:v>
      </x:c>
      <x:c r="H197" s="19" t="str">
        <x:v>V1</x:v>
      </x:c>
      <x:c r="I197" s="19" t="str">
        <x:v>S1842-ROSS</x:v>
      </x:c>
      <x:c r="J197" s="19" t="str">
        <x:v>NOT_EXPOSED_IN_REPORT</x:v>
      </x:c>
      <x:c r="K197" s="19" t="str">
        <x:v>PRIORITY_RANK=16;ORIGINAL_ROW_CONFIDENCE_NOT_EXPOSED</x:v>
      </x:c>
      <x:c r="L197" s="19" t="str">
        <x:v>NOT_EXPOSED_IN_REPORT</x:v>
      </x:c>
      <x:c r="M197" s="19" t="str">
        <x:v>PRIORITY_RANK_16</x:v>
      </x:c>
      <x:c r="N197" s="31" t="str">
        <x:v>RECONSTRUCTED_FROM_REPORT</x:v>
      </x:c>
      <x:c r="O197" s="31" t="str">
        <x:v>UNRESOLVED</x:v>
      </x:c>
      <x:c r="P197" s="19" t="str">
        <x:v>Fear of Temperature_ Stratified Lexical Expansion, Voice Mapping, and Semantic-Relational Pre-Valida.pdf</x:v>
      </x:c>
      <x:c r="Q197" s="31" t="str">
        <x:v>RECONSTRUCTED_FROM_REPORT</x:v>
      </x:c>
      <x:c r="R197" s="46" t="str">
        <x:v>New surrogate project ID assigned from the compact report table; never an original later-stage structured candidate ID.</x:v>
      </x:c>
    </x:row>
    <x:row r="198" ht="32" customHeight="1">
      <x:c r="A198" s="18" t="str">
        <x:v>FT-SEED-R1B-P-1842-17</x:v>
      </x:c>
      <x:c r="B198" s="19" t="str">
        <x:v>PRIORITY_180</x:v>
      </x:c>
      <x:c r="C198" s="31" t="str">
        <x:v>NOT_EXPOSED_IN_REPORT</x:v>
      </x:c>
      <x:c r="D198" s="19" t="str">
        <x:v>6</x:v>
      </x:c>
      <x:c r="E198" s="19" t="str">
        <x:v>FT-A1842</x:v>
      </x:c>
      <x:c r="F198" s="31" t="str">
        <x:v>radiation of the heat</x:v>
      </x:c>
      <x:c r="G198" s="19" t="str">
        <x:v>B</x:v>
      </x:c>
      <x:c r="H198" s="19" t="str">
        <x:v>V1</x:v>
      </x:c>
      <x:c r="I198" s="19" t="str">
        <x:v>S1842-ROSS</x:v>
      </x:c>
      <x:c r="J198" s="19" t="str">
        <x:v>NOT_EXPOSED_IN_REPORT</x:v>
      </x:c>
      <x:c r="K198" s="19" t="str">
        <x:v>PRIORITY_RANK=17;ORIGINAL_ROW_CONFIDENCE_NOT_EXPOSED</x:v>
      </x:c>
      <x:c r="L198" s="19" t="str">
        <x:v>NOT_EXPOSED_IN_REPORT</x:v>
      </x:c>
      <x:c r="M198" s="19" t="str">
        <x:v>PRIORITY_RANK_17</x:v>
      </x:c>
      <x:c r="N198" s="31" t="str">
        <x:v>RECONSTRUCTED_FROM_REPORT</x:v>
      </x:c>
      <x:c r="O198" s="31" t="str">
        <x:v>UNRESOLVED</x:v>
      </x:c>
      <x:c r="P198" s="19" t="str">
        <x:v>Fear of Temperature_ Stratified Lexical Expansion, Voice Mapping, and Semantic-Relational Pre-Valida.pdf</x:v>
      </x:c>
      <x:c r="Q198" s="31" t="str">
        <x:v>RECONSTRUCTED_FROM_REPORT</x:v>
      </x:c>
      <x:c r="R198" s="46" t="str">
        <x:v>New surrogate project ID assigned from the compact report table; never an original later-stage structured candidate ID.</x:v>
      </x:c>
    </x:row>
    <x:row r="199" ht="32" customHeight="1">
      <x:c r="A199" s="18" t="str">
        <x:v>FT-SEED-R1B-P-1842-21</x:v>
      </x:c>
      <x:c r="B199" s="19" t="str">
        <x:v>PRIORITY_180</x:v>
      </x:c>
      <x:c r="C199" s="31" t="str">
        <x:v>NOT_EXPOSED_IN_REPORT</x:v>
      </x:c>
      <x:c r="D199" s="19" t="str">
        <x:v>6</x:v>
      </x:c>
      <x:c r="E199" s="19" t="str">
        <x:v>FT-A1842</x:v>
      </x:c>
      <x:c r="F199" s="31" t="str">
        <x:v>heat of the irons</x:v>
      </x:c>
      <x:c r="G199" s="19" t="str">
        <x:v>A</x:v>
      </x:c>
      <x:c r="H199" s="19" t="str">
        <x:v>V5</x:v>
      </x:c>
      <x:c r="I199" s="19" t="str">
        <x:v>S1842-CHADWICK</x:v>
      </x:c>
      <x:c r="J199" s="19" t="str">
        <x:v>NOT_EXPOSED_IN_REPORT</x:v>
      </x:c>
      <x:c r="K199" s="19" t="str">
        <x:v>PRIORITY_RANK=21;ORIGINAL_ROW_CONFIDENCE_NOT_EXPOSED</x:v>
      </x:c>
      <x:c r="L199" s="19" t="str">
        <x:v>NOT_EXPOSED_IN_REPORT</x:v>
      </x:c>
      <x:c r="M199" s="19" t="str">
        <x:v>PRIORITY_RANK_21</x:v>
      </x:c>
      <x:c r="N199" s="31" t="str">
        <x:v>RECONSTRUCTED_FROM_REPORT</x:v>
      </x:c>
      <x:c r="O199" s="31" t="str">
        <x:v>UNRESOLVED</x:v>
      </x:c>
      <x:c r="P199" s="19" t="str">
        <x:v>Fear of Temperature_ Stratified Lexical Expansion, Voice Mapping, and Semantic-Relational Pre-Valida.pdf</x:v>
      </x:c>
      <x:c r="Q199" s="31" t="str">
        <x:v>RECONSTRUCTED_FROM_REPORT</x:v>
      </x:c>
      <x:c r="R199" s="46" t="str">
        <x:v>New surrogate project ID assigned from the compact report table; never an original later-stage structured candidate ID.</x:v>
      </x:c>
    </x:row>
    <x:row r="200" ht="32" customHeight="1">
      <x:c r="A200" s="18" t="str">
        <x:v>FT-SEED-R1B-P-1842-22</x:v>
      </x:c>
      <x:c r="B200" s="19" t="str">
        <x:v>PRIORITY_180</x:v>
      </x:c>
      <x:c r="C200" s="31" t="str">
        <x:v>NOT_EXPOSED_IN_REPORT</x:v>
      </x:c>
      <x:c r="D200" s="19" t="str">
        <x:v>6</x:v>
      </x:c>
      <x:c r="E200" s="19" t="str">
        <x:v>FT-A1842</x:v>
      </x:c>
      <x:c r="F200" s="31" t="str">
        <x:v>most suffocating</x:v>
      </x:c>
      <x:c r="G200" s="19" t="str">
        <x:v>D</x:v>
      </x:c>
      <x:c r="H200" s="19" t="str">
        <x:v>V5</x:v>
      </x:c>
      <x:c r="I200" s="19" t="str">
        <x:v>S1842-CHADWICK</x:v>
      </x:c>
      <x:c r="J200" s="19" t="str">
        <x:v>NOT_EXPOSED_IN_REPORT</x:v>
      </x:c>
      <x:c r="K200" s="19" t="str">
        <x:v>PRIORITY_RANK=22;ORIGINAL_ROW_CONFIDENCE_NOT_EXPOSED</x:v>
      </x:c>
      <x:c r="L200" s="19" t="str">
        <x:v>NOT_EXPOSED_IN_REPORT</x:v>
      </x:c>
      <x:c r="M200" s="19" t="str">
        <x:v>PRIORITY_RANK_22</x:v>
      </x:c>
      <x:c r="N200" s="31" t="str">
        <x:v>RECONSTRUCTED_FROM_REPORT</x:v>
      </x:c>
      <x:c r="O200" s="31" t="str">
        <x:v>UNRESOLVED</x:v>
      </x:c>
      <x:c r="P200" s="19" t="str">
        <x:v>Fear of Temperature_ Stratified Lexical Expansion, Voice Mapping, and Semantic-Relational Pre-Valida.pdf</x:v>
      </x:c>
      <x:c r="Q200" s="31" t="str">
        <x:v>RECONSTRUCTED_FROM_REPORT</x:v>
      </x:c>
      <x:c r="R200" s="46" t="str">
        <x:v>New surrogate project ID assigned from the compact report table; never an original later-stage structured candidate ID.</x:v>
      </x:c>
    </x:row>
    <x:row r="201" ht="32" customHeight="1">
      <x:c r="A201" s="18" t="str">
        <x:v>FT-SEED-R1B-P-1842-23</x:v>
      </x:c>
      <x:c r="B201" s="19" t="str">
        <x:v>PRIORITY_180</x:v>
      </x:c>
      <x:c r="C201" s="31" t="str">
        <x:v>NOT_EXPOSED_IN_REPORT</x:v>
      </x:c>
      <x:c r="D201" s="19" t="str">
        <x:v>6</x:v>
      </x:c>
      <x:c r="E201" s="19" t="str">
        <x:v>FT-A1842</x:v>
      </x:c>
      <x:c r="F201" s="31" t="str">
        <x:v>faint away</x:v>
      </x:c>
      <x:c r="G201" s="19" t="str">
        <x:v>D</x:v>
      </x:c>
      <x:c r="H201" s="19" t="str">
        <x:v>V5</x:v>
      </x:c>
      <x:c r="I201" s="19" t="str">
        <x:v>S1842-CHADWICK</x:v>
      </x:c>
      <x:c r="J201" s="19" t="str">
        <x:v>NOT_EXPOSED_IN_REPORT</x:v>
      </x:c>
      <x:c r="K201" s="19" t="str">
        <x:v>PRIORITY_RANK=23;ORIGINAL_ROW_CONFIDENCE_NOT_EXPOSED</x:v>
      </x:c>
      <x:c r="L201" s="19" t="str">
        <x:v>NOT_EXPOSED_IN_REPORT</x:v>
      </x:c>
      <x:c r="M201" s="19" t="str">
        <x:v>PRIORITY_RANK_23</x:v>
      </x:c>
      <x:c r="N201" s="31" t="str">
        <x:v>RECONSTRUCTED_FROM_REPORT</x:v>
      </x:c>
      <x:c r="O201" s="31" t="str">
        <x:v>UNRESOLVED</x:v>
      </x:c>
      <x:c r="P201" s="19" t="str">
        <x:v>Fear of Temperature_ Stratified Lexical Expansion, Voice Mapping, and Semantic-Relational Pre-Valida.pdf</x:v>
      </x:c>
      <x:c r="Q201" s="31" t="str">
        <x:v>RECONSTRUCTED_FROM_REPORT</x:v>
      </x:c>
      <x:c r="R201" s="46" t="str">
        <x:v>New surrogate project ID assigned from the compact report table; never an original later-stage structured candidate ID.</x:v>
      </x:c>
    </x:row>
    <x:row r="202" ht="32" customHeight="1">
      <x:c r="A202" s="18" t="str">
        <x:v>FT-SEED-R1B-P-1842-24</x:v>
      </x:c>
      <x:c r="B202" s="19" t="str">
        <x:v>PRIORITY_180</x:v>
      </x:c>
      <x:c r="C202" s="31" t="str">
        <x:v>NOT_EXPOSED_IN_REPORT</x:v>
      </x:c>
      <x:c r="D202" s="19" t="str">
        <x:v>6</x:v>
      </x:c>
      <x:c r="E202" s="19" t="str">
        <x:v>FT-A1842</x:v>
      </x:c>
      <x:c r="F202" s="31" t="str">
        <x:v>perspiration</x:v>
      </x:c>
      <x:c r="G202" s="19" t="str">
        <x:v>D</x:v>
      </x:c>
      <x:c r="H202" s="19" t="str">
        <x:v>V5</x:v>
      </x:c>
      <x:c r="I202" s="19" t="str">
        <x:v>S1842-CHADWICK</x:v>
      </x:c>
      <x:c r="J202" s="19" t="str">
        <x:v>NOT_EXPOSED_IN_REPORT</x:v>
      </x:c>
      <x:c r="K202" s="19" t="str">
        <x:v>PRIORITY_RANK=24;ORIGINAL_ROW_CONFIDENCE_NOT_EXPOSED</x:v>
      </x:c>
      <x:c r="L202" s="19" t="str">
        <x:v>NOT_EXPOSED_IN_REPORT</x:v>
      </x:c>
      <x:c r="M202" s="19" t="str">
        <x:v>PRIORITY_RANK_24</x:v>
      </x:c>
      <x:c r="N202" s="31" t="str">
        <x:v>RECONSTRUCTED_FROM_REPORT</x:v>
      </x:c>
      <x:c r="O202" s="31" t="str">
        <x:v>UNRESOLVED</x:v>
      </x:c>
      <x:c r="P202" s="19" t="str">
        <x:v>Fear of Temperature_ Stratified Lexical Expansion, Voice Mapping, and Semantic-Relational Pre-Valida.pdf</x:v>
      </x:c>
      <x:c r="Q202" s="31" t="str">
        <x:v>RECONSTRUCTED_FROM_REPORT</x:v>
      </x:c>
      <x:c r="R202" s="46" t="str">
        <x:v>New surrogate project ID assigned from the compact report table; never an original later-stage structured candidate ID.</x:v>
      </x:c>
    </x:row>
    <x:row r="203" ht="32" customHeight="1">
      <x:c r="A203" s="18" t="str">
        <x:v>FT-SEED-R1B-P-1842-25</x:v>
      </x:c>
      <x:c r="B203" s="19" t="str">
        <x:v>PRIORITY_180</x:v>
      </x:c>
      <x:c r="C203" s="31" t="str">
        <x:v>NOT_EXPOSED_IN_REPORT</x:v>
      </x:c>
      <x:c r="D203" s="19" t="str">
        <x:v>6</x:v>
      </x:c>
      <x:c r="E203" s="19" t="str">
        <x:v>FT-A1842</x:v>
      </x:c>
      <x:c r="F203" s="31" t="str">
        <x:v>depressing effect</x:v>
      </x:c>
      <x:c r="G203" s="19" t="str">
        <x:v>C</x:v>
      </x:c>
      <x:c r="H203" s="19" t="str">
        <x:v>V5</x:v>
      </x:c>
      <x:c r="I203" s="19" t="str">
        <x:v>S1842-CHADWICK</x:v>
      </x:c>
      <x:c r="J203" s="19" t="str">
        <x:v>E3</x:v>
      </x:c>
      <x:c r="K203" s="19" t="str">
        <x:v>PRIORITY_RANK=25;ORIGINAL_ROW_CONFIDENCE_NOT_EXPOSED</x:v>
      </x:c>
      <x:c r="L203" s="19" t="str">
        <x:v>NOT_EXPOSED_IN_REPORT</x:v>
      </x:c>
      <x:c r="M203" s="19" t="str">
        <x:v>PRIORITY_RANK_25</x:v>
      </x:c>
      <x:c r="N203" s="31" t="str">
        <x:v>RECONSTRUCTED_FROM_REPORT</x:v>
      </x:c>
      <x:c r="O203" s="31" t="str">
        <x:v>UNRESOLVED</x:v>
      </x:c>
      <x:c r="P203" s="19" t="str">
        <x:v>Fear of Temperature_ Stratified Lexical Expansion, Voice Mapping, and Semantic-Relational Pre-Valida.pdf</x:v>
      </x:c>
      <x:c r="Q203" s="31" t="str">
        <x:v>RECONSTRUCTED_FROM_REPORT</x:v>
      </x:c>
      <x:c r="R203" s="46" t="str">
        <x:v>New surrogate project ID assigned from the compact report table; never an original later-stage structured candidate ID.</x:v>
      </x:c>
    </x:row>
    <x:row r="204" ht="32" customHeight="1">
      <x:c r="A204" s="18" t="str">
        <x:v>FT-SEED-R1B-P-1842-26</x:v>
      </x:c>
      <x:c r="B204" s="19" t="str">
        <x:v>PRIORITY_180</x:v>
      </x:c>
      <x:c r="C204" s="31" t="str">
        <x:v>NOT_EXPOSED_IN_REPORT</x:v>
      </x:c>
      <x:c r="D204" s="19" t="str">
        <x:v>6</x:v>
      </x:c>
      <x:c r="E204" s="19" t="str">
        <x:v>FT-A1842</x:v>
      </x:c>
      <x:c r="F204" s="31" t="str">
        <x:v>complain of the heat</x:v>
      </x:c>
      <x:c r="G204" s="19" t="str">
        <x:v>C</x:v>
      </x:c>
      <x:c r="H204" s="19" t="str">
        <x:v>V5</x:v>
      </x:c>
      <x:c r="I204" s="19" t="str">
        <x:v>S1842-CHADWICK</x:v>
      </x:c>
      <x:c r="J204" s="19" t="str">
        <x:v>NOT_EXPOSED_IN_REPORT</x:v>
      </x:c>
      <x:c r="K204" s="19" t="str">
        <x:v>PRIORITY_RANK=26;ORIGINAL_ROW_CONFIDENCE_NOT_EXPOSED</x:v>
      </x:c>
      <x:c r="L204" s="19" t="str">
        <x:v>NOT_EXPOSED_IN_REPORT</x:v>
      </x:c>
      <x:c r="M204" s="19" t="str">
        <x:v>PRIORITY_RANK_26</x:v>
      </x:c>
      <x:c r="N204" s="31" t="str">
        <x:v>RECONSTRUCTED_FROM_REPORT</x:v>
      </x:c>
      <x:c r="O204" s="31" t="str">
        <x:v>UNRESOLVED</x:v>
      </x:c>
      <x:c r="P204" s="19" t="str">
        <x:v>Fear of Temperature_ Stratified Lexical Expansion, Voice Mapping, and Semantic-Relational Pre-Valida.pdf</x:v>
      </x:c>
      <x:c r="Q204" s="31" t="str">
        <x:v>RECONSTRUCTED_FROM_REPORT</x:v>
      </x:c>
      <x:c r="R204" s="46" t="str">
        <x:v>New surrogate project ID assigned from the compact report table; never an original later-stage structured candidate ID.</x:v>
      </x:c>
    </x:row>
    <x:row r="205" ht="32" customHeight="1">
      <x:c r="A205" s="18" t="str">
        <x:v>FT-SEED-R1B-P-1842-27</x:v>
      </x:c>
      <x:c r="B205" s="19" t="str">
        <x:v>PRIORITY_180</x:v>
      </x:c>
      <x:c r="C205" s="31" t="str">
        <x:v>NOT_EXPOSED_IN_REPORT</x:v>
      </x:c>
      <x:c r="D205" s="19" t="str">
        <x:v>6</x:v>
      </x:c>
      <x:c r="E205" s="19" t="str">
        <x:v>FT-A1842</x:v>
      </x:c>
      <x:c r="F205" s="31" t="str">
        <x:v>premature heat of the weather</x:v>
      </x:c>
      <x:c r="G205" s="19" t="str">
        <x:v>A</x:v>
      </x:c>
      <x:c r="H205" s="19" t="str">
        <x:v>V5</x:v>
      </x:c>
      <x:c r="I205" s="19" t="str">
        <x:v>S1842-DICKENS</x:v>
      </x:c>
      <x:c r="J205" s="19" t="str">
        <x:v>NOT_EXPOSED_IN_REPORT</x:v>
      </x:c>
      <x:c r="K205" s="19" t="str">
        <x:v>PRIORITY_RANK=27;ORIGINAL_ROW_CONFIDENCE_NOT_EXPOSED</x:v>
      </x:c>
      <x:c r="L205" s="19" t="str">
        <x:v>NOT_EXPOSED_IN_REPORT</x:v>
      </x:c>
      <x:c r="M205" s="19" t="str">
        <x:v>PRIORITY_RANK_27</x:v>
      </x:c>
      <x:c r="N205" s="31" t="str">
        <x:v>RECONSTRUCTED_FROM_REPORT</x:v>
      </x:c>
      <x:c r="O205" s="31" t="str">
        <x:v>UNRESOLVED</x:v>
      </x:c>
      <x:c r="P205" s="19" t="str">
        <x:v>Fear of Temperature_ Stratified Lexical Expansion, Voice Mapping, and Semantic-Relational Pre-Valida.pdf</x:v>
      </x:c>
      <x:c r="Q205" s="31" t="str">
        <x:v>RECONSTRUCTED_FROM_REPORT</x:v>
      </x:c>
      <x:c r="R205" s="46" t="str">
        <x:v>New surrogate project ID assigned from the compact report table; never an original later-stage structured candidate ID.</x:v>
      </x:c>
    </x:row>
    <x:row r="206" ht="32" customHeight="1">
      <x:c r="A206" s="18" t="str">
        <x:v>FT-SEED-R1B-P-1842-08</x:v>
      </x:c>
      <x:c r="B206" s="19" t="str">
        <x:v>PRIORITY_180</x:v>
      </x:c>
      <x:c r="C206" s="31" t="str">
        <x:v>NOT_EXPOSED_IN_REPORT</x:v>
      </x:c>
      <x:c r="D206" s="19" t="str">
        <x:v>7</x:v>
      </x:c>
      <x:c r="E206" s="19" t="str">
        <x:v>FT-A1842</x:v>
      </x:c>
      <x:c r="F206" s="31" t="str">
        <x:v>standard thermometer</x:v>
      </x:c>
      <x:c r="G206" s="19" t="str">
        <x:v>A</x:v>
      </x:c>
      <x:c r="H206" s="19" t="str">
        <x:v>V1</x:v>
      </x:c>
      <x:c r="I206" s="19" t="str">
        <x:v>S1842-RS-COLABA</x:v>
      </x:c>
      <x:c r="J206" s="19" t="str">
        <x:v>NOT_EXPOSED_IN_REPORT</x:v>
      </x:c>
      <x:c r="K206" s="19" t="str">
        <x:v>PRIORITY_RANK=8;ORIGINAL_ROW_CONFIDENCE_NOT_EXPOSED</x:v>
      </x:c>
      <x:c r="L206" s="19" t="str">
        <x:v>NOT_EXPOSED_IN_REPORT</x:v>
      </x:c>
      <x:c r="M206" s="19" t="str">
        <x:v>PRIORITY_RANK_08</x:v>
      </x:c>
      <x:c r="N206" s="31" t="str">
        <x:v>RECONSTRUCTED_FROM_REPORT</x:v>
      </x:c>
      <x:c r="O206" s="31" t="str">
        <x:v>UNRESOLVED</x:v>
      </x:c>
      <x:c r="P206" s="19" t="str">
        <x:v>Fear of Temperature_ Stratified Lexical Expansion, Voice Mapping, and Semantic-Relational Pre-Valida.pdf</x:v>
      </x:c>
      <x:c r="Q206" s="31" t="str">
        <x:v>RECONSTRUCTED_FROM_REPORT</x:v>
      </x:c>
      <x:c r="R206" s="46" t="str">
        <x:v>New surrogate project ID assigned from the compact report table; never an original later-stage structured candidate ID.</x:v>
      </x:c>
    </x:row>
    <x:row r="207" ht="32" customHeight="1">
      <x:c r="A207" s="18" t="str">
        <x:v>FT-SEED-R1B-P-1842-09</x:v>
      </x:c>
      <x:c r="B207" s="19" t="str">
        <x:v>PRIORITY_180</x:v>
      </x:c>
      <x:c r="C207" s="31" t="str">
        <x:v>NOT_EXPOSED_IN_REPORT</x:v>
      </x:c>
      <x:c r="D207" s="19" t="str">
        <x:v>7</x:v>
      </x:c>
      <x:c r="E207" s="19" t="str">
        <x:v>FT-A1842</x:v>
      </x:c>
      <x:c r="F207" s="31" t="str">
        <x:v>attached thermometer</x:v>
      </x:c>
      <x:c r="G207" s="19" t="str">
        <x:v>A</x:v>
      </x:c>
      <x:c r="H207" s="19" t="str">
        <x:v>V1</x:v>
      </x:c>
      <x:c r="I207" s="19" t="str">
        <x:v>S1842-RS-COLABA</x:v>
      </x:c>
      <x:c r="J207" s="19" t="str">
        <x:v>NOT_EXPOSED_IN_REPORT</x:v>
      </x:c>
      <x:c r="K207" s="19" t="str">
        <x:v>PRIORITY_RANK=9;ORIGINAL_ROW_CONFIDENCE_NOT_EXPOSED</x:v>
      </x:c>
      <x:c r="L207" s="19" t="str">
        <x:v>NOT_EXPOSED_IN_REPORT</x:v>
      </x:c>
      <x:c r="M207" s="19" t="str">
        <x:v>PRIORITY_RANK_09</x:v>
      </x:c>
      <x:c r="N207" s="31" t="str">
        <x:v>RECONSTRUCTED_FROM_REPORT</x:v>
      </x:c>
      <x:c r="O207" s="31" t="str">
        <x:v>UNRESOLVED</x:v>
      </x:c>
      <x:c r="P207" s="19" t="str">
        <x:v>Fear of Temperature_ Stratified Lexical Expansion, Voice Mapping, and Semantic-Relational Pre-Valida.pdf</x:v>
      </x:c>
      <x:c r="Q207" s="31" t="str">
        <x:v>RECONSTRUCTED_FROM_REPORT</x:v>
      </x:c>
      <x:c r="R207" s="46" t="str">
        <x:v>New surrogate project ID assigned from the compact report table; never an original later-stage structured candidate ID.</x:v>
      </x:c>
    </x:row>
    <x:row r="208" ht="32" customHeight="1">
      <x:c r="A208" s="18" t="str">
        <x:v>FT-SEED-R1B-P-1842-10</x:v>
      </x:c>
      <x:c r="B208" s="19" t="str">
        <x:v>PRIORITY_180</x:v>
      </x:c>
      <x:c r="C208" s="31" t="str">
        <x:v>NOT_EXPOSED_IN_REPORT</x:v>
      </x:c>
      <x:c r="D208" s="19" t="str">
        <x:v>7</x:v>
      </x:c>
      <x:c r="E208" s="19" t="str">
        <x:v>FT-A1842</x:v>
      </x:c>
      <x:c r="F208" s="31" t="str">
        <x:v>dry bulb thermometer</x:v>
      </x:c>
      <x:c r="G208" s="19" t="str">
        <x:v>A</x:v>
      </x:c>
      <x:c r="H208" s="19" t="str">
        <x:v>V1</x:v>
      </x:c>
      <x:c r="I208" s="19" t="str">
        <x:v>S1842-RS-COLABA</x:v>
      </x:c>
      <x:c r="J208" s="19" t="str">
        <x:v>NOT_EXPOSED_IN_REPORT</x:v>
      </x:c>
      <x:c r="K208" s="19" t="str">
        <x:v>PRIORITY_RANK=10;ORIGINAL_ROW_CONFIDENCE_NOT_EXPOSED</x:v>
      </x:c>
      <x:c r="L208" s="19" t="str">
        <x:v>NOT_EXPOSED_IN_REPORT</x:v>
      </x:c>
      <x:c r="M208" s="19" t="str">
        <x:v>PRIORITY_RANK_10</x:v>
      </x:c>
      <x:c r="N208" s="31" t="str">
        <x:v>RECONSTRUCTED_FROM_REPORT</x:v>
      </x:c>
      <x:c r="O208" s="31" t="str">
        <x:v>UNRESOLVED</x:v>
      </x:c>
      <x:c r="P208" s="19" t="str">
        <x:v>Fear of Temperature_ Stratified Lexical Expansion, Voice Mapping, and Semantic-Relational Pre-Valida.pdf</x:v>
      </x:c>
      <x:c r="Q208" s="31" t="str">
        <x:v>RECONSTRUCTED_FROM_REPORT</x:v>
      </x:c>
      <x:c r="R208" s="46" t="str">
        <x:v>New surrogate project ID assigned from the compact report table; never an original later-stage structured candidate ID.</x:v>
      </x:c>
    </x:row>
    <x:row r="209" ht="32" customHeight="1">
      <x:c r="A209" s="18" t="str">
        <x:v>FT-SEED-R1B-P-1842-18</x:v>
      </x:c>
      <x:c r="B209" s="19" t="str">
        <x:v>PRIORITY_180</x:v>
      </x:c>
      <x:c r="C209" s="31" t="str">
        <x:v>NOT_EXPOSED_IN_REPORT</x:v>
      </x:c>
      <x:c r="D209" s="19" t="str">
        <x:v>7</x:v>
      </x:c>
      <x:c r="E209" s="19" t="str">
        <x:v>FT-A1842</x:v>
      </x:c>
      <x:c r="F209" s="31" t="str">
        <x:v>changes of temperature</x:v>
      </x:c>
      <x:c r="G209" s="19" t="str">
        <x:v>A</x:v>
      </x:c>
      <x:c r="H209" s="19" t="str">
        <x:v>V2</x:v>
      </x:c>
      <x:c r="I209" s="19" t="str">
        <x:v>S1842-CHADWICK</x:v>
      </x:c>
      <x:c r="J209" s="19" t="str">
        <x:v>NOT_EXPOSED_IN_REPORT</x:v>
      </x:c>
      <x:c r="K209" s="19" t="str">
        <x:v>PRIORITY_RANK=18;ORIGINAL_ROW_CONFIDENCE_NOT_EXPOSED</x:v>
      </x:c>
      <x:c r="L209" s="19" t="str">
        <x:v>NOT_EXPOSED_IN_REPORT</x:v>
      </x:c>
      <x:c r="M209" s="19" t="str">
        <x:v>PRIORITY_RANK_18</x:v>
      </x:c>
      <x:c r="N209" s="31" t="str">
        <x:v>RECONSTRUCTED_FROM_REPORT</x:v>
      </x:c>
      <x:c r="O209" s="31" t="str">
        <x:v>UNRESOLVED</x:v>
      </x:c>
      <x:c r="P209" s="19" t="str">
        <x:v>Fear of Temperature_ Stratified Lexical Expansion, Voice Mapping, and Semantic-Relational Pre-Valida.pdf</x:v>
      </x:c>
      <x:c r="Q209" s="31" t="str">
        <x:v>RECONSTRUCTED_FROM_REPORT</x:v>
      </x:c>
      <x:c r="R209" s="46" t="str">
        <x:v>New surrogate project ID assigned from the compact report table; never an original later-stage structured candidate ID.</x:v>
      </x:c>
    </x:row>
    <x:row r="210" ht="32" customHeight="1">
      <x:c r="A210" s="18" t="str">
        <x:v>FT-SEED-R1B-P-1842-19</x:v>
      </x:c>
      <x:c r="B210" s="19" t="str">
        <x:v>PRIORITY_180</x:v>
      </x:c>
      <x:c r="C210" s="31" t="str">
        <x:v>NOT_EXPOSED_IN_REPORT</x:v>
      </x:c>
      <x:c r="D210" s="19" t="str">
        <x:v>7</x:v>
      </x:c>
      <x:c r="E210" s="19" t="str">
        <x:v>FT-A1842</x:v>
      </x:c>
      <x:c r="F210" s="31" t="str">
        <x:v>excessive heat</x:v>
      </x:c>
      <x:c r="G210" s="19" t="str">
        <x:v>D</x:v>
      </x:c>
      <x:c r="H210" s="19" t="str">
        <x:v>V5</x:v>
      </x:c>
      <x:c r="I210" s="19" t="str">
        <x:v>S1842-CHADWICK</x:v>
      </x:c>
      <x:c r="J210" s="19" t="str">
        <x:v>NOT_EXPOSED_IN_REPORT</x:v>
      </x:c>
      <x:c r="K210" s="19" t="str">
        <x:v>PRIORITY_RANK=19;ORIGINAL_ROW_CONFIDENCE_NOT_EXPOSED</x:v>
      </x:c>
      <x:c r="L210" s="19" t="str">
        <x:v>NOT_EXPOSED_IN_REPORT</x:v>
      </x:c>
      <x:c r="M210" s="19" t="str">
        <x:v>PRIORITY_RANK_19</x:v>
      </x:c>
      <x:c r="N210" s="31" t="str">
        <x:v>RECONSTRUCTED_FROM_REPORT</x:v>
      </x:c>
      <x:c r="O210" s="31" t="str">
        <x:v>UNRESOLVED</x:v>
      </x:c>
      <x:c r="P210" s="19" t="str">
        <x:v>Fear of Temperature_ Stratified Lexical Expansion, Voice Mapping, and Semantic-Relational Pre-Valida.pdf</x:v>
      </x:c>
      <x:c r="Q210" s="31" t="str">
        <x:v>RECONSTRUCTED_FROM_REPORT</x:v>
      </x:c>
      <x:c r="R210" s="46" t="str">
        <x:v>New surrogate project ID assigned from the compact report table; never an original later-stage structured candidate ID.</x:v>
      </x:c>
    </x:row>
    <x:row r="211" ht="32" customHeight="1">
      <x:c r="A211" s="18" t="str">
        <x:v>FT-SEED-R1B-P-1842-20</x:v>
      </x:c>
      <x:c r="B211" s="19" t="str">
        <x:v>PRIORITY_180</x:v>
      </x:c>
      <x:c r="C211" s="31" t="str">
        <x:v>NOT_EXPOSED_IN_REPORT</x:v>
      </x:c>
      <x:c r="D211" s="19" t="str">
        <x:v>7</x:v>
      </x:c>
      <x:c r="E211" s="19" t="str">
        <x:v>FT-A1842</x:v>
      </x:c>
      <x:c r="F211" s="31" t="str">
        <x:v>heat of the men</x:v>
      </x:c>
      <x:c r="G211" s="19" t="str">
        <x:v>A</x:v>
      </x:c>
      <x:c r="H211" s="19" t="str">
        <x:v>V5</x:v>
      </x:c>
      <x:c r="I211" s="19" t="str">
        <x:v>S1842-CHADWICK</x:v>
      </x:c>
      <x:c r="J211" s="19" t="str">
        <x:v>NOT_EXPOSED_IN_REPORT</x:v>
      </x:c>
      <x:c r="K211" s="19" t="str">
        <x:v>PRIORITY_RANK=20;ORIGINAL_ROW_CONFIDENCE_NOT_EXPOSED</x:v>
      </x:c>
      <x:c r="L211" s="19" t="str">
        <x:v>NOT_EXPOSED_IN_REPORT</x:v>
      </x:c>
      <x:c r="M211" s="19" t="str">
        <x:v>PRIORITY_RANK_20</x:v>
      </x:c>
      <x:c r="N211" s="31" t="str">
        <x:v>RECONSTRUCTED_FROM_REPORT</x:v>
      </x:c>
      <x:c r="O211" s="31" t="str">
        <x:v>UNRESOLVED</x:v>
      </x:c>
      <x:c r="P211" s="19" t="str">
        <x:v>Fear of Temperature_ Stratified Lexical Expansion, Voice Mapping, and Semantic-Relational Pre-Valida.pdf</x:v>
      </x:c>
      <x:c r="Q211" s="31" t="str">
        <x:v>RECONSTRUCTED_FROM_REPORT</x:v>
      </x:c>
      <x:c r="R211" s="46" t="str">
        <x:v>New surrogate project ID assigned from the compact report table; never an original later-stage structured candidate ID.</x:v>
      </x:c>
    </x:row>
    <x:row r="212" ht="32" customHeight="1">
      <x:c r="A212" s="18" t="str">
        <x:v>FT-SEED-R1B-P-1842-28</x:v>
      </x:c>
      <x:c r="B212" s="19" t="str">
        <x:v>PRIORITY_180</x:v>
      </x:c>
      <x:c r="C212" s="31" t="str">
        <x:v>NOT_EXPOSED_IN_REPORT</x:v>
      </x:c>
      <x:c r="D212" s="19" t="str">
        <x:v>7</x:v>
      </x:c>
      <x:c r="E212" s="19" t="str">
        <x:v>FT-A1842</x:v>
      </x:c>
      <x:c r="F212" s="31" t="str">
        <x:v>suffered more from cold than from heat</x:v>
      </x:c>
      <x:c r="G212" s="19" t="str">
        <x:v>D</x:v>
      </x:c>
      <x:c r="H212" s="19" t="str">
        <x:v>V1</x:v>
      </x:c>
      <x:c r="I212" s="19" t="str">
        <x:v>S1842-LEICHHARDT-L</x:v>
      </x:c>
      <x:c r="J212" s="19" t="str">
        <x:v>NOT_EXPOSED_IN_REPORT</x:v>
      </x:c>
      <x:c r="K212" s="19" t="str">
        <x:v>PRIORITY_RANK=28;ORIGINAL_ROW_CONFIDENCE_NOT_EXPOSED</x:v>
      </x:c>
      <x:c r="L212" s="19" t="str">
        <x:v>NOT_EXPOSED_IN_REPORT</x:v>
      </x:c>
      <x:c r="M212" s="19" t="str">
        <x:v>PRIORITY_RANK_28</x:v>
      </x:c>
      <x:c r="N212" s="31" t="str">
        <x:v>RECONSTRUCTED_FROM_REPORT</x:v>
      </x:c>
      <x:c r="O212" s="31" t="str">
        <x:v>UNRESOLVED</x:v>
      </x:c>
      <x:c r="P212" s="19" t="str">
        <x:v>Fear of Temperature_ Stratified Lexical Expansion, Voice Mapping, and Semantic-Relational Pre-Valida.pdf</x:v>
      </x:c>
      <x:c r="Q212" s="31" t="str">
        <x:v>RECONSTRUCTED_FROM_REPORT</x:v>
      </x:c>
      <x:c r="R212" s="46" t="str">
        <x:v>New surrogate project ID assigned from the compact report table; never an original later-stage structured candidate ID.</x:v>
      </x:c>
    </x:row>
    <x:row r="213" ht="32" customHeight="1">
      <x:c r="A213" s="18" t="str">
        <x:v>FT-SEED-R1B-P-1842-29</x:v>
      </x:c>
      <x:c r="B213" s="19" t="str">
        <x:v>PRIORITY_180</x:v>
      </x:c>
      <x:c r="C213" s="31" t="str">
        <x:v>NOT_EXPOSED_IN_REPORT</x:v>
      </x:c>
      <x:c r="D213" s="19" t="str">
        <x:v>7</x:v>
      </x:c>
      <x:c r="E213" s="19" t="str">
        <x:v>FT-A1842</x:v>
      </x:c>
      <x:c r="F213" s="31" t="str">
        <x:v>sickness and mortality</x:v>
      </x:c>
      <x:c r="G213" s="19" t="str">
        <x:v>D</x:v>
      </x:c>
      <x:c r="H213" s="19" t="str">
        <x:v>V2</x:v>
      </x:c>
      <x:c r="I213" s="19" t="str">
        <x:v>S1842-CHADWICK</x:v>
      </x:c>
      <x:c r="J213" s="19" t="str">
        <x:v>NOT_EXPOSED_IN_REPORT</x:v>
      </x:c>
      <x:c r="K213" s="19" t="str">
        <x:v>PRIORITY_RANK=29;ORIGINAL_ROW_CONFIDENCE_NOT_EXPOSED</x:v>
      </x:c>
      <x:c r="L213" s="19" t="str">
        <x:v>NOT_EXPOSED_IN_REPORT</x:v>
      </x:c>
      <x:c r="M213" s="19" t="str">
        <x:v>PRIORITY_RANK_29</x:v>
      </x:c>
      <x:c r="N213" s="31" t="str">
        <x:v>RECONSTRUCTED_FROM_REPORT</x:v>
      </x:c>
      <x:c r="O213" s="31" t="str">
        <x:v>UNRESOLVED</x:v>
      </x:c>
      <x:c r="P213" s="19" t="str">
        <x:v>Fear of Temperature_ Stratified Lexical Expansion, Voice Mapping, and Semantic-Relational Pre-Valida.pdf</x:v>
      </x:c>
      <x:c r="Q213" s="31" t="str">
        <x:v>RECONSTRUCTED_FROM_REPORT</x:v>
      </x:c>
      <x:c r="R213" s="46" t="str">
        <x:v>New surrogate project ID assigned from the compact report table; never an original later-stage structured candidate ID.</x:v>
      </x:c>
    </x:row>
    <x:row r="214" ht="32" customHeight="1">
      <x:c r="A214" s="18" t="str">
        <x:v>FT-SEED-R1B-P-1842-30</x:v>
      </x:c>
      <x:c r="B214" s="19" t="str">
        <x:v>PRIORITY_180</x:v>
      </x:c>
      <x:c r="C214" s="31" t="str">
        <x:v>NOT_EXPOSED_IN_REPORT</x:v>
      </x:c>
      <x:c r="D214" s="19" t="str">
        <x:v>7</x:v>
      </x:c>
      <x:c r="E214" s="19" t="str">
        <x:v>FT-A1842</x:v>
      </x:c>
      <x:c r="F214" s="31" t="str">
        <x:v>alarm to the public</x:v>
      </x:c>
      <x:c r="G214" s="19" t="str">
        <x:v>C</x:v>
      </x:c>
      <x:c r="H214" s="19" t="str">
        <x:v>V3</x:v>
      </x:c>
      <x:c r="I214" s="19" t="str">
        <x:v>S1842-TIMES</x:v>
      </x:c>
      <x:c r="J214" s="19" t="str">
        <x:v>NOT_EXPOSED_IN_REPORT</x:v>
      </x:c>
      <x:c r="K214" s="19" t="str">
        <x:v>PRIORITY_RANK=30;ORIGINAL_ROW_CONFIDENCE_NOT_EXPOSED</x:v>
      </x:c>
      <x:c r="L214" s="19" t="str">
        <x:v>NOT_EXPOSED_IN_REPORT</x:v>
      </x:c>
      <x:c r="M214" s="19" t="str">
        <x:v>PRIORITY_RANK_30</x:v>
      </x:c>
      <x:c r="N214" s="31" t="str">
        <x:v>RECONSTRUCTED_FROM_REPORT</x:v>
      </x:c>
      <x:c r="O214" s="31" t="str">
        <x:v>UNRESOLVED</x:v>
      </x:c>
      <x:c r="P214" s="19" t="str">
        <x:v>Fear of Temperature_ Stratified Lexical Expansion, Voice Mapping, and Semantic-Relational Pre-Valida.pdf</x:v>
      </x:c>
      <x:c r="Q214" s="31" t="str">
        <x:v>RECONSTRUCTED_FROM_REPORT</x:v>
      </x:c>
      <x:c r="R214" s="46" t="str">
        <x:v>New surrogate project ID assigned from the compact report table; never an original later-stage structured candidate ID.</x:v>
      </x:c>
    </x:row>
    <x:row r="215" ht="32" customHeight="1">
      <x:c r="A215" s="18" t="str">
        <x:v>FT-SEED-R1B-P-1938-01</x:v>
      </x:c>
      <x:c r="B215" s="19" t="str">
        <x:v>PRIORITY_180</x:v>
      </x:c>
      <x:c r="C215" s="31" t="str">
        <x:v>NOT_EXPOSED_IN_REPORT</x:v>
      </x:c>
      <x:c r="D215" s="19" t="str">
        <x:v>7</x:v>
      </x:c>
      <x:c r="E215" s="19" t="str">
        <x:v>FT-A1938</x:v>
      </x:c>
      <x:c r="F215" s="31" t="str">
        <x:v>artificial production of carbon dioxide</x:v>
      </x:c>
      <x:c r="G215" s="19" t="str">
        <x:v>B</x:v>
      </x:c>
      <x:c r="H215" s="19" t="str">
        <x:v>V1</x:v>
      </x:c>
      <x:c r="I215" s="19" t="str">
        <x:v>S1938-CALLENDAR</x:v>
      </x:c>
      <x:c r="J215" s="19" t="str">
        <x:v>NOT_EXPOSED_IN_REPORT</x:v>
      </x:c>
      <x:c r="K215" s="19" t="str">
        <x:v>PRIORITY_RANK=1;ORIGINAL_ROW_CONFIDENCE_NOT_EXPOSED</x:v>
      </x:c>
      <x:c r="L215" s="19" t="str">
        <x:v>NOT_EXPOSED_IN_REPORT</x:v>
      </x:c>
      <x:c r="M215" s="19" t="str">
        <x:v>PRIORITY_RANK_01</x:v>
      </x:c>
      <x:c r="N215" s="31" t="str">
        <x:v>RECONSTRUCTED_FROM_REPORT</x:v>
      </x:c>
      <x:c r="O215" s="31" t="str">
        <x:v>UNRESOLVED</x:v>
      </x:c>
      <x:c r="P215" s="19" t="str">
        <x:v>Fear of Temperature_ Stratified Lexical Expansion, Voice Mapping, and Semantic-Relational Pre-Valida.pdf</x:v>
      </x:c>
      <x:c r="Q215" s="31" t="str">
        <x:v>RECONSTRUCTED_FROM_REPORT</x:v>
      </x:c>
      <x:c r="R215" s="46" t="str">
        <x:v>New surrogate project ID assigned from the compact report table; never an original later-stage structured candidate ID.</x:v>
      </x:c>
    </x:row>
    <x:row r="216" ht="32" customHeight="1">
      <x:c r="A216" s="18" t="str">
        <x:v>FT-SEED-R1B-P-1938-02</x:v>
      </x:c>
      <x:c r="B216" s="19" t="str">
        <x:v>PRIORITY_180</x:v>
      </x:c>
      <x:c r="C216" s="31" t="str">
        <x:v>NOT_EXPOSED_IN_REPORT</x:v>
      </x:c>
      <x:c r="D216" s="19" t="str">
        <x:v>7</x:v>
      </x:c>
      <x:c r="E216" s="19" t="str">
        <x:v>FT-A1938</x:v>
      </x:c>
      <x:c r="F216" s="31" t="str">
        <x:v>carbon dioxide</x:v>
      </x:c>
      <x:c r="G216" s="19" t="str">
        <x:v>B</x:v>
      </x:c>
      <x:c r="H216" s="19" t="str">
        <x:v>V1</x:v>
      </x:c>
      <x:c r="I216" s="19" t="str">
        <x:v>S1938-CALLENDAR</x:v>
      </x:c>
      <x:c r="J216" s="19" t="str">
        <x:v>NOT_EXPOSED_IN_REPORT</x:v>
      </x:c>
      <x:c r="K216" s="19" t="str">
        <x:v>PRIORITY_RANK=2;ORIGINAL_ROW_CONFIDENCE_NOT_EXPOSED</x:v>
      </x:c>
      <x:c r="L216" s="19" t="str">
        <x:v>NOT_EXPOSED_IN_REPORT</x:v>
      </x:c>
      <x:c r="M216" s="19" t="str">
        <x:v>PRIORITY_RANK_02</x:v>
      </x:c>
      <x:c r="N216" s="31" t="str">
        <x:v>RECONSTRUCTED_FROM_REPORT</x:v>
      </x:c>
      <x:c r="O216" s="31" t="str">
        <x:v>UNRESOLVED</x:v>
      </x:c>
      <x:c r="P216" s="19" t="str">
        <x:v>Fear of Temperature_ Stratified Lexical Expansion, Voice Mapping, and Semantic-Relational Pre-Valida.pdf</x:v>
      </x:c>
      <x:c r="Q216" s="31" t="str">
        <x:v>RECONSTRUCTED_FROM_REPORT</x:v>
      </x:c>
      <x:c r="R216" s="46" t="str">
        <x:v>New surrogate project ID assigned from the compact report table; never an original later-stage structured candidate ID.</x:v>
      </x:c>
    </x:row>
    <x:row r="217" ht="32" customHeight="1">
      <x:c r="A217" s="18" t="str">
        <x:v>FT-SEED-R1B-P-1938-11</x:v>
      </x:c>
      <x:c r="B217" s="19" t="str">
        <x:v>PRIORITY_180</x:v>
      </x:c>
      <x:c r="C217" s="31" t="str">
        <x:v>NOT_EXPOSED_IN_REPORT</x:v>
      </x:c>
      <x:c r="D217" s="19" t="str">
        <x:v>7</x:v>
      </x:c>
      <x:c r="E217" s="19" t="str">
        <x:v>FT-A1938</x:v>
      </x:c>
      <x:c r="F217" s="31" t="str">
        <x:v>temperature observations</x:v>
      </x:c>
      <x:c r="G217" s="19" t="str">
        <x:v>A</x:v>
      </x:c>
      <x:c r="H217" s="19" t="str">
        <x:v>V1</x:v>
      </x:c>
      <x:c r="I217" s="19" t="str">
        <x:v>S1938-CALLENDAR</x:v>
      </x:c>
      <x:c r="J217" s="19" t="str">
        <x:v>NOT_EXPOSED_IN_REPORT</x:v>
      </x:c>
      <x:c r="K217" s="19" t="str">
        <x:v>PRIORITY_RANK=11;ORIGINAL_ROW_CONFIDENCE_NOT_EXPOSED</x:v>
      </x:c>
      <x:c r="L217" s="19" t="str">
        <x:v>NOT_EXPOSED_IN_REPORT</x:v>
      </x:c>
      <x:c r="M217" s="19" t="str">
        <x:v>PRIORITY_RANK_11</x:v>
      </x:c>
      <x:c r="N217" s="31" t="str">
        <x:v>RECONSTRUCTED_FROM_REPORT</x:v>
      </x:c>
      <x:c r="O217" s="31" t="str">
        <x:v>UNRESOLVED</x:v>
      </x:c>
      <x:c r="P217" s="19" t="str">
        <x:v>Fear of Temperature_ Stratified Lexical Expansion, Voice Mapping, and Semantic-Relational Pre-Valida.pdf</x:v>
      </x:c>
      <x:c r="Q217" s="31" t="str">
        <x:v>RECONSTRUCTED_FROM_REPORT</x:v>
      </x:c>
      <x:c r="R217" s="46" t="str">
        <x:v>New surrogate project ID assigned from the compact report table; never an original later-stage structured candidate ID.</x:v>
      </x:c>
    </x:row>
    <x:row r="218" ht="32" customHeight="1">
      <x:c r="A218" s="18" t="str">
        <x:v>FT-SEED-R1B-P-1938-12</x:v>
      </x:c>
      <x:c r="B218" s="19" t="str">
        <x:v>PRIORITY_180</x:v>
      </x:c>
      <x:c r="C218" s="31" t="str">
        <x:v>NOT_EXPOSED_IN_REPORT</x:v>
      </x:c>
      <x:c r="D218" s="19" t="str">
        <x:v>7</x:v>
      </x:c>
      <x:c r="E218" s="19" t="str">
        <x:v>FT-A1938</x:v>
      </x:c>
      <x:c r="F218" s="31" t="str">
        <x:v>meteorological stations</x:v>
      </x:c>
      <x:c r="G218" s="19" t="str">
        <x:v>B</x:v>
      </x:c>
      <x:c r="H218" s="19" t="str">
        <x:v>V1</x:v>
      </x:c>
      <x:c r="I218" s="19" t="str">
        <x:v>S1938-CALLENDAR</x:v>
      </x:c>
      <x:c r="J218" s="19" t="str">
        <x:v>NOT_EXPOSED_IN_REPORT</x:v>
      </x:c>
      <x:c r="K218" s="19" t="str">
        <x:v>PRIORITY_RANK=12;ORIGINAL_ROW_CONFIDENCE_NOT_EXPOSED</x:v>
      </x:c>
      <x:c r="L218" s="19" t="str">
        <x:v>NOT_EXPOSED_IN_REPORT</x:v>
      </x:c>
      <x:c r="M218" s="19" t="str">
        <x:v>PRIORITY_RANK_12</x:v>
      </x:c>
      <x:c r="N218" s="31" t="str">
        <x:v>RECONSTRUCTED_FROM_REPORT</x:v>
      </x:c>
      <x:c r="O218" s="31" t="str">
        <x:v>UNRESOLVED</x:v>
      </x:c>
      <x:c r="P218" s="19" t="str">
        <x:v>Fear of Temperature_ Stratified Lexical Expansion, Voice Mapping, and Semantic-Relational Pre-Valida.pdf</x:v>
      </x:c>
      <x:c r="Q218" s="31" t="str">
        <x:v>RECONSTRUCTED_FROM_REPORT</x:v>
      </x:c>
      <x:c r="R218" s="46" t="str">
        <x:v>New surrogate project ID assigned from the compact report table; never an original later-stage structured candidate ID.</x:v>
      </x:c>
    </x:row>
    <x:row r="219" ht="32" customHeight="1">
      <x:c r="A219" s="18" t="str">
        <x:v>FT-SEED-R1B-P-1938-21</x:v>
      </x:c>
      <x:c r="B219" s="19" t="str">
        <x:v>PRIORITY_180</x:v>
      </x:c>
      <x:c r="C219" s="31" t="str">
        <x:v>NOT_EXPOSED_IN_REPORT</x:v>
      </x:c>
      <x:c r="D219" s="19" t="str">
        <x:v>7</x:v>
      </x:c>
      <x:c r="E219" s="19" t="str">
        <x:v>FT-A1938</x:v>
      </x:c>
      <x:c r="F219" s="31" t="str">
        <x:v>heat wave</x:v>
      </x:c>
      <x:c r="G219" s="19" t="str">
        <x:v>A</x:v>
      </x:c>
      <x:c r="H219" s="19" t="str">
        <x:v>V3</x:v>
      </x:c>
      <x:c r="I219" s="19" t="str">
        <x:v>S1938-COURIER</x:v>
      </x:c>
      <x:c r="J219" s="19" t="str">
        <x:v>NOT_EXPOSED_IN_REPORT</x:v>
      </x:c>
      <x:c r="K219" s="19" t="str">
        <x:v>PRIORITY_RANK=21;ORIGINAL_ROW_CONFIDENCE_NOT_EXPOSED</x:v>
      </x:c>
      <x:c r="L219" s="19" t="str">
        <x:v>NOT_EXPOSED_IN_REPORT</x:v>
      </x:c>
      <x:c r="M219" s="19" t="str">
        <x:v>PRIORITY_RANK_21</x:v>
      </x:c>
      <x:c r="N219" s="31" t="str">
        <x:v>RECONSTRUCTED_FROM_REPORT</x:v>
      </x:c>
      <x:c r="O219" s="31" t="str">
        <x:v>UNRESOLVED</x:v>
      </x:c>
      <x:c r="P219" s="19" t="str">
        <x:v>Fear of Temperature_ Stratified Lexical Expansion, Voice Mapping, and Semantic-Relational Pre-Valida.pdf</x:v>
      </x:c>
      <x:c r="Q219" s="31" t="str">
        <x:v>RECONSTRUCTED_FROM_REPORT</x:v>
      </x:c>
      <x:c r="R219" s="46" t="str">
        <x:v>New surrogate project ID assigned from the compact report table; never an original later-stage structured candidate ID.</x:v>
      </x:c>
    </x:row>
    <x:row r="220" ht="32" customHeight="1">
      <x:c r="A220" s="18" t="str">
        <x:v>FT-SEED-R1B-P-1938-22</x:v>
      </x:c>
      <x:c r="B220" s="19" t="str">
        <x:v>PRIORITY_180</x:v>
      </x:c>
      <x:c r="C220" s="31" t="str">
        <x:v>NOT_EXPOSED_IN_REPORT</x:v>
      </x:c>
      <x:c r="D220" s="19" t="str">
        <x:v>7</x:v>
      </x:c>
      <x:c r="E220" s="19" t="str">
        <x:v>FT-A1938</x:v>
      </x:c>
      <x:c r="F220" s="31" t="str">
        <x:v>40-degree temperatures</x:v>
      </x:c>
      <x:c r="G220" s="19" t="str">
        <x:v>A</x:v>
      </x:c>
      <x:c r="H220" s="19" t="str">
        <x:v>V3</x:v>
      </x:c>
      <x:c r="I220" s="19" t="str">
        <x:v>S1938-COURIER</x:v>
      </x:c>
      <x:c r="J220" s="19" t="str">
        <x:v>NOT_EXPOSED_IN_REPORT</x:v>
      </x:c>
      <x:c r="K220" s="19" t="str">
        <x:v>PRIORITY_RANK=22;ORIGINAL_ROW_CONFIDENCE_NOT_EXPOSED</x:v>
      </x:c>
      <x:c r="L220" s="19" t="str">
        <x:v>NOT_EXPOSED_IN_REPORT</x:v>
      </x:c>
      <x:c r="M220" s="19" t="str">
        <x:v>PRIORITY_RANK_22</x:v>
      </x:c>
      <x:c r="N220" s="31" t="str">
        <x:v>RECONSTRUCTED_FROM_REPORT</x:v>
      </x:c>
      <x:c r="O220" s="31" t="str">
        <x:v>UNRESOLVED</x:v>
      </x:c>
      <x:c r="P220" s="19" t="str">
        <x:v>Fear of Temperature_ Stratified Lexical Expansion, Voice Mapping, and Semantic-Relational Pre-Valida.pdf</x:v>
      </x:c>
      <x:c r="Q220" s="31" t="str">
        <x:v>RECONSTRUCTED_FROM_REPORT</x:v>
      </x:c>
      <x:c r="R220" s="46" t="str">
        <x:v>New surrogate project ID assigned from the compact report table; never an original later-stage structured candidate ID.</x:v>
      </x:c>
    </x:row>
    <x:row r="221" ht="32" customHeight="1">
      <x:c r="A221" s="18" t="str">
        <x:v>FT-SEED-R1B-P-1938-03</x:v>
      </x:c>
      <x:c r="B221" s="19" t="str">
        <x:v>PRIORITY_180</x:v>
      </x:c>
      <x:c r="C221" s="31" t="str">
        <x:v>NOT_EXPOSED_IN_REPORT</x:v>
      </x:c>
      <x:c r="D221" s="19" t="str">
        <x:v>8</x:v>
      </x:c>
      <x:c r="E221" s="19" t="str">
        <x:v>FT-A1938</x:v>
      </x:c>
      <x:c r="F221" s="31" t="str">
        <x:v>fuel combustion</x:v>
      </x:c>
      <x:c r="G221" s="19" t="str">
        <x:v>B</x:v>
      </x:c>
      <x:c r="H221" s="19" t="str">
        <x:v>V1</x:v>
      </x:c>
      <x:c r="I221" s="19" t="str">
        <x:v>S1938-CALLENDAR</x:v>
      </x:c>
      <x:c r="J221" s="19" t="str">
        <x:v>NOT_EXPOSED_IN_REPORT</x:v>
      </x:c>
      <x:c r="K221" s="19" t="str">
        <x:v>PRIORITY_RANK=3;ORIGINAL_ROW_CONFIDENCE_NOT_EXPOSED</x:v>
      </x:c>
      <x:c r="L221" s="19" t="str">
        <x:v>NOT_EXPOSED_IN_REPORT</x:v>
      </x:c>
      <x:c r="M221" s="19" t="str">
        <x:v>PRIORITY_RANK_03</x:v>
      </x:c>
      <x:c r="N221" s="31" t="str">
        <x:v>RECONSTRUCTED_FROM_REPORT</x:v>
      </x:c>
      <x:c r="O221" s="31" t="str">
        <x:v>UNRESOLVED</x:v>
      </x:c>
      <x:c r="P221" s="19" t="str">
        <x:v>Fear of Temperature_ Stratified Lexical Expansion, Voice Mapping, and Semantic-Relational Pre-Valida.pdf</x:v>
      </x:c>
      <x:c r="Q221" s="31" t="str">
        <x:v>RECONSTRUCTED_FROM_REPORT</x:v>
      </x:c>
      <x:c r="R221" s="46" t="str">
        <x:v>New surrogate project ID assigned from the compact report table; never an original later-stage structured candidate ID.</x:v>
      </x:c>
    </x:row>
    <x:row r="222" ht="32" customHeight="1">
      <x:c r="A222" s="18" t="str">
        <x:v>FT-SEED-R1B-P-1938-04</x:v>
      </x:c>
      <x:c r="B222" s="19" t="str">
        <x:v>PRIORITY_180</x:v>
      </x:c>
      <x:c r="C222" s="31" t="str">
        <x:v>NOT_EXPOSED_IN_REPORT</x:v>
      </x:c>
      <x:c r="D222" s="19" t="str">
        <x:v>8</x:v>
      </x:c>
      <x:c r="E222" s="19" t="str">
        <x:v>FT-A1938</x:v>
      </x:c>
      <x:c r="F222" s="31" t="str">
        <x:v>air</x:v>
      </x:c>
      <x:c r="G222" s="19" t="str">
        <x:v>B</x:v>
      </x:c>
      <x:c r="H222" s="19" t="str">
        <x:v>V1</x:v>
      </x:c>
      <x:c r="I222" s="19" t="str">
        <x:v>S1938-CALLENDAR</x:v>
      </x:c>
      <x:c r="J222" s="19" t="str">
        <x:v>NOT_EXPOSED_IN_REPORT</x:v>
      </x:c>
      <x:c r="K222" s="19" t="str">
        <x:v>PRIORITY_RANK=4;ORIGINAL_ROW_CONFIDENCE_NOT_EXPOSED</x:v>
      </x:c>
      <x:c r="L222" s="19" t="str">
        <x:v>NOT_EXPOSED_IN_REPORT</x:v>
      </x:c>
      <x:c r="M222" s="19" t="str">
        <x:v>PRIORITY_RANK_04</x:v>
      </x:c>
      <x:c r="N222" s="31" t="str">
        <x:v>RECONSTRUCTED_FROM_REPORT</x:v>
      </x:c>
      <x:c r="O222" s="31" t="str">
        <x:v>UNRESOLVED</x:v>
      </x:c>
      <x:c r="P222" s="19" t="str">
        <x:v>Fear of Temperature_ Stratified Lexical Expansion, Voice Mapping, and Semantic-Relational Pre-Valida.pdf</x:v>
      </x:c>
      <x:c r="Q222" s="31" t="str">
        <x:v>RECONSTRUCTED_FROM_REPORT</x:v>
      </x:c>
      <x:c r="R222" s="46" t="str">
        <x:v>New surrogate project ID assigned from the compact report table; never an original later-stage structured candidate ID.</x:v>
      </x:c>
    </x:row>
    <x:row r="223" ht="32" customHeight="1">
      <x:c r="A223" s="18" t="str">
        <x:v>FT-SEED-R1B-P-1938-05</x:v>
      </x:c>
      <x:c r="B223" s="19" t="str">
        <x:v>PRIORITY_180</x:v>
      </x:c>
      <x:c r="C223" s="31" t="str">
        <x:v>NOT_EXPOSED_IN_REPORT</x:v>
      </x:c>
      <x:c r="D223" s="19" t="str">
        <x:v>8</x:v>
      </x:c>
      <x:c r="E223" s="19" t="str">
        <x:v>FT-A1938</x:v>
      </x:c>
      <x:c r="F223" s="31" t="str">
        <x:v>atmosphere</x:v>
      </x:c>
      <x:c r="G223" s="19" t="str">
        <x:v>B</x:v>
      </x:c>
      <x:c r="H223" s="19" t="str">
        <x:v>V1</x:v>
      </x:c>
      <x:c r="I223" s="19" t="str">
        <x:v>S1938-CALLENDAR</x:v>
      </x:c>
      <x:c r="J223" s="19" t="str">
        <x:v>NOT_EXPOSED_IN_REPORT</x:v>
      </x:c>
      <x:c r="K223" s="19" t="str">
        <x:v>PRIORITY_RANK=5;ORIGINAL_ROW_CONFIDENCE_NOT_EXPOSED</x:v>
      </x:c>
      <x:c r="L223" s="19" t="str">
        <x:v>NOT_EXPOSED_IN_REPORT</x:v>
      </x:c>
      <x:c r="M223" s="19" t="str">
        <x:v>PRIORITY_RANK_05</x:v>
      </x:c>
      <x:c r="N223" s="31" t="str">
        <x:v>RECONSTRUCTED_FROM_REPORT</x:v>
      </x:c>
      <x:c r="O223" s="31" t="str">
        <x:v>UNRESOLVED</x:v>
      </x:c>
      <x:c r="P223" s="19" t="str">
        <x:v>Fear of Temperature_ Stratified Lexical Expansion, Voice Mapping, and Semantic-Relational Pre-Valida.pdf</x:v>
      </x:c>
      <x:c r="Q223" s="31" t="str">
        <x:v>RECONSTRUCTED_FROM_REPORT</x:v>
      </x:c>
      <x:c r="R223" s="46" t="str">
        <x:v>New surrogate project ID assigned from the compact report table; never an original later-stage structured candidate ID.</x:v>
      </x:c>
    </x:row>
    <x:row r="224" ht="32" customHeight="1">
      <x:c r="A224" s="18" t="str">
        <x:v>FT-SEED-R1B-P-1938-06</x:v>
      </x:c>
      <x:c r="B224" s="19" t="str">
        <x:v>PRIORITY_180</x:v>
      </x:c>
      <x:c r="C224" s="31" t="str">
        <x:v>NOT_EXPOSED_IN_REPORT</x:v>
      </x:c>
      <x:c r="D224" s="19" t="str">
        <x:v>8</x:v>
      </x:c>
      <x:c r="E224" s="19" t="str">
        <x:v>FT-A1938</x:v>
      </x:c>
      <x:c r="F224" s="31" t="str">
        <x:v>radiation absorption coefficients</x:v>
      </x:c>
      <x:c r="G224" s="19" t="str">
        <x:v>B</x:v>
      </x:c>
      <x:c r="H224" s="19" t="str">
        <x:v>V1</x:v>
      </x:c>
      <x:c r="I224" s="19" t="str">
        <x:v>S1938-CALLENDAR</x:v>
      </x:c>
      <x:c r="J224" s="19" t="str">
        <x:v>NOT_EXPOSED_IN_REPORT</x:v>
      </x:c>
      <x:c r="K224" s="19" t="str">
        <x:v>PRIORITY_RANK=6;ORIGINAL_ROW_CONFIDENCE_NOT_EXPOSED</x:v>
      </x:c>
      <x:c r="L224" s="19" t="str">
        <x:v>NOT_EXPOSED_IN_REPORT</x:v>
      </x:c>
      <x:c r="M224" s="19" t="str">
        <x:v>PRIORITY_RANK_06</x:v>
      </x:c>
      <x:c r="N224" s="31" t="str">
        <x:v>RECONSTRUCTED_FROM_REPORT</x:v>
      </x:c>
      <x:c r="O224" s="31" t="str">
        <x:v>UNRESOLVED</x:v>
      </x:c>
      <x:c r="P224" s="19" t="str">
        <x:v>Fear of Temperature_ Stratified Lexical Expansion, Voice Mapping, and Semantic-Relational Pre-Valida.pdf</x:v>
      </x:c>
      <x:c r="Q224" s="31" t="str">
        <x:v>RECONSTRUCTED_FROM_REPORT</x:v>
      </x:c>
      <x:c r="R224" s="46" t="str">
        <x:v>New surrogate project ID assigned from the compact report table; never an original later-stage structured candidate ID.</x:v>
      </x:c>
    </x:row>
    <x:row r="225" ht="32" customHeight="1">
      <x:c r="A225" s="18" t="str">
        <x:v>FT-SEED-R1B-P-1938-07</x:v>
      </x:c>
      <x:c r="B225" s="19" t="str">
        <x:v>PRIORITY_180</x:v>
      </x:c>
      <x:c r="C225" s="31" t="str">
        <x:v>NOT_EXPOSED_IN_REPORT</x:v>
      </x:c>
      <x:c r="D225" s="19" t="str">
        <x:v>8</x:v>
      </x:c>
      <x:c r="E225" s="19" t="str">
        <x:v>FT-A1938</x:v>
      </x:c>
      <x:c r="F225" s="31" t="str">
        <x:v>water vapour</x:v>
      </x:c>
      <x:c r="G225" s="19" t="str">
        <x:v>B</x:v>
      </x:c>
      <x:c r="H225" s="19" t="str">
        <x:v>V1</x:v>
      </x:c>
      <x:c r="I225" s="19" t="str">
        <x:v>S1938-CALLENDAR</x:v>
      </x:c>
      <x:c r="J225" s="19" t="str">
        <x:v>NOT_EXPOSED_IN_REPORT</x:v>
      </x:c>
      <x:c r="K225" s="19" t="str">
        <x:v>PRIORITY_RANK=7;ORIGINAL_ROW_CONFIDENCE_NOT_EXPOSED</x:v>
      </x:c>
      <x:c r="L225" s="19" t="str">
        <x:v>NOT_EXPOSED_IN_REPORT</x:v>
      </x:c>
      <x:c r="M225" s="19" t="str">
        <x:v>PRIORITY_RANK_07</x:v>
      </x:c>
      <x:c r="N225" s="31" t="str">
        <x:v>RECONSTRUCTED_FROM_REPORT</x:v>
      </x:c>
      <x:c r="O225" s="31" t="str">
        <x:v>UNRESOLVED</x:v>
      </x:c>
      <x:c r="P225" s="19" t="str">
        <x:v>Fear of Temperature_ Stratified Lexical Expansion, Voice Mapping, and Semantic-Relational Pre-Valida.pdf</x:v>
      </x:c>
      <x:c r="Q225" s="31" t="str">
        <x:v>RECONSTRUCTED_FROM_REPORT</x:v>
      </x:c>
      <x:c r="R225" s="46" t="str">
        <x:v>New surrogate project ID assigned from the compact report table; never an original later-stage structured candidate ID.</x:v>
      </x:c>
    </x:row>
    <x:row r="226" ht="32" customHeight="1">
      <x:c r="A226" s="18" t="str">
        <x:v>FT-SEED-R1B-P-1938-08</x:v>
      </x:c>
      <x:c r="B226" s="19" t="str">
        <x:v>PRIORITY_180</x:v>
      </x:c>
      <x:c r="C226" s="31" t="str">
        <x:v>NOT_EXPOSED_IN_REPORT</x:v>
      </x:c>
      <x:c r="D226" s="19" t="str">
        <x:v>8</x:v>
      </x:c>
      <x:c r="E226" s="19" t="str">
        <x:v>FT-A1938</x:v>
      </x:c>
      <x:c r="F226" s="31" t="str">
        <x:v>sky radiation</x:v>
      </x:c>
      <x:c r="G226" s="19" t="str">
        <x:v>B</x:v>
      </x:c>
      <x:c r="H226" s="19" t="str">
        <x:v>V1</x:v>
      </x:c>
      <x:c r="I226" s="19" t="str">
        <x:v>S1938-CALLENDAR</x:v>
      </x:c>
      <x:c r="J226" s="19" t="str">
        <x:v>NOT_EXPOSED_IN_REPORT</x:v>
      </x:c>
      <x:c r="K226" s="19" t="str">
        <x:v>PRIORITY_RANK=8;ORIGINAL_ROW_CONFIDENCE_NOT_EXPOSED</x:v>
      </x:c>
      <x:c r="L226" s="19" t="str">
        <x:v>NOT_EXPOSED_IN_REPORT</x:v>
      </x:c>
      <x:c r="M226" s="19" t="str">
        <x:v>PRIORITY_RANK_08</x:v>
      </x:c>
      <x:c r="N226" s="31" t="str">
        <x:v>RECONSTRUCTED_FROM_REPORT</x:v>
      </x:c>
      <x:c r="O226" s="31" t="str">
        <x:v>UNRESOLVED</x:v>
      </x:c>
      <x:c r="P226" s="19" t="str">
        <x:v>Fear of Temperature_ Stratified Lexical Expansion, Voice Mapping, and Semantic-Relational Pre-Valida.pdf</x:v>
      </x:c>
      <x:c r="Q226" s="31" t="str">
        <x:v>RECONSTRUCTED_FROM_REPORT</x:v>
      </x:c>
      <x:c r="R226" s="46" t="str">
        <x:v>New surrogate project ID assigned from the compact report table; never an original later-stage structured candidate ID.</x:v>
      </x:c>
    </x:row>
    <x:row r="227" ht="32" customHeight="1">
      <x:c r="A227" s="18" t="str">
        <x:v>FT-SEED-R1B-P-1938-09</x:v>
      </x:c>
      <x:c r="B227" s="19" t="str">
        <x:v>PRIORITY_180</x:v>
      </x:c>
      <x:c r="C227" s="31" t="str">
        <x:v>NOT_EXPOSED_IN_REPORT</x:v>
      </x:c>
      <x:c r="D227" s="19" t="str">
        <x:v>8</x:v>
      </x:c>
      <x:c r="E227" s="19" t="str">
        <x:v>FT-A1938</x:v>
      </x:c>
      <x:c r="F227" s="31" t="str">
        <x:v>increase in mean temperature</x:v>
      </x:c>
      <x:c r="G227" s="19" t="str">
        <x:v>A</x:v>
      </x:c>
      <x:c r="H227" s="19" t="str">
        <x:v>V1</x:v>
      </x:c>
      <x:c r="I227" s="19" t="str">
        <x:v>S1938-CALLENDAR</x:v>
      </x:c>
      <x:c r="J227" s="19" t="str">
        <x:v>NOT_EXPOSED_IN_REPORT</x:v>
      </x:c>
      <x:c r="K227" s="19" t="str">
        <x:v>PRIORITY_RANK=9;ORIGINAL_ROW_CONFIDENCE_NOT_EXPOSED</x:v>
      </x:c>
      <x:c r="L227" s="19" t="str">
        <x:v>NOT_EXPOSED_IN_REPORT</x:v>
      </x:c>
      <x:c r="M227" s="19" t="str">
        <x:v>PRIORITY_RANK_09</x:v>
      </x:c>
      <x:c r="N227" s="31" t="str">
        <x:v>RECONSTRUCTED_FROM_REPORT</x:v>
      </x:c>
      <x:c r="O227" s="31" t="str">
        <x:v>UNRESOLVED</x:v>
      </x:c>
      <x:c r="P227" s="19" t="str">
        <x:v>Fear of Temperature_ Stratified Lexical Expansion, Voice Mapping, and Semantic-Relational Pre-Valida.pdf</x:v>
      </x:c>
      <x:c r="Q227" s="31" t="str">
        <x:v>RECONSTRUCTED_FROM_REPORT</x:v>
      </x:c>
      <x:c r="R227" s="46" t="str">
        <x:v>New surrogate project ID assigned from the compact report table; never an original later-stage structured candidate ID.</x:v>
      </x:c>
    </x:row>
    <x:row r="228" ht="32" customHeight="1">
      <x:c r="A228" s="18" t="str">
        <x:v>FT-SEED-R1B-P-1938-10</x:v>
      </x:c>
      <x:c r="B228" s="19" t="str">
        <x:v>PRIORITY_180</x:v>
      </x:c>
      <x:c r="C228" s="31" t="str">
        <x:v>NOT_EXPOSED_IN_REPORT</x:v>
      </x:c>
      <x:c r="D228" s="19" t="str">
        <x:v>8</x:v>
      </x:c>
      <x:c r="E228" s="19" t="str">
        <x:v>FT-A1938</x:v>
      </x:c>
      <x:c r="F228" s="31" t="str">
        <x:v>mean temperature</x:v>
      </x:c>
      <x:c r="G228" s="19" t="str">
        <x:v>A</x:v>
      </x:c>
      <x:c r="H228" s="19" t="str">
        <x:v>V1</x:v>
      </x:c>
      <x:c r="I228" s="19" t="str">
        <x:v>S1938-CALLENDAR</x:v>
      </x:c>
      <x:c r="J228" s="19" t="str">
        <x:v>NOT_EXPOSED_IN_REPORT</x:v>
      </x:c>
      <x:c r="K228" s="19" t="str">
        <x:v>PRIORITY_RANK=10;ORIGINAL_ROW_CONFIDENCE_NOT_EXPOSED</x:v>
      </x:c>
      <x:c r="L228" s="19" t="str">
        <x:v>NOT_EXPOSED_IN_REPORT</x:v>
      </x:c>
      <x:c r="M228" s="19" t="str">
        <x:v>PRIORITY_RANK_10</x:v>
      </x:c>
      <x:c r="N228" s="31" t="str">
        <x:v>RECONSTRUCTED_FROM_REPORT</x:v>
      </x:c>
      <x:c r="O228" s="31" t="str">
        <x:v>UNRESOLVED</x:v>
      </x:c>
      <x:c r="P228" s="19" t="str">
        <x:v>Fear of Temperature_ Stratified Lexical Expansion, Voice Mapping, and Semantic-Relational Pre-Valida.pdf</x:v>
      </x:c>
      <x:c r="Q228" s="31" t="str">
        <x:v>RECONSTRUCTED_FROM_REPORT</x:v>
      </x:c>
      <x:c r="R228" s="46" t="str">
        <x:v>New surrogate project ID assigned from the compact report table; never an original later-stage structured candidate ID.</x:v>
      </x:c>
    </x:row>
    <x:row r="229" ht="32" customHeight="1">
      <x:c r="A229" s="18" t="str">
        <x:v>FT-SEED-R1B-P-1938-13</x:v>
      </x:c>
      <x:c r="B229" s="19" t="str">
        <x:v>PRIORITY_180</x:v>
      </x:c>
      <x:c r="C229" s="31" t="str">
        <x:v>NOT_EXPOSED_IN_REPORT</x:v>
      </x:c>
      <x:c r="D229" s="19" t="str">
        <x:v>8</x:v>
      </x:c>
      <x:c r="E229" s="19" t="str">
        <x:v>FT-A1938</x:v>
      </x:c>
      <x:c r="F229" s="31" t="str">
        <x:v>world temperatures</x:v>
      </x:c>
      <x:c r="G229" s="19" t="str">
        <x:v>A</x:v>
      </x:c>
      <x:c r="H229" s="19" t="str">
        <x:v>V1</x:v>
      </x:c>
      <x:c r="I229" s="19" t="str">
        <x:v>S1938-CALLENDAR</x:v>
      </x:c>
      <x:c r="J229" s="19" t="str">
        <x:v>NOT_EXPOSED_IN_REPORT</x:v>
      </x:c>
      <x:c r="K229" s="19" t="str">
        <x:v>PRIORITY_RANK=13;ORIGINAL_ROW_CONFIDENCE_NOT_EXPOSED</x:v>
      </x:c>
      <x:c r="L229" s="19" t="str">
        <x:v>NOT_EXPOSED_IN_REPORT</x:v>
      </x:c>
      <x:c r="M229" s="19" t="str">
        <x:v>PRIORITY_RANK_13</x:v>
      </x:c>
      <x:c r="N229" s="31" t="str">
        <x:v>RECONSTRUCTED_FROM_REPORT</x:v>
      </x:c>
      <x:c r="O229" s="31" t="str">
        <x:v>UNRESOLVED</x:v>
      </x:c>
      <x:c r="P229" s="19" t="str">
        <x:v>Fear of Temperature_ Stratified Lexical Expansion, Voice Mapping, and Semantic-Relational Pre-Valida.pdf</x:v>
      </x:c>
      <x:c r="Q229" s="31" t="str">
        <x:v>RECONSTRUCTED_FROM_REPORT</x:v>
      </x:c>
      <x:c r="R229" s="46" t="str">
        <x:v>New surrogate project ID assigned from the compact report table; never an original later-stage structured candidate ID.</x:v>
      </x:c>
    </x:row>
    <x:row r="230" ht="32" customHeight="1">
      <x:c r="A230" s="18" t="str">
        <x:v>FT-SEED-R1B-P-1938-14</x:v>
      </x:c>
      <x:c r="B230" s="19" t="str">
        <x:v>PRIORITY_180</x:v>
      </x:c>
      <x:c r="C230" s="31" t="str">
        <x:v>NOT_EXPOSED_IN_REPORT</x:v>
      </x:c>
      <x:c r="D230" s="19" t="str">
        <x:v>8</x:v>
      </x:c>
      <x:c r="E230" s="19" t="str">
        <x:v>FT-A1938</x:v>
      </x:c>
      <x:c r="F230" s="31" t="str">
        <x:v>actually increased</x:v>
      </x:c>
      <x:c r="G230" s="19" t="str">
        <x:v>A</x:v>
      </x:c>
      <x:c r="H230" s="19" t="str">
        <x:v>V1</x:v>
      </x:c>
      <x:c r="I230" s="19" t="str">
        <x:v>S1938-CALLENDAR</x:v>
      </x:c>
      <x:c r="J230" s="19" t="str">
        <x:v>NOT_EXPOSED_IN_REPORT</x:v>
      </x:c>
      <x:c r="K230" s="19" t="str">
        <x:v>PRIORITY_RANK=14;ORIGINAL_ROW_CONFIDENCE_NOT_EXPOSED</x:v>
      </x:c>
      <x:c r="L230" s="19" t="str">
        <x:v>NOT_EXPOSED_IN_REPORT</x:v>
      </x:c>
      <x:c r="M230" s="19" t="str">
        <x:v>PRIORITY_RANK_14</x:v>
      </x:c>
      <x:c r="N230" s="31" t="str">
        <x:v>RECONSTRUCTED_FROM_REPORT</x:v>
      </x:c>
      <x:c r="O230" s="31" t="str">
        <x:v>UNRESOLVED</x:v>
      </x:c>
      <x:c r="P230" s="19" t="str">
        <x:v>Fear of Temperature_ Stratified Lexical Expansion, Voice Mapping, and Semantic-Relational Pre-Valida.pdf</x:v>
      </x:c>
      <x:c r="Q230" s="31" t="str">
        <x:v>RECONSTRUCTED_FROM_REPORT</x:v>
      </x:c>
      <x:c r="R230" s="46" t="str">
        <x:v>New surrogate project ID assigned from the compact report table; never an original later-stage structured candidate ID.</x:v>
      </x:c>
    </x:row>
    <x:row r="231" ht="32" customHeight="1">
      <x:c r="A231" s="18" t="str">
        <x:v>FT-SEED-R1B-P-1938-15</x:v>
      </x:c>
      <x:c r="B231" s="19" t="str">
        <x:v>PRIORITY_180</x:v>
      </x:c>
      <x:c r="C231" s="31" t="str">
        <x:v>NOT_EXPOSED_IN_REPORT</x:v>
      </x:c>
      <x:c r="D231" s="19" t="str">
        <x:v>8</x:v>
      </x:c>
      <x:c r="E231" s="19" t="str">
        <x:v>FT-A1938</x:v>
      </x:c>
      <x:c r="F231" s="31" t="str">
        <x:v>average rate</x:v>
      </x:c>
      <x:c r="G231" s="19" t="str">
        <x:v>A</x:v>
      </x:c>
      <x:c r="H231" s="19" t="str">
        <x:v>V1</x:v>
      </x:c>
      <x:c r="I231" s="19" t="str">
        <x:v>S1938-CALLENDAR</x:v>
      </x:c>
      <x:c r="J231" s="19" t="str">
        <x:v>NOT_EXPOSED_IN_REPORT</x:v>
      </x:c>
      <x:c r="K231" s="19" t="str">
        <x:v>PRIORITY_RANK=15;ORIGINAL_ROW_CONFIDENCE_NOT_EXPOSED</x:v>
      </x:c>
      <x:c r="L231" s="19" t="str">
        <x:v>NOT_EXPOSED_IN_REPORT</x:v>
      </x:c>
      <x:c r="M231" s="19" t="str">
        <x:v>PRIORITY_RANK_15</x:v>
      </x:c>
      <x:c r="N231" s="31" t="str">
        <x:v>RECONSTRUCTED_FROM_REPORT</x:v>
      </x:c>
      <x:c r="O231" s="31" t="str">
        <x:v>UNRESOLVED</x:v>
      </x:c>
      <x:c r="P231" s="19" t="str">
        <x:v>Fear of Temperature_ Stratified Lexical Expansion, Voice Mapping, and Semantic-Relational Pre-Valida.pdf</x:v>
      </x:c>
      <x:c r="Q231" s="31" t="str">
        <x:v>RECONSTRUCTED_FROM_REPORT</x:v>
      </x:c>
      <x:c r="R231" s="46" t="str">
        <x:v>New surrogate project ID assigned from the compact report table; never an original later-stage structured candidate ID.</x:v>
      </x:c>
    </x:row>
    <x:row r="232" ht="32" customHeight="1">
      <x:c r="A232" s="18" t="str">
        <x:v>FT-SEED-R1B-P-1938-16</x:v>
      </x:c>
      <x:c r="B232" s="19" t="str">
        <x:v>PRIORITY_180</x:v>
      </x:c>
      <x:c r="C232" s="31" t="str">
        <x:v>NOT_EXPOSED_IN_REPORT</x:v>
      </x:c>
      <x:c r="D232" s="19" t="str">
        <x:v>8</x:v>
      </x:c>
      <x:c r="E232" s="19" t="str">
        <x:v>FT-A1938</x:v>
      </x:c>
      <x:c r="F232" s="31" t="str">
        <x:v>small increases in mean temperature</x:v>
      </x:c>
      <x:c r="G232" s="19" t="str">
        <x:v>A</x:v>
      </x:c>
      <x:c r="H232" s="19" t="str">
        <x:v>V1</x:v>
      </x:c>
      <x:c r="I232" s="19" t="str">
        <x:v>S1938-WIRED-CALLENDAR</x:v>
      </x:c>
      <x:c r="J232" s="19" t="str">
        <x:v>NOT_EXPOSED_IN_REPORT</x:v>
      </x:c>
      <x:c r="K232" s="19" t="str">
        <x:v>PRIORITY_RANK=16;ORIGINAL_ROW_CONFIDENCE_NOT_EXPOSED</x:v>
      </x:c>
      <x:c r="L232" s="19" t="str">
        <x:v>NOT_EXPOSED_IN_REPORT</x:v>
      </x:c>
      <x:c r="M232" s="19" t="str">
        <x:v>PRIORITY_RANK_16</x:v>
      </x:c>
      <x:c r="N232" s="31" t="str">
        <x:v>RECONSTRUCTED_FROM_REPORT</x:v>
      </x:c>
      <x:c r="O232" s="31" t="str">
        <x:v>UNRESOLVED</x:v>
      </x:c>
      <x:c r="P232" s="19" t="str">
        <x:v>Fear of Temperature_ Stratified Lexical Expansion, Voice Mapping, and Semantic-Relational Pre-Valida.pdf</x:v>
      </x:c>
      <x:c r="Q232" s="31" t="str">
        <x:v>RECONSTRUCTED_FROM_REPORT</x:v>
      </x:c>
      <x:c r="R232" s="46" t="str">
        <x:v>New surrogate project ID assigned from the compact report table; never an original later-stage structured candidate ID.</x:v>
      </x:c>
    </x:row>
    <x:row r="233" ht="32" customHeight="1">
      <x:c r="A233" s="18" t="str">
        <x:v>FT-SEED-R1B-P-1938-17</x:v>
      </x:c>
      <x:c r="B233" s="19" t="str">
        <x:v>PRIORITY_180</x:v>
      </x:c>
      <x:c r="C233" s="31" t="str">
        <x:v>NOT_EXPOSED_IN_REPORT</x:v>
      </x:c>
      <x:c r="D233" s="19" t="str">
        <x:v>8</x:v>
      </x:c>
      <x:c r="E233" s="19" t="str">
        <x:v>FT-A1938</x:v>
      </x:c>
      <x:c r="F233" s="31" t="str">
        <x:v>deadly glaciers</x:v>
      </x:c>
      <x:c r="G233" s="19" t="str">
        <x:v>D</x:v>
      </x:c>
      <x:c r="H233" s="19" t="str">
        <x:v>V1</x:v>
      </x:c>
      <x:c r="I233" s="19" t="str">
        <x:v>S1938-WIRED-CALLENDAR</x:v>
      </x:c>
      <x:c r="J233" s="19" t="str">
        <x:v>NOT_EXPOSED_IN_REPORT</x:v>
      </x:c>
      <x:c r="K233" s="19" t="str">
        <x:v>PRIORITY_RANK=17;ORIGINAL_ROW_CONFIDENCE_NOT_EXPOSED</x:v>
      </x:c>
      <x:c r="L233" s="19" t="str">
        <x:v>NOT_EXPOSED_IN_REPORT</x:v>
      </x:c>
      <x:c r="M233" s="19" t="str">
        <x:v>PRIORITY_RANK_17</x:v>
      </x:c>
      <x:c r="N233" s="31" t="str">
        <x:v>RECONSTRUCTED_FROM_REPORT</x:v>
      </x:c>
      <x:c r="O233" s="31" t="str">
        <x:v>UNRESOLVED</x:v>
      </x:c>
      <x:c r="P233" s="19" t="str">
        <x:v>Fear of Temperature_ Stratified Lexical Expansion, Voice Mapping, and Semantic-Relational Pre-Valida.pdf</x:v>
      </x:c>
      <x:c r="Q233" s="31" t="str">
        <x:v>RECONSTRUCTED_FROM_REPORT</x:v>
      </x:c>
      <x:c r="R233" s="46" t="str">
        <x:v>New surrogate project ID assigned from the compact report table; never an original later-stage structured candidate ID.</x:v>
      </x:c>
    </x:row>
    <x:row r="234" ht="32" customHeight="1">
      <x:c r="A234" s="18" t="str">
        <x:v>FT-SEED-R1B-P-1938-18</x:v>
      </x:c>
      <x:c r="B234" s="19" t="str">
        <x:v>PRIORITY_180</x:v>
      </x:c>
      <x:c r="C234" s="31" t="str">
        <x:v>NOT_EXPOSED_IN_REPORT</x:v>
      </x:c>
      <x:c r="D234" s="19" t="str">
        <x:v>8</x:v>
      </x:c>
      <x:c r="E234" s="19" t="str">
        <x:v>FT-A1938</x:v>
      </x:c>
      <x:c r="F234" s="31" t="str">
        <x:v>rather a coincidence</x:v>
      </x:c>
      <x:c r="G234" s="19" t="str">
        <x:v>C</x:v>
      </x:c>
      <x:c r="H234" s="19" t="str">
        <x:v>V1</x:v>
      </x:c>
      <x:c r="I234" s="19" t="str">
        <x:v>S1938-SHI-RECEPTION</x:v>
      </x:c>
      <x:c r="J234" s="19" t="str">
        <x:v>E2</x:v>
      </x:c>
      <x:c r="K234" s="19" t="str">
        <x:v>PRIORITY_RANK=18;ORIGINAL_ROW_CONFIDENCE_NOT_EXPOSED</x:v>
      </x:c>
      <x:c r="L234" s="19" t="str">
        <x:v>NOT_EXPOSED_IN_REPORT</x:v>
      </x:c>
      <x:c r="M234" s="19" t="str">
        <x:v>PRIORITY_RANK_18</x:v>
      </x:c>
      <x:c r="N234" s="31" t="str">
        <x:v>RECONSTRUCTED_FROM_REPORT</x:v>
      </x:c>
      <x:c r="O234" s="31" t="str">
        <x:v>UNRESOLVED</x:v>
      </x:c>
      <x:c r="P234" s="19" t="str">
        <x:v>Fear of Temperature_ Stratified Lexical Expansion, Voice Mapping, and Semantic-Relational Pre-Valida.pdf</x:v>
      </x:c>
      <x:c r="Q234" s="31" t="str">
        <x:v>RECONSTRUCTED_FROM_REPORT</x:v>
      </x:c>
      <x:c r="R234" s="46" t="str">
        <x:v>New surrogate project ID assigned from the compact report table; never an original later-stage structured candidate ID.</x:v>
      </x:c>
    </x:row>
    <x:row r="235" ht="32" customHeight="1">
      <x:c r="A235" s="18" t="str">
        <x:v>FT-SEED-R1B-P-1938-19</x:v>
      </x:c>
      <x:c r="B235" s="19" t="str">
        <x:v>PRIORITY_180</x:v>
      </x:c>
      <x:c r="C235" s="31" t="str">
        <x:v>NOT_EXPOSED_IN_REPORT</x:v>
      </x:c>
      <x:c r="D235" s="19" t="str">
        <x:v>8</x:v>
      </x:c>
      <x:c r="E235" s="19" t="str">
        <x:v>FT-A1938</x:v>
      </x:c>
      <x:c r="F235" s="31" t="str">
        <x:v>Hottest Day for Ten Years</x:v>
      </x:c>
      <x:c r="G235" s="19" t="str">
        <x:v>A</x:v>
      </x:c>
      <x:c r="H235" s="19" t="str">
        <x:v>V3</x:v>
      </x:c>
      <x:c r="I235" s="19" t="str">
        <x:v>S1938-COURIER</x:v>
      </x:c>
      <x:c r="J235" s="19" t="str">
        <x:v>NOT_EXPOSED_IN_REPORT</x:v>
      </x:c>
      <x:c r="K235" s="19" t="str">
        <x:v>PRIORITY_RANK=19;ORIGINAL_ROW_CONFIDENCE_NOT_EXPOSED</x:v>
      </x:c>
      <x:c r="L235" s="19" t="str">
        <x:v>NOT_EXPOSED_IN_REPORT</x:v>
      </x:c>
      <x:c r="M235" s="19" t="str">
        <x:v>PRIORITY_RANK_19</x:v>
      </x:c>
      <x:c r="N235" s="31" t="str">
        <x:v>RECONSTRUCTED_FROM_REPORT</x:v>
      </x:c>
      <x:c r="O235" s="31" t="str">
        <x:v>UNRESOLVED</x:v>
      </x:c>
      <x:c r="P235" s="19" t="str">
        <x:v>Fear of Temperature_ Stratified Lexical Expansion, Voice Mapping, and Semantic-Relational Pre-Valida.pdf</x:v>
      </x:c>
      <x:c r="Q235" s="31" t="str">
        <x:v>RECONSTRUCTED_FROM_REPORT</x:v>
      </x:c>
      <x:c r="R235" s="46" t="str">
        <x:v>New surrogate project ID assigned from the compact report table; never an original later-stage structured candidate ID.</x:v>
      </x:c>
    </x:row>
    <x:row r="236" ht="32" customHeight="1">
      <x:c r="A236" s="18" t="str">
        <x:v>FT-SEED-R1B-P-1938-20</x:v>
      </x:c>
      <x:c r="B236" s="19" t="str">
        <x:v>PRIORITY_180</x:v>
      </x:c>
      <x:c r="C236" s="31" t="str">
        <x:v>NOT_EXPOSED_IN_REPORT</x:v>
      </x:c>
      <x:c r="D236" s="19" t="str">
        <x:v>8</x:v>
      </x:c>
      <x:c r="E236" s="19" t="str">
        <x:v>FT-A1938</x:v>
      </x:c>
      <x:c r="F236" s="31" t="str">
        <x:v>Heat Wave Over Queensland</x:v>
      </x:c>
      <x:c r="G236" s="19" t="str">
        <x:v>A</x:v>
      </x:c>
      <x:c r="H236" s="19" t="str">
        <x:v>V3</x:v>
      </x:c>
      <x:c r="I236" s="19" t="str">
        <x:v>S1938-COURIER</x:v>
      </x:c>
      <x:c r="J236" s="19" t="str">
        <x:v>NOT_EXPOSED_IN_REPORT</x:v>
      </x:c>
      <x:c r="K236" s="19" t="str">
        <x:v>PRIORITY_RANK=20;ORIGINAL_ROW_CONFIDENCE_NOT_EXPOSED</x:v>
      </x:c>
      <x:c r="L236" s="19" t="str">
        <x:v>NOT_EXPOSED_IN_REPORT</x:v>
      </x:c>
      <x:c r="M236" s="19" t="str">
        <x:v>PRIORITY_RANK_20</x:v>
      </x:c>
      <x:c r="N236" s="31" t="str">
        <x:v>RECONSTRUCTED_FROM_REPORT</x:v>
      </x:c>
      <x:c r="O236" s="31" t="str">
        <x:v>UNRESOLVED</x:v>
      </x:c>
      <x:c r="P236" s="19" t="str">
        <x:v>Fear of Temperature_ Stratified Lexical Expansion, Voice Mapping, and Semantic-Relational Pre-Valida.pdf</x:v>
      </x:c>
      <x:c r="Q236" s="31" t="str">
        <x:v>RECONSTRUCTED_FROM_REPORT</x:v>
      </x:c>
      <x:c r="R236" s="46" t="str">
        <x:v>New surrogate project ID assigned from the compact report table; never an original later-stage structured candidate ID.</x:v>
      </x:c>
    </x:row>
    <x:row r="237" ht="32" customHeight="1">
      <x:c r="A237" s="18" t="str">
        <x:v>FT-SEED-R1B-P-1938-23</x:v>
      </x:c>
      <x:c r="B237" s="19" t="str">
        <x:v>PRIORITY_180</x:v>
      </x:c>
      <x:c r="C237" s="31" t="str">
        <x:v>NOT_EXPOSED_IN_REPORT</x:v>
      </x:c>
      <x:c r="D237" s="19" t="str">
        <x:v>8</x:v>
      </x:c>
      <x:c r="E237" s="19" t="str">
        <x:v>FT-A1938</x:v>
      </x:c>
      <x:c r="F237" s="31" t="str">
        <x:v>scorching westerly wind</x:v>
      </x:c>
      <x:c r="G237" s="19" t="str">
        <x:v>D</x:v>
      </x:c>
      <x:c r="H237" s="19" t="str">
        <x:v>V3</x:v>
      </x:c>
      <x:c r="I237" s="19" t="str">
        <x:v>S1938-COURIER</x:v>
      </x:c>
      <x:c r="J237" s="19" t="str">
        <x:v>NOT_EXPOSED_IN_REPORT</x:v>
      </x:c>
      <x:c r="K237" s="19" t="str">
        <x:v>PRIORITY_RANK=23;ORIGINAL_ROW_CONFIDENCE_NOT_EXPOSED</x:v>
      </x:c>
      <x:c r="L237" s="19" t="str">
        <x:v>NOT_EXPOSED_IN_REPORT</x:v>
      </x:c>
      <x:c r="M237" s="19" t="str">
        <x:v>PRIORITY_RANK_23</x:v>
      </x:c>
      <x:c r="N237" s="31" t="str">
        <x:v>RECONSTRUCTED_FROM_REPORT</x:v>
      </x:c>
      <x:c r="O237" s="31" t="str">
        <x:v>UNRESOLVED</x:v>
      </x:c>
      <x:c r="P237" s="19" t="str">
        <x:v>Fear of Temperature_ Stratified Lexical Expansion, Voice Mapping, and Semantic-Relational Pre-Valida.pdf</x:v>
      </x:c>
      <x:c r="Q237" s="31" t="str">
        <x:v>RECONSTRUCTED_FROM_REPORT</x:v>
      </x:c>
      <x:c r="R237" s="46" t="str">
        <x:v>New surrogate project ID assigned from the compact report table; never an original later-stage structured candidate ID.</x:v>
      </x:c>
    </x:row>
    <x:row r="238" ht="32" customHeight="1">
      <x:c r="A238" s="18" t="str">
        <x:v>FT-SEED-R1B-P-1938-24</x:v>
      </x:c>
      <x:c r="B238" s="19" t="str">
        <x:v>PRIORITY_180</x:v>
      </x:c>
      <x:c r="C238" s="31" t="str">
        <x:v>NOT_EXPOSED_IN_REPORT</x:v>
      </x:c>
      <x:c r="D238" s="19" t="str">
        <x:v>8</x:v>
      </x:c>
      <x:c r="E238" s="19" t="str">
        <x:v>FT-A1938</x:v>
      </x:c>
      <x:c r="F238" s="31" t="str">
        <x:v>pitiless sun</x:v>
      </x:c>
      <x:c r="G238" s="19" t="str">
        <x:v>D</x:v>
      </x:c>
      <x:c r="H238" s="19" t="str">
        <x:v>V3</x:v>
      </x:c>
      <x:c r="I238" s="19" t="str">
        <x:v>S1938-COURIER</x:v>
      </x:c>
      <x:c r="J238" s="19" t="str">
        <x:v>NOT_EXPOSED_IN_REPORT</x:v>
      </x:c>
      <x:c r="K238" s="19" t="str">
        <x:v>PRIORITY_RANK=24;ORIGINAL_ROW_CONFIDENCE_NOT_EXPOSED</x:v>
      </x:c>
      <x:c r="L238" s="19" t="str">
        <x:v>NOT_EXPOSED_IN_REPORT</x:v>
      </x:c>
      <x:c r="M238" s="19" t="str">
        <x:v>PRIORITY_RANK_24</x:v>
      </x:c>
      <x:c r="N238" s="31" t="str">
        <x:v>RECONSTRUCTED_FROM_REPORT</x:v>
      </x:c>
      <x:c r="O238" s="31" t="str">
        <x:v>UNRESOLVED</x:v>
      </x:c>
      <x:c r="P238" s="19" t="str">
        <x:v>Fear of Temperature_ Stratified Lexical Expansion, Voice Mapping, and Semantic-Relational Pre-Valida.pdf</x:v>
      </x:c>
      <x:c r="Q238" s="31" t="str">
        <x:v>RECONSTRUCTED_FROM_REPORT</x:v>
      </x:c>
      <x:c r="R238" s="46" t="str">
        <x:v>New surrogate project ID assigned from the compact report table; never an original later-stage structured candidate ID.</x:v>
      </x:c>
    </x:row>
    <x:row r="239" ht="32" customHeight="1">
      <x:c r="A239" s="18" t="str">
        <x:v>FT-SEED-R1B-P-1938-25</x:v>
      </x:c>
      <x:c r="B239" s="19" t="str">
        <x:v>PRIORITY_180</x:v>
      </x:c>
      <x:c r="C239" s="31" t="str">
        <x:v>NOT_EXPOSED_IN_REPORT</x:v>
      </x:c>
      <x:c r="D239" s="19" t="str">
        <x:v>8</x:v>
      </x:c>
      <x:c r="E239" s="19" t="str">
        <x:v>FT-A1938</x:v>
      </x:c>
      <x:c r="F239" s="31" t="str">
        <x:v>hottest spell for years</x:v>
      </x:c>
      <x:c r="G239" s="19" t="str">
        <x:v>A</x:v>
      </x:c>
      <x:c r="H239" s="19" t="str">
        <x:v>V3</x:v>
      </x:c>
      <x:c r="I239" s="19" t="str">
        <x:v>S1938-COURIER</x:v>
      </x:c>
      <x:c r="J239" s="19" t="str">
        <x:v>NOT_EXPOSED_IN_REPORT</x:v>
      </x:c>
      <x:c r="K239" s="19" t="str">
        <x:v>PRIORITY_RANK=25;ORIGINAL_ROW_CONFIDENCE_NOT_EXPOSED</x:v>
      </x:c>
      <x:c r="L239" s="19" t="str">
        <x:v>NOT_EXPOSED_IN_REPORT</x:v>
      </x:c>
      <x:c r="M239" s="19" t="str">
        <x:v>PRIORITY_RANK_25</x:v>
      </x:c>
      <x:c r="N239" s="31" t="str">
        <x:v>RECONSTRUCTED_FROM_REPORT</x:v>
      </x:c>
      <x:c r="O239" s="31" t="str">
        <x:v>UNRESOLVED</x:v>
      </x:c>
      <x:c r="P239" s="19" t="str">
        <x:v>Fear of Temperature_ Stratified Lexical Expansion, Voice Mapping, and Semantic-Relational Pre-Valida.pdf</x:v>
      </x:c>
      <x:c r="Q239" s="31" t="str">
        <x:v>RECONSTRUCTED_FROM_REPORT</x:v>
      </x:c>
      <x:c r="R239" s="46" t="str">
        <x:v>New surrogate project ID assigned from the compact report table; never an original later-stage structured candidate ID.</x:v>
      </x:c>
    </x:row>
    <x:row r="240" ht="32" customHeight="1">
      <x:c r="A240" s="18" t="str">
        <x:v>FT-SEED-R1B-P-1938-26</x:v>
      </x:c>
      <x:c r="B240" s="19" t="str">
        <x:v>PRIORITY_180</x:v>
      </x:c>
      <x:c r="C240" s="31" t="str">
        <x:v>NOT_EXPOSED_IN_REPORT</x:v>
      </x:c>
      <x:c r="D240" s="19" t="str">
        <x:v>8</x:v>
      </x:c>
      <x:c r="E240" s="19" t="str">
        <x:v>FT-A1938</x:v>
      </x:c>
      <x:c r="F240" s="31" t="str">
        <x:v>weather is just bearable</x:v>
      </x:c>
      <x:c r="G240" s="19" t="str">
        <x:v>C</x:v>
      </x:c>
      <x:c r="H240" s="19" t="str">
        <x:v>V3</x:v>
      </x:c>
      <x:c r="I240" s="19" t="str">
        <x:v>S1938-COURIER</x:v>
      </x:c>
      <x:c r="J240" s="19" t="str">
        <x:v>NOT_EXPOSED_IN_REPORT</x:v>
      </x:c>
      <x:c r="K240" s="19" t="str">
        <x:v>PRIORITY_RANK=26;ORIGINAL_ROW_CONFIDENCE_NOT_EXPOSED</x:v>
      </x:c>
      <x:c r="L240" s="19" t="str">
        <x:v>NOT_EXPOSED_IN_REPORT</x:v>
      </x:c>
      <x:c r="M240" s="19" t="str">
        <x:v>PRIORITY_RANK_26</x:v>
      </x:c>
      <x:c r="N240" s="31" t="str">
        <x:v>RECONSTRUCTED_FROM_REPORT</x:v>
      </x:c>
      <x:c r="O240" s="31" t="str">
        <x:v>UNRESOLVED</x:v>
      </x:c>
      <x:c r="P240" s="19" t="str">
        <x:v>Fear of Temperature_ Stratified Lexical Expansion, Voice Mapping, and Semantic-Relational Pre-Valida.pdf</x:v>
      </x:c>
      <x:c r="Q240" s="31" t="str">
        <x:v>RECONSTRUCTED_FROM_REPORT</x:v>
      </x:c>
      <x:c r="R240" s="46" t="str">
        <x:v>New surrogate project ID assigned from the compact report table; never an original later-stage structured candidate ID.</x:v>
      </x:c>
    </x:row>
    <x:row r="241" ht="32" customHeight="1">
      <x:c r="A241" s="18" t="str">
        <x:v>FT-SEED-R1B-P-1938-27</x:v>
      </x:c>
      <x:c r="B241" s="19" t="str">
        <x:v>PRIORITY_180</x:v>
      </x:c>
      <x:c r="C241" s="31" t="str">
        <x:v>NOT_EXPOSED_IN_REPORT</x:v>
      </x:c>
      <x:c r="D241" s="19" t="str">
        <x:v>8</x:v>
      </x:c>
      <x:c r="E241" s="19" t="str">
        <x:v>FT-A1938</x:v>
      </x:c>
      <x:c r="F241" s="31" t="str">
        <x:v>heat records</x:v>
      </x:c>
      <x:c r="G241" s="19" t="str">
        <x:v>A</x:v>
      </x:c>
      <x:c r="H241" s="19" t="str">
        <x:v>V3</x:v>
      </x:c>
      <x:c r="I241" s="19" t="str">
        <x:v>S1938-COURIER</x:v>
      </x:c>
      <x:c r="J241" s="19" t="str">
        <x:v>NOT_EXPOSED_IN_REPORT</x:v>
      </x:c>
      <x:c r="K241" s="19" t="str">
        <x:v>PRIORITY_RANK=27;ORIGINAL_ROW_CONFIDENCE_NOT_EXPOSED</x:v>
      </x:c>
      <x:c r="L241" s="19" t="str">
        <x:v>NOT_EXPOSED_IN_REPORT</x:v>
      </x:c>
      <x:c r="M241" s="19" t="str">
        <x:v>PRIORITY_RANK_27</x:v>
      </x:c>
      <x:c r="N241" s="31" t="str">
        <x:v>RECONSTRUCTED_FROM_REPORT</x:v>
      </x:c>
      <x:c r="O241" s="31" t="str">
        <x:v>UNRESOLVED</x:v>
      </x:c>
      <x:c r="P241" s="19" t="str">
        <x:v>Fear of Temperature_ Stratified Lexical Expansion, Voice Mapping, and Semantic-Relational Pre-Valida.pdf</x:v>
      </x:c>
      <x:c r="Q241" s="31" t="str">
        <x:v>RECONSTRUCTED_FROM_REPORT</x:v>
      </x:c>
      <x:c r="R241" s="46" t="str">
        <x:v>New surrogate project ID assigned from the compact report table; never an original later-stage structured candidate ID.</x:v>
      </x:c>
    </x:row>
    <x:row r="242" ht="32" customHeight="1">
      <x:c r="A242" s="18" t="str">
        <x:v>FT-SEED-R1B-P-1938-28</x:v>
      </x:c>
      <x:c r="B242" s="19" t="str">
        <x:v>PRIORITY_180</x:v>
      </x:c>
      <x:c r="C242" s="31" t="str">
        <x:v>NOT_EXPOSED_IN_REPORT</x:v>
      </x:c>
      <x:c r="D242" s="19" t="str">
        <x:v>8</x:v>
      </x:c>
      <x:c r="E242" s="19" t="str">
        <x:v>FT-A1938</x:v>
      </x:c>
      <x:c r="F242" s="31" t="str">
        <x:v>drought</x:v>
      </x:c>
      <x:c r="G242" s="19" t="str">
        <x:v>D</x:v>
      </x:c>
      <x:c r="H242" s="19" t="str">
        <x:v>V3</x:v>
      </x:c>
      <x:c r="I242" s="19" t="str">
        <x:v>S1938-COURIER</x:v>
      </x:c>
      <x:c r="J242" s="19" t="str">
        <x:v>NOT_EXPOSED_IN_REPORT</x:v>
      </x:c>
      <x:c r="K242" s="19" t="str">
        <x:v>PRIORITY_RANK=28;ORIGINAL_ROW_CONFIDENCE_NOT_EXPOSED</x:v>
      </x:c>
      <x:c r="L242" s="19" t="str">
        <x:v>NOT_EXPOSED_IN_REPORT</x:v>
      </x:c>
      <x:c r="M242" s="19" t="str">
        <x:v>PRIORITY_RANK_28</x:v>
      </x:c>
      <x:c r="N242" s="31" t="str">
        <x:v>RECONSTRUCTED_FROM_REPORT</x:v>
      </x:c>
      <x:c r="O242" s="31" t="str">
        <x:v>UNRESOLVED</x:v>
      </x:c>
      <x:c r="P242" s="19" t="str">
        <x:v>Fear of Temperature_ Stratified Lexical Expansion, Voice Mapping, and Semantic-Relational Pre-Valida.pdf</x:v>
      </x:c>
      <x:c r="Q242" s="31" t="str">
        <x:v>RECONSTRUCTED_FROM_REPORT</x:v>
      </x:c>
      <x:c r="R242" s="46" t="str">
        <x:v>New surrogate project ID assigned from the compact report table; never an original later-stage structured candidate ID.</x:v>
      </x:c>
    </x:row>
    <x:row r="243" ht="32" customHeight="1">
      <x:c r="A243" s="18" t="str">
        <x:v>FT-SEED-R1B-P-1938-29</x:v>
      </x:c>
      <x:c r="B243" s="19" t="str">
        <x:v>PRIORITY_180</x:v>
      </x:c>
      <x:c r="C243" s="31" t="str">
        <x:v>NOT_EXPOSED_IN_REPORT</x:v>
      </x:c>
      <x:c r="D243" s="19" t="str">
        <x:v>8</x:v>
      </x:c>
      <x:c r="E243" s="19" t="str">
        <x:v>FT-A1938</x:v>
      </x:c>
      <x:c r="F243" s="31" t="str">
        <x:v>grass fires</x:v>
      </x:c>
      <x:c r="G243" s="19" t="str">
        <x:v>D</x:v>
      </x:c>
      <x:c r="H243" s="19" t="str">
        <x:v>V3</x:v>
      </x:c>
      <x:c r="I243" s="19" t="str">
        <x:v>S1938-COURIER</x:v>
      </x:c>
      <x:c r="J243" s="19" t="str">
        <x:v>NOT_EXPOSED_IN_REPORT</x:v>
      </x:c>
      <x:c r="K243" s="19" t="str">
        <x:v>PRIORITY_RANK=29;ORIGINAL_ROW_CONFIDENCE_NOT_EXPOSED</x:v>
      </x:c>
      <x:c r="L243" s="19" t="str">
        <x:v>NOT_EXPOSED_IN_REPORT</x:v>
      </x:c>
      <x:c r="M243" s="19" t="str">
        <x:v>PRIORITY_RANK_29</x:v>
      </x:c>
      <x:c r="N243" s="31" t="str">
        <x:v>RECONSTRUCTED_FROM_REPORT</x:v>
      </x:c>
      <x:c r="O243" s="31" t="str">
        <x:v>UNRESOLVED</x:v>
      </x:c>
      <x:c r="P243" s="19" t="str">
        <x:v>Fear of Temperature_ Stratified Lexical Expansion, Voice Mapping, and Semantic-Relational Pre-Valida.pdf</x:v>
      </x:c>
      <x:c r="Q243" s="31" t="str">
        <x:v>RECONSTRUCTED_FROM_REPORT</x:v>
      </x:c>
      <x:c r="R243" s="46" t="str">
        <x:v>New surrogate project ID assigned from the compact report table; never an original later-stage structured candidate ID.</x:v>
      </x:c>
    </x:row>
    <x:row r="244" ht="32" customHeight="1">
      <x:c r="A244" s="18" t="str">
        <x:v>FT-SEED-R1B-P-1938-30</x:v>
      </x:c>
      <x:c r="B244" s="19" t="str">
        <x:v>PRIORITY_180</x:v>
      </x:c>
      <x:c r="C244" s="31" t="str">
        <x:v>NOT_EXPOSED_IN_REPORT</x:v>
      </x:c>
      <x:c r="D244" s="19" t="str">
        <x:v>8</x:v>
      </x:c>
      <x:c r="E244" s="19" t="str">
        <x:v>FT-A1938</x:v>
      </x:c>
      <x:c r="F244" s="31" t="str">
        <x:v>unbearable heat</x:v>
      </x:c>
      <x:c r="G244" s="19" t="str">
        <x:v>D</x:v>
      </x:c>
      <x:c r="H244" s="19" t="str">
        <x:v>V3</x:v>
      </x:c>
      <x:c r="I244" s="19" t="str">
        <x:v>S1938-TORCH</x:v>
      </x:c>
      <x:c r="J244" s="19" t="str">
        <x:v>NOT_EXPOSED_IN_REPORT</x:v>
      </x:c>
      <x:c r="K244" s="19" t="str">
        <x:v>PRIORITY_RANK=30;ORIGINAL_ROW_CONFIDENCE_NOT_EXPOSED</x:v>
      </x:c>
      <x:c r="L244" s="19" t="str">
        <x:v>NOT_EXPOSED_IN_REPORT</x:v>
      </x:c>
      <x:c r="M244" s="19" t="str">
        <x:v>PRIORITY_RANK_30</x:v>
      </x:c>
      <x:c r="N244" s="31" t="str">
        <x:v>RECONSTRUCTED_FROM_REPORT</x:v>
      </x:c>
      <x:c r="O244" s="31" t="str">
        <x:v>UNRESOLVED</x:v>
      </x:c>
      <x:c r="P244" s="19" t="str">
        <x:v>Fear of Temperature_ Stratified Lexical Expansion, Voice Mapping, and Semantic-Relational Pre-Valida.pdf</x:v>
      </x:c>
      <x:c r="Q244" s="31" t="str">
        <x:v>RECONSTRUCTED_FROM_REPORT</x:v>
      </x:c>
      <x:c r="R244" s="46" t="str">
        <x:v>New surrogate project ID assigned from the compact report table; never an original later-stage structured candidate ID.</x:v>
      </x:c>
    </x:row>
    <x:row r="245" ht="32" customHeight="1">
      <x:c r="A245" s="18" t="str">
        <x:v>FT-SEED-R1B-P-1988-01</x:v>
      </x:c>
      <x:c r="B245" s="19" t="str">
        <x:v>PRIORITY_180</x:v>
      </x:c>
      <x:c r="C245" s="31" t="str">
        <x:v>NOT_EXPOSED_IN_REPORT</x:v>
      </x:c>
      <x:c r="D245" s="19" t="str">
        <x:v>9</x:v>
      </x:c>
      <x:c r="E245" s="19" t="str">
        <x:v>FT-A1988</x:v>
      </x:c>
      <x:c r="F245" s="31" t="str">
        <x:v>greenhouse effect</x:v>
      </x:c>
      <x:c r="G245" s="19" t="str">
        <x:v>B</x:v>
      </x:c>
      <x:c r="H245" s="19" t="str">
        <x:v>V1</x:v>
      </x:c>
      <x:c r="I245" s="19" t="str">
        <x:v>S1988-HANSEN</x:v>
      </x:c>
      <x:c r="J245" s="19" t="str">
        <x:v>NOT_EXPOSED_IN_REPORT</x:v>
      </x:c>
      <x:c r="K245" s="19" t="str">
        <x:v>PRIORITY_RANK=1;ORIGINAL_ROW_CONFIDENCE_NOT_EXPOSED</x:v>
      </x:c>
      <x:c r="L245" s="19" t="str">
        <x:v>NOT_EXPOSED_IN_REPORT</x:v>
      </x:c>
      <x:c r="M245" s="19" t="str">
        <x:v>PRIORITY_RANK_01</x:v>
      </x:c>
      <x:c r="N245" s="31" t="str">
        <x:v>RECONSTRUCTED_FROM_REPORT</x:v>
      </x:c>
      <x:c r="O245" s="31" t="str">
        <x:v>UNRESOLVED</x:v>
      </x:c>
      <x:c r="P245" s="19" t="str">
        <x:v>Fear of Temperature_ Stratified Lexical Expansion, Voice Mapping, and Semantic-Relational Pre-Valida.pdf</x:v>
      </x:c>
      <x:c r="Q245" s="31" t="str">
        <x:v>RECONSTRUCTED_FROM_REPORT</x:v>
      </x:c>
      <x:c r="R245" s="46" t="str">
        <x:v>New surrogate project ID assigned from the compact report table; never an original later-stage structured candidate ID.</x:v>
      </x:c>
    </x:row>
    <x:row r="246" ht="32" customHeight="1">
      <x:c r="A246" s="18" t="str">
        <x:v>FT-SEED-R1B-P-1988-02</x:v>
      </x:c>
      <x:c r="B246" s="19" t="str">
        <x:v>PRIORITY_180</x:v>
      </x:c>
      <x:c r="C246" s="31" t="str">
        <x:v>NOT_EXPOSED_IN_REPORT</x:v>
      </x:c>
      <x:c r="D246" s="19" t="str">
        <x:v>9</x:v>
      </x:c>
      <x:c r="E246" s="19" t="str">
        <x:v>FT-A1988</x:v>
      </x:c>
      <x:c r="F246" s="31" t="str">
        <x:v>global warming</x:v>
      </x:c>
      <x:c r="G246" s="19" t="str">
        <x:v>A</x:v>
      </x:c>
      <x:c r="H246" s="19" t="str">
        <x:v>V1</x:v>
      </x:c>
      <x:c r="I246" s="19" t="str">
        <x:v>S1988-HANSEN</x:v>
      </x:c>
      <x:c r="J246" s="19" t="str">
        <x:v>NOT_EXPOSED_IN_REPORT</x:v>
      </x:c>
      <x:c r="K246" s="19" t="str">
        <x:v>PRIORITY_RANK=2;ORIGINAL_ROW_CONFIDENCE_NOT_EXPOSED</x:v>
      </x:c>
      <x:c r="L246" s="19" t="str">
        <x:v>NOT_EXPOSED_IN_REPORT</x:v>
      </x:c>
      <x:c r="M246" s="19" t="str">
        <x:v>PRIORITY_RANK_02</x:v>
      </x:c>
      <x:c r="N246" s="31" t="str">
        <x:v>RECONSTRUCTED_FROM_REPORT</x:v>
      </x:c>
      <x:c r="O246" s="31" t="str">
        <x:v>UNRESOLVED</x:v>
      </x:c>
      <x:c r="P246" s="19" t="str">
        <x:v>Fear of Temperature_ Stratified Lexical Expansion, Voice Mapping, and Semantic-Relational Pre-Valida.pdf</x:v>
      </x:c>
      <x:c r="Q246" s="31" t="str">
        <x:v>RECONSTRUCTED_FROM_REPORT</x:v>
      </x:c>
      <x:c r="R246" s="46" t="str">
        <x:v>New surrogate project ID assigned from the compact report table; never an original later-stage structured candidate ID.</x:v>
      </x:c>
    </x:row>
    <x:row r="247" ht="32" customHeight="1">
      <x:c r="A247" s="18" t="str">
        <x:v>FT-SEED-R1B-P-1988-03</x:v>
      </x:c>
      <x:c r="B247" s="19" t="str">
        <x:v>PRIORITY_180</x:v>
      </x:c>
      <x:c r="C247" s="31" t="str">
        <x:v>NOT_EXPOSED_IN_REPORT</x:v>
      </x:c>
      <x:c r="D247" s="19" t="str">
        <x:v>9</x:v>
      </x:c>
      <x:c r="E247" s="19" t="str">
        <x:v>FT-A1988</x:v>
      </x:c>
      <x:c r="F247" s="31" t="str">
        <x:v>earth is warmer</x:v>
      </x:c>
      <x:c r="G247" s="19" t="str">
        <x:v>A</x:v>
      </x:c>
      <x:c r="H247" s="19" t="str">
        <x:v>V1</x:v>
      </x:c>
      <x:c r="I247" s="19" t="str">
        <x:v>S1988-HANSEN</x:v>
      </x:c>
      <x:c r="J247" s="19" t="str">
        <x:v>NOT_EXPOSED_IN_REPORT</x:v>
      </x:c>
      <x:c r="K247" s="19" t="str">
        <x:v>PRIORITY_RANK=3;ORIGINAL_ROW_CONFIDENCE_NOT_EXPOSED</x:v>
      </x:c>
      <x:c r="L247" s="19" t="str">
        <x:v>NOT_EXPOSED_IN_REPORT</x:v>
      </x:c>
      <x:c r="M247" s="19" t="str">
        <x:v>PRIORITY_RANK_03</x:v>
      </x:c>
      <x:c r="N247" s="31" t="str">
        <x:v>RECONSTRUCTED_FROM_REPORT</x:v>
      </x:c>
      <x:c r="O247" s="31" t="str">
        <x:v>UNRESOLVED</x:v>
      </x:c>
      <x:c r="P247" s="19" t="str">
        <x:v>Fear of Temperature_ Stratified Lexical Expansion, Voice Mapping, and Semantic-Relational Pre-Valida.pdf</x:v>
      </x:c>
      <x:c r="Q247" s="31" t="str">
        <x:v>RECONSTRUCTED_FROM_REPORT</x:v>
      </x:c>
      <x:c r="R247" s="46" t="str">
        <x:v>New surrogate project ID assigned from the compact report table; never an original later-stage structured candidate ID.</x:v>
      </x:c>
    </x:row>
    <x:row r="248" ht="32" customHeight="1">
      <x:c r="A248" s="18" t="str">
        <x:v>FT-SEED-R1B-P-1988-04</x:v>
      </x:c>
      <x:c r="B248" s="19" t="str">
        <x:v>PRIORITY_180</x:v>
      </x:c>
      <x:c r="C248" s="31" t="str">
        <x:v>NOT_EXPOSED_IN_REPORT</x:v>
      </x:c>
      <x:c r="D248" s="19" t="str">
        <x:v>9</x:v>
      </x:c>
      <x:c r="E248" s="19" t="str">
        <x:v>FT-A1988</x:v>
      </x:c>
      <x:c r="F248" s="31" t="str">
        <x:v>instrumental measurements</x:v>
      </x:c>
      <x:c r="G248" s="19" t="str">
        <x:v>B</x:v>
      </x:c>
      <x:c r="H248" s="19" t="str">
        <x:v>V1</x:v>
      </x:c>
      <x:c r="I248" s="19" t="str">
        <x:v>S1988-HANSEN</x:v>
      </x:c>
      <x:c r="J248" s="19" t="str">
        <x:v>NOT_EXPOSED_IN_REPORT</x:v>
      </x:c>
      <x:c r="K248" s="19" t="str">
        <x:v>PRIORITY_RANK=4;ORIGINAL_ROW_CONFIDENCE_NOT_EXPOSED</x:v>
      </x:c>
      <x:c r="L248" s="19" t="str">
        <x:v>NOT_EXPOSED_IN_REPORT</x:v>
      </x:c>
      <x:c r="M248" s="19" t="str">
        <x:v>PRIORITY_RANK_04</x:v>
      </x:c>
      <x:c r="N248" s="31" t="str">
        <x:v>RECONSTRUCTED_FROM_REPORT</x:v>
      </x:c>
      <x:c r="O248" s="31" t="str">
        <x:v>UNRESOLVED</x:v>
      </x:c>
      <x:c r="P248" s="19" t="str">
        <x:v>Fear of Temperature_ Stratified Lexical Expansion, Voice Mapping, and Semantic-Relational Pre-Valida.pdf</x:v>
      </x:c>
      <x:c r="Q248" s="31" t="str">
        <x:v>RECONSTRUCTED_FROM_REPORT</x:v>
      </x:c>
      <x:c r="R248" s="46" t="str">
        <x:v>New surrogate project ID assigned from the compact report table; never an original later-stage structured candidate ID.</x:v>
      </x:c>
    </x:row>
    <x:row r="249" ht="32" customHeight="1">
      <x:c r="A249" s="18" t="str">
        <x:v>FT-SEED-R1B-P-1988-05</x:v>
      </x:c>
      <x:c r="B249" s="19" t="str">
        <x:v>PRIORITY_180</x:v>
      </x:c>
      <x:c r="C249" s="31" t="str">
        <x:v>NOT_EXPOSED_IN_REPORT</x:v>
      </x:c>
      <x:c r="D249" s="19" t="str">
        <x:v>9</x:v>
      </x:c>
      <x:c r="E249" s="19" t="str">
        <x:v>FT-A1988</x:v>
      </x:c>
      <x:c r="F249" s="31" t="str">
        <x:v>cause-and-effect relationship</x:v>
      </x:c>
      <x:c r="G249" s="19" t="str">
        <x:v>B</x:v>
      </x:c>
      <x:c r="H249" s="19" t="str">
        <x:v>V1</x:v>
      </x:c>
      <x:c r="I249" s="19" t="str">
        <x:v>S1988-HANSEN</x:v>
      </x:c>
      <x:c r="J249" s="19" t="str">
        <x:v>NOT_EXPOSED_IN_REPORT</x:v>
      </x:c>
      <x:c r="K249" s="19" t="str">
        <x:v>PRIORITY_RANK=5;ORIGINAL_ROW_CONFIDENCE_NOT_EXPOSED</x:v>
      </x:c>
      <x:c r="L249" s="19" t="str">
        <x:v>NOT_EXPOSED_IN_REPORT</x:v>
      </x:c>
      <x:c r="M249" s="19" t="str">
        <x:v>PRIORITY_RANK_05</x:v>
      </x:c>
      <x:c r="N249" s="31" t="str">
        <x:v>RECONSTRUCTED_FROM_REPORT</x:v>
      </x:c>
      <x:c r="O249" s="31" t="str">
        <x:v>UNRESOLVED</x:v>
      </x:c>
      <x:c r="P249" s="19" t="str">
        <x:v>Fear of Temperature_ Stratified Lexical Expansion, Voice Mapping, and Semantic-Relational Pre-Valida.pdf</x:v>
      </x:c>
      <x:c r="Q249" s="31" t="str">
        <x:v>RECONSTRUCTED_FROM_REPORT</x:v>
      </x:c>
      <x:c r="R249" s="46" t="str">
        <x:v>New surrogate project ID assigned from the compact report table; never an original later-stage structured candidate ID.</x:v>
      </x:c>
    </x:row>
    <x:row r="250" ht="32" customHeight="1">
      <x:c r="A250" s="18" t="str">
        <x:v>FT-SEED-R1B-P-1988-06</x:v>
      </x:c>
      <x:c r="B250" s="19" t="str">
        <x:v>PRIORITY_180</x:v>
      </x:c>
      <x:c r="C250" s="31" t="str">
        <x:v>NOT_EXPOSED_IN_REPORT</x:v>
      </x:c>
      <x:c r="D250" s="19" t="str">
        <x:v>9</x:v>
      </x:c>
      <x:c r="E250" s="19" t="str">
        <x:v>FT-A1988</x:v>
      </x:c>
      <x:c r="F250" s="31" t="str">
        <x:v>global temperature</x:v>
      </x:c>
      <x:c r="G250" s="19" t="str">
        <x:v>A</x:v>
      </x:c>
      <x:c r="H250" s="19" t="str">
        <x:v>V1</x:v>
      </x:c>
      <x:c r="I250" s="19" t="str">
        <x:v>S1988-HANSEN</x:v>
      </x:c>
      <x:c r="J250" s="19" t="str">
        <x:v>NOT_EXPOSED_IN_REPORT</x:v>
      </x:c>
      <x:c r="K250" s="19" t="str">
        <x:v>PRIORITY_RANK=6;ORIGINAL_ROW_CONFIDENCE_NOT_EXPOSED</x:v>
      </x:c>
      <x:c r="L250" s="19" t="str">
        <x:v>NOT_EXPOSED_IN_REPORT</x:v>
      </x:c>
      <x:c r="M250" s="19" t="str">
        <x:v>PRIORITY_RANK_06</x:v>
      </x:c>
      <x:c r="N250" s="31" t="str">
        <x:v>RECONSTRUCTED_FROM_REPORT</x:v>
      </x:c>
      <x:c r="O250" s="31" t="str">
        <x:v>UNRESOLVED</x:v>
      </x:c>
      <x:c r="P250" s="19" t="str">
        <x:v>Fear of Temperature_ Stratified Lexical Expansion, Voice Mapping, and Semantic-Relational Pre-Valida.pdf</x:v>
      </x:c>
      <x:c r="Q250" s="31" t="str">
        <x:v>RECONSTRUCTED_FROM_REPORT</x:v>
      </x:c>
      <x:c r="R250" s="46" t="str">
        <x:v>New surrogate project ID assigned from the compact report table; never an original later-stage structured candidate ID.</x:v>
      </x:c>
    </x:row>
    <x:row r="251" ht="32" customHeight="1">
      <x:c r="A251" s="18" t="str">
        <x:v>FT-SEED-R1B-P-1988-07</x:v>
      </x:c>
      <x:c r="B251" s="19" t="str">
        <x:v>PRIORITY_180</x:v>
      </x:c>
      <x:c r="C251" s="31" t="str">
        <x:v>NOT_EXPOSED_IN_REPORT</x:v>
      </x:c>
      <x:c r="D251" s="19" t="str">
        <x:v>9</x:v>
      </x:c>
      <x:c r="E251" s="19" t="str">
        <x:v>FT-A1988</x:v>
      </x:c>
      <x:c r="F251" s="31" t="str">
        <x:v>regional heat waves</x:v>
      </x:c>
      <x:c r="G251" s="19" t="str">
        <x:v>A</x:v>
      </x:c>
      <x:c r="H251" s="19" t="str">
        <x:v>V1</x:v>
      </x:c>
      <x:c r="I251" s="19" t="str">
        <x:v>S1988-HANSEN</x:v>
      </x:c>
      <x:c r="J251" s="19" t="str">
        <x:v>NOT_EXPOSED_IN_REPORT</x:v>
      </x:c>
      <x:c r="K251" s="19" t="str">
        <x:v>PRIORITY_RANK=7;ORIGINAL_ROW_CONFIDENCE_NOT_EXPOSED</x:v>
      </x:c>
      <x:c r="L251" s="19" t="str">
        <x:v>NOT_EXPOSED_IN_REPORT</x:v>
      </x:c>
      <x:c r="M251" s="19" t="str">
        <x:v>PRIORITY_RANK_07</x:v>
      </x:c>
      <x:c r="N251" s="31" t="str">
        <x:v>RECONSTRUCTED_FROM_REPORT</x:v>
      </x:c>
      <x:c r="O251" s="31" t="str">
        <x:v>UNRESOLVED</x:v>
      </x:c>
      <x:c r="P251" s="19" t="str">
        <x:v>Fear of Temperature_ Stratified Lexical Expansion, Voice Mapping, and Semantic-Relational Pre-Valida.pdf</x:v>
      </x:c>
      <x:c r="Q251" s="31" t="str">
        <x:v>RECONSTRUCTED_FROM_REPORT</x:v>
      </x:c>
      <x:c r="R251" s="46" t="str">
        <x:v>New surrogate project ID assigned from the compact report table; never an original later-stage structured candidate ID.</x:v>
      </x:c>
    </x:row>
    <x:row r="252" ht="32" customHeight="1">
      <x:c r="A252" s="18" t="str">
        <x:v>FT-SEED-R1B-P-1988-08</x:v>
      </x:c>
      <x:c r="B252" s="19" t="str">
        <x:v>PRIORITY_180</x:v>
      </x:c>
      <x:c r="C252" s="31" t="str">
        <x:v>NOT_EXPOSED_IN_REPORT</x:v>
      </x:c>
      <x:c r="D252" s="19" t="str">
        <x:v>9</x:v>
      </x:c>
      <x:c r="E252" s="19" t="str">
        <x:v>FT-A1988</x:v>
      </x:c>
      <x:c r="F252" s="31" t="str">
        <x:v>heat wave</x:v>
      </x:c>
      <x:c r="G252" s="19" t="str">
        <x:v>A</x:v>
      </x:c>
      <x:c r="H252" s="19" t="str">
        <x:v>V1</x:v>
      </x:c>
      <x:c r="I252" s="19" t="str">
        <x:v>S1988-HANSEN</x:v>
      </x:c>
      <x:c r="J252" s="19" t="str">
        <x:v>NOT_EXPOSED_IN_REPORT</x:v>
      </x:c>
      <x:c r="K252" s="19" t="str">
        <x:v>PRIORITY_RANK=8;ORIGINAL_ROW_CONFIDENCE_NOT_EXPOSED</x:v>
      </x:c>
      <x:c r="L252" s="19" t="str">
        <x:v>NOT_EXPOSED_IN_REPORT</x:v>
      </x:c>
      <x:c r="M252" s="19" t="str">
        <x:v>PRIORITY_RANK_08</x:v>
      </x:c>
      <x:c r="N252" s="31" t="str">
        <x:v>RECONSTRUCTED_FROM_REPORT</x:v>
      </x:c>
      <x:c r="O252" s="31" t="str">
        <x:v>UNRESOLVED</x:v>
      </x:c>
      <x:c r="P252" s="19" t="str">
        <x:v>Fear of Temperature_ Stratified Lexical Expansion, Voice Mapping, and Semantic-Relational Pre-Valida.pdf</x:v>
      </x:c>
      <x:c r="Q252" s="31" t="str">
        <x:v>RECONSTRUCTED_FROM_REPORT</x:v>
      </x:c>
      <x:c r="R252" s="46" t="str">
        <x:v>New surrogate project ID assigned from the compact report table; never an original later-stage structured candidate ID.</x:v>
      </x:c>
    </x:row>
    <x:row r="253" ht="32" customHeight="1">
      <x:c r="A253" s="18" t="str">
        <x:v>FT-SEED-R1B-P-1988-09</x:v>
      </x:c>
      <x:c r="B253" s="19" t="str">
        <x:v>PRIORITY_180</x:v>
      </x:c>
      <x:c r="C253" s="31" t="str">
        <x:v>NOT_EXPOSED_IN_REPORT</x:v>
      </x:c>
      <x:c r="D253" s="19" t="str">
        <x:v>9</x:v>
      </x:c>
      <x:c r="E253" s="19" t="str">
        <x:v>FT-A1988</x:v>
      </x:c>
      <x:c r="F253" s="31" t="str">
        <x:v>drought</x:v>
      </x:c>
      <x:c r="G253" s="19" t="str">
        <x:v>D</x:v>
      </x:c>
      <x:c r="H253" s="19" t="str">
        <x:v>V1</x:v>
      </x:c>
      <x:c r="I253" s="19" t="str">
        <x:v>S1988-HANSEN</x:v>
      </x:c>
      <x:c r="J253" s="19" t="str">
        <x:v>NOT_EXPOSED_IN_REPORT</x:v>
      </x:c>
      <x:c r="K253" s="19" t="str">
        <x:v>PRIORITY_RANK=9;ORIGINAL_ROW_CONFIDENCE_NOT_EXPOSED</x:v>
      </x:c>
      <x:c r="L253" s="19" t="str">
        <x:v>NOT_EXPOSED_IN_REPORT</x:v>
      </x:c>
      <x:c r="M253" s="19" t="str">
        <x:v>PRIORITY_RANK_09</x:v>
      </x:c>
      <x:c r="N253" s="31" t="str">
        <x:v>RECONSTRUCTED_FROM_REPORT</x:v>
      </x:c>
      <x:c r="O253" s="31" t="str">
        <x:v>UNRESOLVED</x:v>
      </x:c>
      <x:c r="P253" s="19" t="str">
        <x:v>Fear of Temperature_ Stratified Lexical Expansion, Voice Mapping, and Semantic-Relational Pre-Valida.pdf</x:v>
      </x:c>
      <x:c r="Q253" s="31" t="str">
        <x:v>RECONSTRUCTED_FROM_REPORT</x:v>
      </x:c>
      <x:c r="R253" s="46" t="str">
        <x:v>New surrogate project ID assigned from the compact report table; never an original later-stage structured candidate ID.</x:v>
      </x:c>
    </x:row>
    <x:row r="254" ht="32" customHeight="1">
      <x:c r="A254" s="18" t="str">
        <x:v>FT-SEED-R1B-P-1988-10</x:v>
      </x:c>
      <x:c r="B254" s="19" t="str">
        <x:v>PRIORITY_180</x:v>
      </x:c>
      <x:c r="C254" s="31" t="str">
        <x:v>NOT_EXPOSED_IN_REPORT</x:v>
      </x:c>
      <x:c r="D254" s="19" t="str">
        <x:v>9</x:v>
      </x:c>
      <x:c r="E254" s="19" t="str">
        <x:v>FT-A1988</x:v>
      </x:c>
      <x:c r="F254" s="31" t="str">
        <x:v>heat wave/drought occurrences</x:v>
      </x:c>
      <x:c r="G254" s="19" t="str">
        <x:v>D</x:v>
      </x:c>
      <x:c r="H254" s="19" t="str">
        <x:v>V1</x:v>
      </x:c>
      <x:c r="I254" s="19" t="str">
        <x:v>S1988-HANSEN</x:v>
      </x:c>
      <x:c r="J254" s="19" t="str">
        <x:v>NOT_EXPOSED_IN_REPORT</x:v>
      </x:c>
      <x:c r="K254" s="19" t="str">
        <x:v>PRIORITY_RANK=10;ORIGINAL_ROW_CONFIDENCE_NOT_EXPOSED</x:v>
      </x:c>
      <x:c r="L254" s="19" t="str">
        <x:v>NOT_EXPOSED_IN_REPORT</x:v>
      </x:c>
      <x:c r="M254" s="19" t="str">
        <x:v>PRIORITY_RANK_10</x:v>
      </x:c>
      <x:c r="N254" s="31" t="str">
        <x:v>RECONSTRUCTED_FROM_REPORT</x:v>
      </x:c>
      <x:c r="O254" s="31" t="str">
        <x:v>UNRESOLVED</x:v>
      </x:c>
      <x:c r="P254" s="19" t="str">
        <x:v>Fear of Temperature_ Stratified Lexical Expansion, Voice Mapping, and Semantic-Relational Pre-Valida.pdf</x:v>
      </x:c>
      <x:c r="Q254" s="31" t="str">
        <x:v>RECONSTRUCTED_FROM_REPORT</x:v>
      </x:c>
      <x:c r="R254" s="46" t="str">
        <x:v>New surrogate project ID assigned from the compact report table; never an original later-stage structured candidate ID.</x:v>
      </x:c>
    </x:row>
    <x:row r="255" ht="32" customHeight="1">
      <x:c r="A255" s="18" t="str">
        <x:v>FT-SEED-R1B-P-1988-11</x:v>
      </x:c>
      <x:c r="B255" s="19" t="str">
        <x:v>PRIORITY_180</x:v>
      </x:c>
      <x:c r="C255" s="31" t="str">
        <x:v>NOT_EXPOSED_IN_REPORT</x:v>
      </x:c>
      <x:c r="D255" s="19" t="str">
        <x:v>9</x:v>
      </x:c>
      <x:c r="E255" s="19" t="str">
        <x:v>FT-A1988</x:v>
      </x:c>
      <x:c r="F255" s="31" t="str">
        <x:v>extreme events</x:v>
      </x:c>
      <x:c r="G255" s="19" t="str">
        <x:v>D</x:v>
      </x:c>
      <x:c r="H255" s="19" t="str">
        <x:v>V1</x:v>
      </x:c>
      <x:c r="I255" s="19" t="str">
        <x:v>S1988-HANSEN</x:v>
      </x:c>
      <x:c r="J255" s="19" t="str">
        <x:v>NOT_EXPOSED_IN_REPORT</x:v>
      </x:c>
      <x:c r="K255" s="19" t="str">
        <x:v>PRIORITY_RANK=11;ORIGINAL_ROW_CONFIDENCE_NOT_EXPOSED</x:v>
      </x:c>
      <x:c r="L255" s="19" t="str">
        <x:v>NOT_EXPOSED_IN_REPORT</x:v>
      </x:c>
      <x:c r="M255" s="19" t="str">
        <x:v>PRIORITY_RANK_11</x:v>
      </x:c>
      <x:c r="N255" s="31" t="str">
        <x:v>RECONSTRUCTED_FROM_REPORT</x:v>
      </x:c>
      <x:c r="O255" s="31" t="str">
        <x:v>UNRESOLVED</x:v>
      </x:c>
      <x:c r="P255" s="19" t="str">
        <x:v>Fear of Temperature_ Stratified Lexical Expansion, Voice Mapping, and Semantic-Relational Pre-Valida.pdf</x:v>
      </x:c>
      <x:c r="Q255" s="31" t="str">
        <x:v>RECONSTRUCTED_FROM_REPORT</x:v>
      </x:c>
      <x:c r="R255" s="46" t="str">
        <x:v>New surrogate project ID assigned from the compact report table; never an original later-stage structured candidate ID.</x:v>
      </x:c>
    </x:row>
    <x:row r="256" ht="32" customHeight="1">
      <x:c r="A256" s="18" t="str">
        <x:v>FT-SEED-R1B-P-1988-12</x:v>
      </x:c>
      <x:c r="B256" s="19" t="str">
        <x:v>PRIORITY_180</x:v>
      </x:c>
      <x:c r="C256" s="31" t="str">
        <x:v>NOT_EXPOSED_IN_REPORT</x:v>
      </x:c>
      <x:c r="D256" s="19" t="str">
        <x:v>9</x:v>
      </x:c>
      <x:c r="E256" s="19" t="str">
        <x:v>FT-A1988</x:v>
      </x:c>
      <x:c r="F256" s="31" t="str">
        <x:v>global climate models</x:v>
      </x:c>
      <x:c r="G256" s="19" t="str">
        <x:v>B</x:v>
      </x:c>
      <x:c r="H256" s="19" t="str">
        <x:v>V1</x:v>
      </x:c>
      <x:c r="I256" s="19" t="str">
        <x:v>S1988-HANSEN</x:v>
      </x:c>
      <x:c r="J256" s="19" t="str">
        <x:v>NOT_EXPOSED_IN_REPORT</x:v>
      </x:c>
      <x:c r="K256" s="19" t="str">
        <x:v>PRIORITY_RANK=12;ORIGINAL_ROW_CONFIDENCE_NOT_EXPOSED</x:v>
      </x:c>
      <x:c r="L256" s="19" t="str">
        <x:v>NOT_EXPOSED_IN_REPORT</x:v>
      </x:c>
      <x:c r="M256" s="19" t="str">
        <x:v>PRIORITY_RANK_12</x:v>
      </x:c>
      <x:c r="N256" s="31" t="str">
        <x:v>RECONSTRUCTED_FROM_REPORT</x:v>
      </x:c>
      <x:c r="O256" s="31" t="str">
        <x:v>UNRESOLVED</x:v>
      </x:c>
      <x:c r="P256" s="19" t="str">
        <x:v>Fear of Temperature_ Stratified Lexical Expansion, Voice Mapping, and Semantic-Relational Pre-Valida.pdf</x:v>
      </x:c>
      <x:c r="Q256" s="31" t="str">
        <x:v>RECONSTRUCTED_FROM_REPORT</x:v>
      </x:c>
      <x:c r="R256" s="46" t="str">
        <x:v>New surrogate project ID assigned from the compact report table; never an original later-stage structured candidate ID.</x:v>
      </x:c>
    </x:row>
    <x:row r="257" ht="32" customHeight="1">
      <x:c r="A257" s="18" t="str">
        <x:v>FT-SEED-R1B-P-1988-13</x:v>
      </x:c>
      <x:c r="B257" s="19" t="str">
        <x:v>PRIORITY_180</x:v>
      </x:c>
      <x:c r="C257" s="31" t="str">
        <x:v>NOT_EXPOSED_IN_REPORT</x:v>
      </x:c>
      <x:c r="D257" s="19" t="str">
        <x:v>9</x:v>
      </x:c>
      <x:c r="E257" s="19" t="str">
        <x:v>FT-A1988</x:v>
      </x:c>
      <x:c r="F257" s="31" t="str">
        <x:v>global observations</x:v>
      </x:c>
      <x:c r="G257" s="19" t="str">
        <x:v>B</x:v>
      </x:c>
      <x:c r="H257" s="19" t="str">
        <x:v>V1</x:v>
      </x:c>
      <x:c r="I257" s="19" t="str">
        <x:v>S1988-HANSEN</x:v>
      </x:c>
      <x:c r="J257" s="19" t="str">
        <x:v>NOT_EXPOSED_IN_REPORT</x:v>
      </x:c>
      <x:c r="K257" s="19" t="str">
        <x:v>PRIORITY_RANK=13;ORIGINAL_ROW_CONFIDENCE_NOT_EXPOSED</x:v>
      </x:c>
      <x:c r="L257" s="19" t="str">
        <x:v>NOT_EXPOSED_IN_REPORT</x:v>
      </x:c>
      <x:c r="M257" s="19" t="str">
        <x:v>PRIORITY_RANK_13</x:v>
      </x:c>
      <x:c r="N257" s="31" t="str">
        <x:v>RECONSTRUCTED_FROM_REPORT</x:v>
      </x:c>
      <x:c r="O257" s="31" t="str">
        <x:v>UNRESOLVED</x:v>
      </x:c>
      <x:c r="P257" s="19" t="str">
        <x:v>Fear of Temperature_ Stratified Lexical Expansion, Voice Mapping, and Semantic-Relational Pre-Valida.pdf</x:v>
      </x:c>
      <x:c r="Q257" s="31" t="str">
        <x:v>RECONSTRUCTED_FROM_REPORT</x:v>
      </x:c>
      <x:c r="R257" s="46" t="str">
        <x:v>New surrogate project ID assigned from the compact report table; never an original later-stage structured candidate ID.</x:v>
      </x:c>
    </x:row>
    <x:row r="258" ht="32" customHeight="1">
      <x:c r="A258" s="18" t="str">
        <x:v>FT-SEED-R1B-P-1988-14</x:v>
      </x:c>
      <x:c r="B258" s="19" t="str">
        <x:v>PRIORITY_180</x:v>
      </x:c>
      <x:c r="C258" s="31" t="str">
        <x:v>NOT_EXPOSED_IN_REPORT</x:v>
      </x:c>
      <x:c r="D258" s="19" t="str">
        <x:v>9</x:v>
      </x:c>
      <x:c r="E258" s="19" t="str">
        <x:v>FT-A1988</x:v>
      </x:c>
      <x:c r="F258" s="31" t="str">
        <x:v>warm air</x:v>
      </x:c>
      <x:c r="G258" s="19" t="str">
        <x:v>A</x:v>
      </x:c>
      <x:c r="H258" s="19" t="str">
        <x:v>V1</x:v>
      </x:c>
      <x:c r="I258" s="19" t="str">
        <x:v>S1988-HANSEN</x:v>
      </x:c>
      <x:c r="J258" s="19" t="str">
        <x:v>NOT_EXPOSED_IN_REPORT</x:v>
      </x:c>
      <x:c r="K258" s="19" t="str">
        <x:v>PRIORITY_RANK=14;ORIGINAL_ROW_CONFIDENCE_NOT_EXPOSED</x:v>
      </x:c>
      <x:c r="L258" s="19" t="str">
        <x:v>NOT_EXPOSED_IN_REPORT</x:v>
      </x:c>
      <x:c r="M258" s="19" t="str">
        <x:v>PRIORITY_RANK_14</x:v>
      </x:c>
      <x:c r="N258" s="31" t="str">
        <x:v>RECONSTRUCTED_FROM_REPORT</x:v>
      </x:c>
      <x:c r="O258" s="31" t="str">
        <x:v>UNRESOLVED</x:v>
      </x:c>
      <x:c r="P258" s="19" t="str">
        <x:v>Fear of Temperature_ Stratified Lexical Expansion, Voice Mapping, and Semantic-Relational Pre-Valida.pdf</x:v>
      </x:c>
      <x:c r="Q258" s="31" t="str">
        <x:v>RECONSTRUCTED_FROM_REPORT</x:v>
      </x:c>
      <x:c r="R258" s="46" t="str">
        <x:v>New surrogate project ID assigned from the compact report table; never an original later-stage structured candidate ID.</x:v>
      </x:c>
    </x:row>
    <x:row r="259" ht="32" customHeight="1">
      <x:c r="A259" s="18" t="str">
        <x:v>FT-SEED-R1B-P-1988-15</x:v>
      </x:c>
      <x:c r="B259" s="19" t="str">
        <x:v>PRIORITY_180</x:v>
      </x:c>
      <x:c r="C259" s="31" t="str">
        <x:v>NOT_EXPOSED_IN_REPORT</x:v>
      </x:c>
      <x:c r="D259" s="19" t="str">
        <x:v>9</x:v>
      </x:c>
      <x:c r="E259" s="19" t="str">
        <x:v>FT-A1988</x:v>
      </x:c>
      <x:c r="F259" s="31" t="str">
        <x:v>changing atmosphere</x:v>
      </x:c>
      <x:c r="G259" s="19" t="str">
        <x:v>B</x:v>
      </x:c>
      <x:c r="H259" s="19" t="str">
        <x:v>V2</x:v>
      </x:c>
      <x:c r="I259" s="19" t="str">
        <x:v>S1988-TORONTO</x:v>
      </x:c>
      <x:c r="J259" s="19" t="str">
        <x:v>NOT_EXPOSED_IN_REPORT</x:v>
      </x:c>
      <x:c r="K259" s="19" t="str">
        <x:v>PRIORITY_RANK=15;ORIGINAL_ROW_CONFIDENCE_NOT_EXPOSED</x:v>
      </x:c>
      <x:c r="L259" s="19" t="str">
        <x:v>NOT_EXPOSED_IN_REPORT</x:v>
      </x:c>
      <x:c r="M259" s="19" t="str">
        <x:v>PRIORITY_RANK_15</x:v>
      </x:c>
      <x:c r="N259" s="31" t="str">
        <x:v>RECONSTRUCTED_FROM_REPORT</x:v>
      </x:c>
      <x:c r="O259" s="31" t="str">
        <x:v>UNRESOLVED</x:v>
      </x:c>
      <x:c r="P259" s="19" t="str">
        <x:v>Fear of Temperature_ Stratified Lexical Expansion, Voice Mapping, and Semantic-Relational Pre-Valida.pdf</x:v>
      </x:c>
      <x:c r="Q259" s="31" t="str">
        <x:v>RECONSTRUCTED_FROM_REPORT</x:v>
      </x:c>
      <x:c r="R259" s="46" t="str">
        <x:v>New surrogate project ID assigned from the compact report table; never an original later-stage structured candidate ID.</x:v>
      </x:c>
    </x:row>
    <x:row r="260" ht="32" customHeight="1">
      <x:c r="A260" s="18" t="str">
        <x:v>FT-SEED-R1B-P-1988-16</x:v>
      </x:c>
      <x:c r="B260" s="19" t="str">
        <x:v>PRIORITY_180</x:v>
      </x:c>
      <x:c r="C260" s="31" t="str">
        <x:v>NOT_EXPOSED_IN_REPORT</x:v>
      </x:c>
      <x:c r="D260" s="19" t="str">
        <x:v>9</x:v>
      </x:c>
      <x:c r="E260" s="19" t="str">
        <x:v>FT-A1988</x:v>
      </x:c>
      <x:c r="F260" s="31" t="str">
        <x:v>global security</x:v>
      </x:c>
      <x:c r="G260" s="19" t="str">
        <x:v>D</x:v>
      </x:c>
      <x:c r="H260" s="19" t="str">
        <x:v>V2</x:v>
      </x:c>
      <x:c r="I260" s="19" t="str">
        <x:v>S1988-TORONTO</x:v>
      </x:c>
      <x:c r="J260" s="19" t="str">
        <x:v>E1</x:v>
      </x:c>
      <x:c r="K260" s="19" t="str">
        <x:v>PRIORITY_RANK=16;ORIGINAL_ROW_CONFIDENCE_NOT_EXPOSED</x:v>
      </x:c>
      <x:c r="L260" s="19" t="str">
        <x:v>NOT_EXPOSED_IN_REPORT</x:v>
      </x:c>
      <x:c r="M260" s="19" t="str">
        <x:v>PRIORITY_RANK_16</x:v>
      </x:c>
      <x:c r="N260" s="31" t="str">
        <x:v>RECONSTRUCTED_FROM_REPORT</x:v>
      </x:c>
      <x:c r="O260" s="31" t="str">
        <x:v>UNRESOLVED</x:v>
      </x:c>
      <x:c r="P260" s="19" t="str">
        <x:v>Fear of Temperature_ Stratified Lexical Expansion, Voice Mapping, and Semantic-Relational Pre-Valida.pdf</x:v>
      </x:c>
      <x:c r="Q260" s="31" t="str">
        <x:v>RECONSTRUCTED_FROM_REPORT</x:v>
      </x:c>
      <x:c r="R260" s="46" t="str">
        <x:v>New surrogate project ID assigned from the compact report table; never an original later-stage structured candidate ID.</x:v>
      </x:c>
    </x:row>
    <x:row r="261" ht="32" customHeight="1">
      <x:c r="A261" s="18" t="str">
        <x:v>FT-SEED-R1B-P-1988-17</x:v>
      </x:c>
      <x:c r="B261" s="19" t="str">
        <x:v>PRIORITY_180</x:v>
      </x:c>
      <x:c r="C261" s="31" t="str">
        <x:v>NOT_EXPOSED_IN_REPORT</x:v>
      </x:c>
      <x:c r="D261" s="19" t="str">
        <x:v>9</x:v>
      </x:c>
      <x:c r="E261" s="19" t="str">
        <x:v>FT-A1988</x:v>
      </x:c>
      <x:c r="F261" s="31" t="str">
        <x:v>climate warming</x:v>
      </x:c>
      <x:c r="G261" s="19" t="str">
        <x:v>A</x:v>
      </x:c>
      <x:c r="H261" s="19" t="str">
        <x:v>V2</x:v>
      </x:c>
      <x:c r="I261" s="19" t="str">
        <x:v>S1988-TORONTO</x:v>
      </x:c>
      <x:c r="J261" s="19" t="str">
        <x:v>NOT_EXPOSED_IN_REPORT</x:v>
      </x:c>
      <x:c r="K261" s="19" t="str">
        <x:v>PRIORITY_RANK=17;ORIGINAL_ROW_CONFIDENCE_NOT_EXPOSED</x:v>
      </x:c>
      <x:c r="L261" s="19" t="str">
        <x:v>NOT_EXPOSED_IN_REPORT</x:v>
      </x:c>
      <x:c r="M261" s="19" t="str">
        <x:v>PRIORITY_RANK_17</x:v>
      </x:c>
      <x:c r="N261" s="31" t="str">
        <x:v>RECONSTRUCTED_FROM_REPORT</x:v>
      </x:c>
      <x:c r="O261" s="31" t="str">
        <x:v>UNRESOLVED</x:v>
      </x:c>
      <x:c r="P261" s="19" t="str">
        <x:v>Fear of Temperature_ Stratified Lexical Expansion, Voice Mapping, and Semantic-Relational Pre-Valida.pdf</x:v>
      </x:c>
      <x:c r="Q261" s="31" t="str">
        <x:v>RECONSTRUCTED_FROM_REPORT</x:v>
      </x:c>
      <x:c r="R261" s="46" t="str">
        <x:v>New surrogate project ID assigned from the compact report table; never an original later-stage structured candidate ID.</x:v>
      </x:c>
    </x:row>
    <x:row r="262" ht="32" customHeight="1">
      <x:c r="A262" s="18" t="str">
        <x:v>FT-SEED-R1B-P-1988-18</x:v>
      </x:c>
      <x:c r="B262" s="19" t="str">
        <x:v>PRIORITY_180</x:v>
      </x:c>
      <x:c r="C262" s="31" t="str">
        <x:v>NOT_EXPOSED_IN_REPORT</x:v>
      </x:c>
      <x:c r="D262" s="19" t="str">
        <x:v>9</x:v>
      </x:c>
      <x:c r="E262" s="19" t="str">
        <x:v>FT-A1988</x:v>
      </x:c>
      <x:c r="F262" s="31" t="str">
        <x:v>changed climatic extremes</x:v>
      </x:c>
      <x:c r="G262" s="19" t="str">
        <x:v>D</x:v>
      </x:c>
      <x:c r="H262" s="19" t="str">
        <x:v>V2</x:v>
      </x:c>
      <x:c r="I262" s="19" t="str">
        <x:v>S1988-TORONTO</x:v>
      </x:c>
      <x:c r="J262" s="19" t="str">
        <x:v>NOT_EXPOSED_IN_REPORT</x:v>
      </x:c>
      <x:c r="K262" s="19" t="str">
        <x:v>PRIORITY_RANK=18;ORIGINAL_ROW_CONFIDENCE_NOT_EXPOSED</x:v>
      </x:c>
      <x:c r="L262" s="19" t="str">
        <x:v>NOT_EXPOSED_IN_REPORT</x:v>
      </x:c>
      <x:c r="M262" s="19" t="str">
        <x:v>PRIORITY_RANK_18</x:v>
      </x:c>
      <x:c r="N262" s="31" t="str">
        <x:v>RECONSTRUCTED_FROM_REPORT</x:v>
      </x:c>
      <x:c r="O262" s="31" t="str">
        <x:v>UNRESOLVED</x:v>
      </x:c>
      <x:c r="P262" s="19" t="str">
        <x:v>Fear of Temperature_ Stratified Lexical Expansion, Voice Mapping, and Semantic-Relational Pre-Valida.pdf</x:v>
      </x:c>
      <x:c r="Q262" s="31" t="str">
        <x:v>RECONSTRUCTED_FROM_REPORT</x:v>
      </x:c>
      <x:c r="R262" s="46" t="str">
        <x:v>New surrogate project ID assigned from the compact report table; never an original later-stage structured candidate ID.</x:v>
      </x:c>
    </x:row>
    <x:row r="263" ht="32" customHeight="1">
      <x:c r="A263" s="18" t="str">
        <x:v>FT-SEED-R1B-P-1988-19</x:v>
      </x:c>
      <x:c r="B263" s="19" t="str">
        <x:v>PRIORITY_180</x:v>
      </x:c>
      <x:c r="C263" s="31" t="str">
        <x:v>NOT_EXPOSED_IN_REPORT</x:v>
      </x:c>
      <x:c r="D263" s="19" t="str">
        <x:v>9</x:v>
      </x:c>
      <x:c r="E263" s="19" t="str">
        <x:v>FT-A1988</x:v>
      </x:c>
      <x:c r="F263" s="31" t="str">
        <x:v>major threat</x:v>
      </x:c>
      <x:c r="G263" s="19" t="str">
        <x:v>D</x:v>
      </x:c>
      <x:c r="H263" s="19" t="str">
        <x:v>V2</x:v>
      </x:c>
      <x:c r="I263" s="19" t="str">
        <x:v>S1988-TORONTO</x:v>
      </x:c>
      <x:c r="J263" s="19" t="str">
        <x:v>NOT_EXPOSED_IN_REPORT</x:v>
      </x:c>
      <x:c r="K263" s="19" t="str">
        <x:v>PRIORITY_RANK=19;ORIGINAL_ROW_CONFIDENCE_NOT_EXPOSED</x:v>
      </x:c>
      <x:c r="L263" s="19" t="str">
        <x:v>NOT_EXPOSED_IN_REPORT</x:v>
      </x:c>
      <x:c r="M263" s="19" t="str">
        <x:v>PRIORITY_RANK_19</x:v>
      </x:c>
      <x:c r="N263" s="31" t="str">
        <x:v>RECONSTRUCTED_FROM_REPORT</x:v>
      </x:c>
      <x:c r="O263" s="31" t="str">
        <x:v>UNRESOLVED</x:v>
      </x:c>
      <x:c r="P263" s="19" t="str">
        <x:v>Fear of Temperature_ Stratified Lexical Expansion, Voice Mapping, and Semantic-Relational Pre-Valida.pdf</x:v>
      </x:c>
      <x:c r="Q263" s="31" t="str">
        <x:v>RECONSTRUCTED_FROM_REPORT</x:v>
      </x:c>
      <x:c r="R263" s="46" t="str">
        <x:v>New surrogate project ID assigned from the compact report table; never an original later-stage structured candidate ID.</x:v>
      </x:c>
    </x:row>
    <x:row r="264" ht="32" customHeight="1">
      <x:c r="A264" s="18" t="str">
        <x:v>FT-SEED-R1B-P-1988-20</x:v>
      </x:c>
      <x:c r="B264" s="19" t="str">
        <x:v>PRIORITY_180</x:v>
      </x:c>
      <x:c r="C264" s="31" t="str">
        <x:v>NOT_EXPOSED_IN_REPORT</x:v>
      </x:c>
      <x:c r="D264" s="19" t="str">
        <x:v>9</x:v>
      </x:c>
      <x:c r="E264" s="19" t="str">
        <x:v>FT-A1988</x:v>
      </x:c>
      <x:c r="F264" s="31" t="str">
        <x:v>harmful consequences</x:v>
      </x:c>
      <x:c r="G264" s="19" t="str">
        <x:v>D</x:v>
      </x:c>
      <x:c r="H264" s="19" t="str">
        <x:v>V2</x:v>
      </x:c>
      <x:c r="I264" s="19" t="str">
        <x:v>S1988-TORONTO</x:v>
      </x:c>
      <x:c r="J264" s="19" t="str">
        <x:v>NOT_EXPOSED_IN_REPORT</x:v>
      </x:c>
      <x:c r="K264" s="19" t="str">
        <x:v>PRIORITY_RANK=20;ORIGINAL_ROW_CONFIDENCE_NOT_EXPOSED</x:v>
      </x:c>
      <x:c r="L264" s="19" t="str">
        <x:v>NOT_EXPOSED_IN_REPORT</x:v>
      </x:c>
      <x:c r="M264" s="19" t="str">
        <x:v>PRIORITY_RANK_20</x:v>
      </x:c>
      <x:c r="N264" s="31" t="str">
        <x:v>RECONSTRUCTED_FROM_REPORT</x:v>
      </x:c>
      <x:c r="O264" s="31" t="str">
        <x:v>UNRESOLVED</x:v>
      </x:c>
      <x:c r="P264" s="19" t="str">
        <x:v>Fear of Temperature_ Stratified Lexical Expansion, Voice Mapping, and Semantic-Relational Pre-Valida.pdf</x:v>
      </x:c>
      <x:c r="Q264" s="31" t="str">
        <x:v>RECONSTRUCTED_FROM_REPORT</x:v>
      </x:c>
      <x:c r="R264" s="46" t="str">
        <x:v>New surrogate project ID assigned from the compact report table; never an original later-stage structured candidate ID.</x:v>
      </x:c>
    </x:row>
    <x:row r="265" ht="32" customHeight="1">
      <x:c r="A265" s="18" t="str">
        <x:v>FT-SEED-R1B-P-1988-21</x:v>
      </x:c>
      <x:c r="B265" s="19" t="str">
        <x:v>PRIORITY_180</x:v>
      </x:c>
      <x:c r="C265" s="31" t="str">
        <x:v>NOT_EXPOSED_IN_REPORT</x:v>
      </x:c>
      <x:c r="D265" s="19" t="str">
        <x:v>9</x:v>
      </x:c>
      <x:c r="E265" s="19" t="str">
        <x:v>FT-A1988</x:v>
      </x:c>
      <x:c r="F265" s="31" t="str">
        <x:v>grave threats</x:v>
      </x:c>
      <x:c r="G265" s="19" t="str">
        <x:v>D</x:v>
      </x:c>
      <x:c r="H265" s="19" t="str">
        <x:v>V2</x:v>
      </x:c>
      <x:c r="I265" s="19" t="str">
        <x:v>S1988-TORONTO</x:v>
      </x:c>
      <x:c r="J265" s="19" t="str">
        <x:v>NOT_EXPOSED_IN_REPORT</x:v>
      </x:c>
      <x:c r="K265" s="19" t="str">
        <x:v>PRIORITY_RANK=21;ORIGINAL_ROW_CONFIDENCE_NOT_EXPOSED</x:v>
      </x:c>
      <x:c r="L265" s="19" t="str">
        <x:v>NOT_EXPOSED_IN_REPORT</x:v>
      </x:c>
      <x:c r="M265" s="19" t="str">
        <x:v>PRIORITY_RANK_21</x:v>
      </x:c>
      <x:c r="N265" s="31" t="str">
        <x:v>RECONSTRUCTED_FROM_REPORT</x:v>
      </x:c>
      <x:c r="O265" s="31" t="str">
        <x:v>UNRESOLVED</x:v>
      </x:c>
      <x:c r="P265" s="19" t="str">
        <x:v>Fear of Temperature_ Stratified Lexical Expansion, Voice Mapping, and Semantic-Relational Pre-Valida.pdf</x:v>
      </x:c>
      <x:c r="Q265" s="31" t="str">
        <x:v>RECONSTRUCTED_FROM_REPORT</x:v>
      </x:c>
      <x:c r="R265" s="46" t="str">
        <x:v>New surrogate project ID assigned from the compact report table; never an original later-stage structured candidate ID.</x:v>
      </x:c>
    </x:row>
    <x:row r="266" ht="32" customHeight="1">
      <x:c r="A266" s="18" t="str">
        <x:v>FT-SEED-R1B-P-1988-22</x:v>
      </x:c>
      <x:c r="B266" s="19" t="str">
        <x:v>PRIORITY_180</x:v>
      </x:c>
      <x:c r="C266" s="31" t="str">
        <x:v>NOT_EXPOSED_IN_REPORT</x:v>
      </x:c>
      <x:c r="D266" s="19" t="str">
        <x:v>9</x:v>
      </x:c>
      <x:c r="E266" s="19" t="str">
        <x:v>FT-A1988</x:v>
      </x:c>
      <x:c r="F266" s="31" t="str">
        <x:v>severe economic and social dislocation</x:v>
      </x:c>
      <x:c r="G266" s="19" t="str">
        <x:v>D</x:v>
      </x:c>
      <x:c r="H266" s="19" t="str">
        <x:v>V2</x:v>
      </x:c>
      <x:c r="I266" s="19" t="str">
        <x:v>S1988-TORONTO</x:v>
      </x:c>
      <x:c r="J266" s="19" t="str">
        <x:v>NOT_EXPOSED_IN_REPORT</x:v>
      </x:c>
      <x:c r="K266" s="19" t="str">
        <x:v>PRIORITY_RANK=22;ORIGINAL_ROW_CONFIDENCE_NOT_EXPOSED</x:v>
      </x:c>
      <x:c r="L266" s="19" t="str">
        <x:v>NOT_EXPOSED_IN_REPORT</x:v>
      </x:c>
      <x:c r="M266" s="19" t="str">
        <x:v>PRIORITY_RANK_22</x:v>
      </x:c>
      <x:c r="N266" s="31" t="str">
        <x:v>RECONSTRUCTED_FROM_REPORT</x:v>
      </x:c>
      <x:c r="O266" s="31" t="str">
        <x:v>UNRESOLVED</x:v>
      </x:c>
      <x:c r="P266" s="19" t="str">
        <x:v>Fear of Temperature_ Stratified Lexical Expansion, Voice Mapping, and Semantic-Relational Pre-Valida.pdf</x:v>
      </x:c>
      <x:c r="Q266" s="31" t="str">
        <x:v>RECONSTRUCTED_FROM_REPORT</x:v>
      </x:c>
      <x:c r="R266" s="46" t="str">
        <x:v>New surrogate project ID assigned from the compact report table; never an original later-stage structured candidate ID.</x:v>
      </x:c>
    </x:row>
    <x:row r="267" ht="32" customHeight="1">
      <x:c r="A267" s="18" t="str">
        <x:v>FT-SEED-R1B-P-1988-23</x:v>
      </x:c>
      <x:c r="B267" s="19" t="str">
        <x:v>PRIORITY_180</x:v>
      </x:c>
      <x:c r="C267" s="31" t="str">
        <x:v>NOT_EXPOSED_IN_REPORT</x:v>
      </x:c>
      <x:c r="D267" s="19" t="str">
        <x:v>9</x:v>
      </x:c>
      <x:c r="E267" s="19" t="str">
        <x:v>FT-A1988</x:v>
      </x:c>
      <x:c r="F267" s="31" t="str">
        <x:v>risk of conflicts</x:v>
      </x:c>
      <x:c r="G267" s="19" t="str">
        <x:v>D</x:v>
      </x:c>
      <x:c r="H267" s="19" t="str">
        <x:v>V2</x:v>
      </x:c>
      <x:c r="I267" s="19" t="str">
        <x:v>S1988-TORONTO</x:v>
      </x:c>
      <x:c r="J267" s="19" t="str">
        <x:v>NOT_EXPOSED_IN_REPORT</x:v>
      </x:c>
      <x:c r="K267" s="19" t="str">
        <x:v>PRIORITY_RANK=23;ORIGINAL_ROW_CONFIDENCE_NOT_EXPOSED</x:v>
      </x:c>
      <x:c r="L267" s="19" t="str">
        <x:v>NOT_EXPOSED_IN_REPORT</x:v>
      </x:c>
      <x:c r="M267" s="19" t="str">
        <x:v>PRIORITY_RANK_23</x:v>
      </x:c>
      <x:c r="N267" s="31" t="str">
        <x:v>RECONSTRUCTED_FROM_REPORT</x:v>
      </x:c>
      <x:c r="O267" s="31" t="str">
        <x:v>UNRESOLVED</x:v>
      </x:c>
      <x:c r="P267" s="19" t="str">
        <x:v>Fear of Temperature_ Stratified Lexical Expansion, Voice Mapping, and Semantic-Relational Pre-Valida.pdf</x:v>
      </x:c>
      <x:c r="Q267" s="31" t="str">
        <x:v>RECONSTRUCTED_FROM_REPORT</x:v>
      </x:c>
      <x:c r="R267" s="46" t="str">
        <x:v>New surrogate project ID assigned from the compact report table; never an original later-stage structured candidate ID.</x:v>
      </x:c>
    </x:row>
    <x:row r="268" ht="32" customHeight="1">
      <x:c r="A268" s="18" t="str">
        <x:v>FT-SEED-R1B-P-1988-24</x:v>
      </x:c>
      <x:c r="B268" s="19" t="str">
        <x:v>PRIORITY_180</x:v>
      </x:c>
      <x:c r="C268" s="31" t="str">
        <x:v>NOT_EXPOSED_IN_REPORT</x:v>
      </x:c>
      <x:c r="D268" s="19" t="str">
        <x:v>9</x:v>
      </x:c>
      <x:c r="E268" s="19" t="str">
        <x:v>FT-A1988</x:v>
      </x:c>
      <x:c r="F268" s="31" t="str">
        <x:v>impending crisis</x:v>
      </x:c>
      <x:c r="G268" s="19" t="str">
        <x:v>D</x:v>
      </x:c>
      <x:c r="H268" s="19" t="str">
        <x:v>V2</x:v>
      </x:c>
      <x:c r="I268" s="19" t="str">
        <x:v>S1988-TORONTO</x:v>
      </x:c>
      <x:c r="J268" s="19" t="str">
        <x:v>NOT_EXPOSED_IN_REPORT</x:v>
      </x:c>
      <x:c r="K268" s="19" t="str">
        <x:v>PRIORITY_RANK=24;ORIGINAL_ROW_CONFIDENCE_NOT_EXPOSED</x:v>
      </x:c>
      <x:c r="L268" s="19" t="str">
        <x:v>NOT_EXPOSED_IN_REPORT</x:v>
      </x:c>
      <x:c r="M268" s="19" t="str">
        <x:v>PRIORITY_RANK_24</x:v>
      </x:c>
      <x:c r="N268" s="31" t="str">
        <x:v>RECONSTRUCTED_FROM_REPORT</x:v>
      </x:c>
      <x:c r="O268" s="31" t="str">
        <x:v>UNRESOLVED</x:v>
      </x:c>
      <x:c r="P268" s="19" t="str">
        <x:v>Fear of Temperature_ Stratified Lexical Expansion, Voice Mapping, and Semantic-Relational Pre-Valida.pdf</x:v>
      </x:c>
      <x:c r="Q268" s="31" t="str">
        <x:v>RECONSTRUCTED_FROM_REPORT</x:v>
      </x:c>
      <x:c r="R268" s="46" t="str">
        <x:v>New surrogate project ID assigned from the compact report table; never an original later-stage structured candidate ID.</x:v>
      </x:c>
    </x:row>
    <x:row r="269" ht="32" customHeight="1">
      <x:c r="A269" s="18" t="str">
        <x:v>FT-SEED-R1B-P-1988-25</x:v>
      </x:c>
      <x:c r="B269" s="19" t="str">
        <x:v>PRIORITY_180</x:v>
      </x:c>
      <x:c r="C269" s="31" t="str">
        <x:v>NOT_EXPOSED_IN_REPORT</x:v>
      </x:c>
      <x:c r="D269" s="19" t="str">
        <x:v>9</x:v>
      </x:c>
      <x:c r="E269" s="19" t="str">
        <x:v>FT-A1988</x:v>
      </x:c>
      <x:c r="F269" s="31" t="str">
        <x:v>degradation of the atmosphere</x:v>
      </x:c>
      <x:c r="G269" s="19" t="str">
        <x:v>D</x:v>
      </x:c>
      <x:c r="H269" s="19" t="str">
        <x:v>V2</x:v>
      </x:c>
      <x:c r="I269" s="19" t="str">
        <x:v>S1988-TORONTO</x:v>
      </x:c>
      <x:c r="J269" s="19" t="str">
        <x:v>NOT_EXPOSED_IN_REPORT</x:v>
      </x:c>
      <x:c r="K269" s="19" t="str">
        <x:v>PRIORITY_RANK=25;ORIGINAL_ROW_CONFIDENCE_NOT_EXPOSED</x:v>
      </x:c>
      <x:c r="L269" s="19" t="str">
        <x:v>NOT_EXPOSED_IN_REPORT</x:v>
      </x:c>
      <x:c r="M269" s="19" t="str">
        <x:v>PRIORITY_RANK_25</x:v>
      </x:c>
      <x:c r="N269" s="31" t="str">
        <x:v>RECONSTRUCTED_FROM_REPORT</x:v>
      </x:c>
      <x:c r="O269" s="31" t="str">
        <x:v>UNRESOLVED</x:v>
      </x:c>
      <x:c r="P269" s="19" t="str">
        <x:v>Fear of Temperature_ Stratified Lexical Expansion, Voice Mapping, and Semantic-Relational Pre-Valida.pdf</x:v>
      </x:c>
      <x:c r="Q269" s="31" t="str">
        <x:v>RECONSTRUCTED_FROM_REPORT</x:v>
      </x:c>
      <x:c r="R269" s="46" t="str">
        <x:v>New surrogate project ID assigned from the compact report table; never an original later-stage structured candidate ID.</x:v>
      </x:c>
    </x:row>
    <x:row r="270" ht="32" customHeight="1">
      <x:c r="A270" s="18" t="str">
        <x:v>FT-SEED-R1B-P-1988-26</x:v>
      </x:c>
      <x:c r="B270" s="19" t="str">
        <x:v>PRIORITY_180</x:v>
      </x:c>
      <x:c r="C270" s="31" t="str">
        <x:v>NOT_EXPOSED_IN_REPORT</x:v>
      </x:c>
      <x:c r="D270" s="19" t="str">
        <x:v>9</x:v>
      </x:c>
      <x:c r="E270" s="19" t="str">
        <x:v>FT-A1988</x:v>
      </x:c>
      <x:c r="F270" s="31" t="str">
        <x:v>atmospheric pollution</x:v>
      </x:c>
      <x:c r="G270" s="19" t="str">
        <x:v>D</x:v>
      </x:c>
      <x:c r="H270" s="19" t="str">
        <x:v>V2</x:v>
      </x:c>
      <x:c r="I270" s="19" t="str">
        <x:v>S1988-TORONTO</x:v>
      </x:c>
      <x:c r="J270" s="19" t="str">
        <x:v>NOT_EXPOSED_IN_REPORT</x:v>
      </x:c>
      <x:c r="K270" s="19" t="str">
        <x:v>PRIORITY_RANK=26;ORIGINAL_ROW_CONFIDENCE_NOT_EXPOSED</x:v>
      </x:c>
      <x:c r="L270" s="19" t="str">
        <x:v>NOT_EXPOSED_IN_REPORT</x:v>
      </x:c>
      <x:c r="M270" s="19" t="str">
        <x:v>PRIORITY_RANK_26</x:v>
      </x:c>
      <x:c r="N270" s="31" t="str">
        <x:v>RECONSTRUCTED_FROM_REPORT</x:v>
      </x:c>
      <x:c r="O270" s="31" t="str">
        <x:v>UNRESOLVED</x:v>
      </x:c>
      <x:c r="P270" s="19" t="str">
        <x:v>Fear of Temperature_ Stratified Lexical Expansion, Voice Mapping, and Semantic-Relational Pre-Valida.pdf</x:v>
      </x:c>
      <x:c r="Q270" s="31" t="str">
        <x:v>RECONSTRUCTED_FROM_REPORT</x:v>
      </x:c>
      <x:c r="R270" s="46" t="str">
        <x:v>New surrogate project ID assigned from the compact report table; never an original later-stage structured candidate ID.</x:v>
      </x:c>
    </x:row>
    <x:row r="271" ht="32" customHeight="1">
      <x:c r="A271" s="18" t="str">
        <x:v>FT-SEED-R1B-P-1988-27</x:v>
      </x:c>
      <x:c r="B271" s="19" t="str">
        <x:v>PRIORITY_180</x:v>
      </x:c>
      <x:c r="C271" s="31" t="str">
        <x:v>NOT_EXPOSED_IN_REPORT</x:v>
      </x:c>
      <x:c r="D271" s="19" t="str">
        <x:v>9</x:v>
      </x:c>
      <x:c r="E271" s="19" t="str">
        <x:v>FT-A1988</x:v>
      </x:c>
      <x:c r="F271" s="31" t="str">
        <x:v>greenhouse gases</x:v>
      </x:c>
      <x:c r="G271" s="19" t="str">
        <x:v>B</x:v>
      </x:c>
      <x:c r="H271" s="19" t="str">
        <x:v>V2</x:v>
      </x:c>
      <x:c r="I271" s="19" t="str">
        <x:v>S1988-TORONTO</x:v>
      </x:c>
      <x:c r="J271" s="19" t="str">
        <x:v>NOT_EXPOSED_IN_REPORT</x:v>
      </x:c>
      <x:c r="K271" s="19" t="str">
        <x:v>PRIORITY_RANK=27;ORIGINAL_ROW_CONFIDENCE_NOT_EXPOSED</x:v>
      </x:c>
      <x:c r="L271" s="19" t="str">
        <x:v>NOT_EXPOSED_IN_REPORT</x:v>
      </x:c>
      <x:c r="M271" s="19" t="str">
        <x:v>PRIORITY_RANK_27</x:v>
      </x:c>
      <x:c r="N271" s="31" t="str">
        <x:v>RECONSTRUCTED_FROM_REPORT</x:v>
      </x:c>
      <x:c r="O271" s="31" t="str">
        <x:v>UNRESOLVED</x:v>
      </x:c>
      <x:c r="P271" s="19" t="str">
        <x:v>Fear of Temperature_ Stratified Lexical Expansion, Voice Mapping, and Semantic-Relational Pre-Valida.pdf</x:v>
      </x:c>
      <x:c r="Q271" s="31" t="str">
        <x:v>RECONSTRUCTED_FROM_REPORT</x:v>
      </x:c>
      <x:c r="R271" s="46" t="str">
        <x:v>New surrogate project ID assigned from the compact report table; never an original later-stage structured candidate ID.</x:v>
      </x:c>
    </x:row>
    <x:row r="272" ht="32" customHeight="1">
      <x:c r="A272" s="18" t="str">
        <x:v>FT-SEED-R1B-P-1988-28</x:v>
      </x:c>
      <x:c r="B272" s="19" t="str">
        <x:v>PRIORITY_180</x:v>
      </x:c>
      <x:c r="C272" s="31" t="str">
        <x:v>NOT_EXPOSED_IN_REPORT</x:v>
      </x:c>
      <x:c r="D272" s="19" t="str">
        <x:v>9</x:v>
      </x:c>
      <x:c r="E272" s="19" t="str">
        <x:v>FT-A1988</x:v>
      </x:c>
      <x:c r="F272" s="31" t="str">
        <x:v>Global Warming Has Begun</x:v>
      </x:c>
      <x:c r="G272" s="19" t="str">
        <x:v>A</x:v>
      </x:c>
      <x:c r="H272" s="19" t="str">
        <x:v>V3</x:v>
      </x:c>
      <x:c r="I272" s="19" t="str">
        <x:v>S1988-NYT</x:v>
      </x:c>
      <x:c r="J272" s="19" t="str">
        <x:v>NOT_EXPOSED_IN_REPORT</x:v>
      </x:c>
      <x:c r="K272" s="19" t="str">
        <x:v>PRIORITY_RANK=28;ORIGINAL_ROW_CONFIDENCE_NOT_EXPOSED</x:v>
      </x:c>
      <x:c r="L272" s="19" t="str">
        <x:v>NOT_EXPOSED_IN_REPORT</x:v>
      </x:c>
      <x:c r="M272" s="19" t="str">
        <x:v>PRIORITY_RANK_28</x:v>
      </x:c>
      <x:c r="N272" s="31" t="str">
        <x:v>RECONSTRUCTED_FROM_REPORT</x:v>
      </x:c>
      <x:c r="O272" s="31" t="str">
        <x:v>UNRESOLVED</x:v>
      </x:c>
      <x:c r="P272" s="19" t="str">
        <x:v>Fear of Temperature_ Stratified Lexical Expansion, Voice Mapping, and Semantic-Relational Pre-Valida.pdf</x:v>
      </x:c>
      <x:c r="Q272" s="31" t="str">
        <x:v>RECONSTRUCTED_FROM_REPORT</x:v>
      </x:c>
      <x:c r="R272" s="46" t="str">
        <x:v>New surrogate project ID assigned from the compact report table; never an original later-stage structured candidate ID.</x:v>
      </x:c>
    </x:row>
    <x:row r="273" ht="32" customHeight="1">
      <x:c r="A273" s="18" t="str">
        <x:v>FT-SEED-R1B-P-1988-29</x:v>
      </x:c>
      <x:c r="B273" s="19" t="str">
        <x:v>PRIORITY_180</x:v>
      </x:c>
      <x:c r="C273" s="31" t="str">
        <x:v>NOT_EXPOSED_IN_REPORT</x:v>
      </x:c>
      <x:c r="D273" s="19" t="str">
        <x:v>9</x:v>
      </x:c>
      <x:c r="E273" s="19" t="str">
        <x:v>FT-A1988</x:v>
      </x:c>
      <x:c r="F273" s="31" t="str">
        <x:v>evidence is pretty strong</x:v>
      </x:c>
      <x:c r="G273" s="19" t="str">
        <x:v>C</x:v>
      </x:c>
      <x:c r="H273" s="19" t="str">
        <x:v>V3</x:v>
      </x:c>
      <x:c r="I273" s="19" t="str">
        <x:v>S1988-NYT</x:v>
      </x:c>
      <x:c r="J273" s="19" t="str">
        <x:v>NOT_EXPOSED_IN_REPORT</x:v>
      </x:c>
      <x:c r="K273" s="19" t="str">
        <x:v>PRIORITY_RANK=29;ORIGINAL_ROW_CONFIDENCE_NOT_EXPOSED</x:v>
      </x:c>
      <x:c r="L273" s="19" t="str">
        <x:v>NOT_EXPOSED_IN_REPORT</x:v>
      </x:c>
      <x:c r="M273" s="19" t="str">
        <x:v>PRIORITY_RANK_29</x:v>
      </x:c>
      <x:c r="N273" s="31" t="str">
        <x:v>RECONSTRUCTED_FROM_REPORT</x:v>
      </x:c>
      <x:c r="O273" s="31" t="str">
        <x:v>UNRESOLVED</x:v>
      </x:c>
      <x:c r="P273" s="19" t="str">
        <x:v>Fear of Temperature_ Stratified Lexical Expansion, Voice Mapping, and Semantic-Relational Pre-Valida.pdf</x:v>
      </x:c>
      <x:c r="Q273" s="31" t="str">
        <x:v>RECONSTRUCTED_FROM_REPORT</x:v>
      </x:c>
      <x:c r="R273" s="46" t="str">
        <x:v>New surrogate project ID assigned from the compact report table; never an original later-stage structured candidate ID.</x:v>
      </x:c>
    </x:row>
    <x:row r="274" ht="32" customHeight="1">
      <x:c r="A274" s="18" t="str">
        <x:v>FT-SEED-R1B-P-1988-30</x:v>
      </x:c>
      <x:c r="B274" s="19" t="str">
        <x:v>PRIORITY_180</x:v>
      </x:c>
      <x:c r="C274" s="31" t="str">
        <x:v>NOT_EXPOSED_IN_REPORT</x:v>
      </x:c>
      <x:c r="D274" s="19" t="str">
        <x:v>9</x:v>
      </x:c>
      <x:c r="E274" s="19" t="str">
        <x:v>FT-A1988</x:v>
      </x:c>
      <x:c r="F274" s="31" t="str">
        <x:v>too much carbon dioxide is dangerous</x:v>
      </x:c>
      <x:c r="G274" s="19" t="str">
        <x:v>D</x:v>
      </x:c>
      <x:c r="H274" s="19" t="str">
        <x:v>V3</x:v>
      </x:c>
      <x:c r="I274" s="19" t="str">
        <x:v>S1988-EVENINGSTANDARD</x:v>
      </x:c>
      <x:c r="J274" s="19" t="str">
        <x:v>NOT_EXPOSED_IN_REPORT</x:v>
      </x:c>
      <x:c r="K274" s="19" t="str">
        <x:v>PRIORITY_RANK=30;ORIGINAL_ROW_CONFIDENCE_NOT_EXPOSED</x:v>
      </x:c>
      <x:c r="L274" s="19" t="str">
        <x:v>NOT_EXPOSED_IN_REPORT</x:v>
      </x:c>
      <x:c r="M274" s="19" t="str">
        <x:v>PRIORITY_RANK_30</x:v>
      </x:c>
      <x:c r="N274" s="31" t="str">
        <x:v>RECONSTRUCTED_FROM_REPORT</x:v>
      </x:c>
      <x:c r="O274" s="31" t="str">
        <x:v>UNRESOLVED</x:v>
      </x:c>
      <x:c r="P274" s="19" t="str">
        <x:v>Fear of Temperature_ Stratified Lexical Expansion, Voice Mapping, and Semantic-Relational Pre-Valida.pdf</x:v>
      </x:c>
      <x:c r="Q274" s="31" t="str">
        <x:v>RECONSTRUCTED_FROM_REPORT</x:v>
      </x:c>
      <x:c r="R274" s="46" t="str">
        <x:v>New surrogate project ID assigned from the compact report table; never an original later-stage structured candidate ID.</x:v>
      </x:c>
    </x:row>
    <x:row r="275" ht="32" customHeight="1">
      <x:c r="A275" s="18" t="str">
        <x:v>FT-SEED-R1B-P-0607-01</x:v>
      </x:c>
      <x:c r="B275" s="19" t="str">
        <x:v>PRIORITY_180</x:v>
      </x:c>
      <x:c r="C275" s="31" t="str">
        <x:v>NOT_EXPOSED_IN_REPORT</x:v>
      </x:c>
      <x:c r="D275" s="19" t="str">
        <x:v>10</x:v>
      </x:c>
      <x:c r="E275" s="19" t="str">
        <x:v>FT-A0607</x:v>
      </x:c>
      <x:c r="F275" s="31" t="str">
        <x:v>warming of the climate system</x:v>
      </x:c>
      <x:c r="G275" s="19" t="str">
        <x:v>A</x:v>
      </x:c>
      <x:c r="H275" s="19" t="str">
        <x:v>V1</x:v>
      </x:c>
      <x:c r="I275" s="19" t="str">
        <x:v>S0607-IPCC</x:v>
      </x:c>
      <x:c r="J275" s="19" t="str">
        <x:v>NOT_EXPOSED_IN_REPORT</x:v>
      </x:c>
      <x:c r="K275" s="19" t="str">
        <x:v>PRIORITY_RANK=1;ORIGINAL_ROW_CONFIDENCE_NOT_EXPOSED</x:v>
      </x:c>
      <x:c r="L275" s="19" t="str">
        <x:v>NOT_EXPOSED_IN_REPORT</x:v>
      </x:c>
      <x:c r="M275" s="19" t="str">
        <x:v>PRIORITY_RANK_01</x:v>
      </x:c>
      <x:c r="N275" s="31" t="str">
        <x:v>RECONSTRUCTED_FROM_REPORT</x:v>
      </x:c>
      <x:c r="O275" s="31" t="str">
        <x:v>UNRESOLVED</x:v>
      </x:c>
      <x:c r="P275" s="19" t="str">
        <x:v>Fear of Temperature_ Stratified Lexical Expansion, Voice Mapping, and Semantic-Relational Pre-Valida.pdf</x:v>
      </x:c>
      <x:c r="Q275" s="31" t="str">
        <x:v>RECONSTRUCTED_FROM_REPORT</x:v>
      </x:c>
      <x:c r="R275" s="46" t="str">
        <x:v>New surrogate project ID assigned from the compact report table; never an original later-stage structured candidate ID.</x:v>
      </x:c>
    </x:row>
    <x:row r="276" ht="32" customHeight="1">
      <x:c r="A276" s="18" t="str">
        <x:v>FT-SEED-R1B-P-0607-02</x:v>
      </x:c>
      <x:c r="B276" s="19" t="str">
        <x:v>PRIORITY_180</x:v>
      </x:c>
      <x:c r="C276" s="31" t="str">
        <x:v>NOT_EXPOSED_IN_REPORT</x:v>
      </x:c>
      <x:c r="D276" s="19" t="str">
        <x:v>10</x:v>
      </x:c>
      <x:c r="E276" s="19" t="str">
        <x:v>FT-A0607</x:v>
      </x:c>
      <x:c r="F276" s="31" t="str">
        <x:v>unequivocal</x:v>
      </x:c>
      <x:c r="G276" s="19" t="str">
        <x:v>B</x:v>
      </x:c>
      <x:c r="H276" s="19" t="str">
        <x:v>V1</x:v>
      </x:c>
      <x:c r="I276" s="19" t="str">
        <x:v>S0607-IPCC</x:v>
      </x:c>
      <x:c r="J276" s="19" t="str">
        <x:v>NOT_EXPOSED_IN_REPORT</x:v>
      </x:c>
      <x:c r="K276" s="19" t="str">
        <x:v>PRIORITY_RANK=2;ORIGINAL_ROW_CONFIDENCE_NOT_EXPOSED</x:v>
      </x:c>
      <x:c r="L276" s="19" t="str">
        <x:v>NOT_EXPOSED_IN_REPORT</x:v>
      </x:c>
      <x:c r="M276" s="19" t="str">
        <x:v>PRIORITY_RANK_02</x:v>
      </x:c>
      <x:c r="N276" s="31" t="str">
        <x:v>RECONSTRUCTED_FROM_REPORT</x:v>
      </x:c>
      <x:c r="O276" s="31" t="str">
        <x:v>UNRESOLVED</x:v>
      </x:c>
      <x:c r="P276" s="19" t="str">
        <x:v>Fear of Temperature_ Stratified Lexical Expansion, Voice Mapping, and Semantic-Relational Pre-Valida.pdf</x:v>
      </x:c>
      <x:c r="Q276" s="31" t="str">
        <x:v>RECONSTRUCTED_FROM_REPORT</x:v>
      </x:c>
      <x:c r="R276" s="46" t="str">
        <x:v>New surrogate project ID assigned from the compact report table; never an original later-stage structured candidate ID.</x:v>
      </x:c>
    </x:row>
    <x:row r="277" ht="32" customHeight="1">
      <x:c r="A277" s="18" t="str">
        <x:v>FT-SEED-R1B-P-0607-03</x:v>
      </x:c>
      <x:c r="B277" s="19" t="str">
        <x:v>PRIORITY_180</x:v>
      </x:c>
      <x:c r="C277" s="31" t="str">
        <x:v>NOT_EXPOSED_IN_REPORT</x:v>
      </x:c>
      <x:c r="D277" s="19" t="str">
        <x:v>10</x:v>
      </x:c>
      <x:c r="E277" s="19" t="str">
        <x:v>FT-A0607</x:v>
      </x:c>
      <x:c r="F277" s="31" t="str">
        <x:v>global average air and ocean temperatures</x:v>
      </x:c>
      <x:c r="G277" s="19" t="str">
        <x:v>A</x:v>
      </x:c>
      <x:c r="H277" s="19" t="str">
        <x:v>V1</x:v>
      </x:c>
      <x:c r="I277" s="19" t="str">
        <x:v>S0607-IPCC</x:v>
      </x:c>
      <x:c r="J277" s="19" t="str">
        <x:v>NOT_EXPOSED_IN_REPORT</x:v>
      </x:c>
      <x:c r="K277" s="19" t="str">
        <x:v>PRIORITY_RANK=3;ORIGINAL_ROW_CONFIDENCE_NOT_EXPOSED</x:v>
      </x:c>
      <x:c r="L277" s="19" t="str">
        <x:v>NOT_EXPOSED_IN_REPORT</x:v>
      </x:c>
      <x:c r="M277" s="19" t="str">
        <x:v>PRIORITY_RANK_03</x:v>
      </x:c>
      <x:c r="N277" s="31" t="str">
        <x:v>RECONSTRUCTED_FROM_REPORT</x:v>
      </x:c>
      <x:c r="O277" s="31" t="str">
        <x:v>UNRESOLVED</x:v>
      </x:c>
      <x:c r="P277" s="19" t="str">
        <x:v>Fear of Temperature_ Stratified Lexical Expansion, Voice Mapping, and Semantic-Relational Pre-Valida.pdf</x:v>
      </x:c>
      <x:c r="Q277" s="31" t="str">
        <x:v>RECONSTRUCTED_FROM_REPORT</x:v>
      </x:c>
      <x:c r="R277" s="46" t="str">
        <x:v>New surrogate project ID assigned from the compact report table; never an original later-stage structured candidate ID.</x:v>
      </x:c>
    </x:row>
    <x:row r="278" ht="32" customHeight="1">
      <x:c r="A278" s="18" t="str">
        <x:v>FT-SEED-R1B-P-0607-04</x:v>
      </x:c>
      <x:c r="B278" s="19" t="str">
        <x:v>PRIORITY_180</x:v>
      </x:c>
      <x:c r="C278" s="31" t="str">
        <x:v>NOT_EXPOSED_IN_REPORT</x:v>
      </x:c>
      <x:c r="D278" s="19" t="str">
        <x:v>10</x:v>
      </x:c>
      <x:c r="E278" s="19" t="str">
        <x:v>FT-A0607</x:v>
      </x:c>
      <x:c r="F278" s="31" t="str">
        <x:v>global surface temperature</x:v>
      </x:c>
      <x:c r="G278" s="19" t="str">
        <x:v>A</x:v>
      </x:c>
      <x:c r="H278" s="19" t="str">
        <x:v>V1</x:v>
      </x:c>
      <x:c r="I278" s="19" t="str">
        <x:v>S0607-IPCC</x:v>
      </x:c>
      <x:c r="J278" s="19" t="str">
        <x:v>NOT_EXPOSED_IN_REPORT</x:v>
      </x:c>
      <x:c r="K278" s="19" t="str">
        <x:v>PRIORITY_RANK=4;ORIGINAL_ROW_CONFIDENCE_NOT_EXPOSED</x:v>
      </x:c>
      <x:c r="L278" s="19" t="str">
        <x:v>NOT_EXPOSED_IN_REPORT</x:v>
      </x:c>
      <x:c r="M278" s="19" t="str">
        <x:v>PRIORITY_RANK_04</x:v>
      </x:c>
      <x:c r="N278" s="31" t="str">
        <x:v>RECONSTRUCTED_FROM_REPORT</x:v>
      </x:c>
      <x:c r="O278" s="31" t="str">
        <x:v>UNRESOLVED</x:v>
      </x:c>
      <x:c r="P278" s="19" t="str">
        <x:v>Fear of Temperature_ Stratified Lexical Expansion, Voice Mapping, and Semantic-Relational Pre-Valida.pdf</x:v>
      </x:c>
      <x:c r="Q278" s="31" t="str">
        <x:v>RECONSTRUCTED_FROM_REPORT</x:v>
      </x:c>
      <x:c r="R278" s="46" t="str">
        <x:v>New surrogate project ID assigned from the compact report table; never an original later-stage structured candidate ID.</x:v>
      </x:c>
    </x:row>
    <x:row r="279" ht="32" customHeight="1">
      <x:c r="A279" s="18" t="str">
        <x:v>FT-SEED-R1B-P-0607-05</x:v>
      </x:c>
      <x:c r="B279" s="19" t="str">
        <x:v>PRIORITY_180</x:v>
      </x:c>
      <x:c r="C279" s="31" t="str">
        <x:v>NOT_EXPOSED_IN_REPORT</x:v>
      </x:c>
      <x:c r="D279" s="19" t="str">
        <x:v>10</x:v>
      </x:c>
      <x:c r="E279" s="19" t="str">
        <x:v>FT-A0607</x:v>
      </x:c>
      <x:c r="F279" s="31" t="str">
        <x:v>temperature increase</x:v>
      </x:c>
      <x:c r="G279" s="19" t="str">
        <x:v>A</x:v>
      </x:c>
      <x:c r="H279" s="19" t="str">
        <x:v>V1</x:v>
      </x:c>
      <x:c r="I279" s="19" t="str">
        <x:v>S0607-IPCC</x:v>
      </x:c>
      <x:c r="J279" s="19" t="str">
        <x:v>NOT_EXPOSED_IN_REPORT</x:v>
      </x:c>
      <x:c r="K279" s="19" t="str">
        <x:v>PRIORITY_RANK=5;ORIGINAL_ROW_CONFIDENCE_NOT_EXPOSED</x:v>
      </x:c>
      <x:c r="L279" s="19" t="str">
        <x:v>NOT_EXPOSED_IN_REPORT</x:v>
      </x:c>
      <x:c r="M279" s="19" t="str">
        <x:v>PRIORITY_RANK_05</x:v>
      </x:c>
      <x:c r="N279" s="31" t="str">
        <x:v>RECONSTRUCTED_FROM_REPORT</x:v>
      </x:c>
      <x:c r="O279" s="31" t="str">
        <x:v>UNRESOLVED</x:v>
      </x:c>
      <x:c r="P279" s="19" t="str">
        <x:v>Fear of Temperature_ Stratified Lexical Expansion, Voice Mapping, and Semantic-Relational Pre-Valida.pdf</x:v>
      </x:c>
      <x:c r="Q279" s="31" t="str">
        <x:v>RECONSTRUCTED_FROM_REPORT</x:v>
      </x:c>
      <x:c r="R279" s="46" t="str">
        <x:v>New surrogate project ID assigned from the compact report table; never an original later-stage structured candidate ID.</x:v>
      </x:c>
    </x:row>
    <x:row r="280" ht="32" customHeight="1">
      <x:c r="A280" s="18" t="str">
        <x:v>FT-SEED-R1B-P-0607-06</x:v>
      </x:c>
      <x:c r="B280" s="19" t="str">
        <x:v>PRIORITY_180</x:v>
      </x:c>
      <x:c r="C280" s="31" t="str">
        <x:v>NOT_EXPOSED_IN_REPORT</x:v>
      </x:c>
      <x:c r="D280" s="19" t="str">
        <x:v>10</x:v>
      </x:c>
      <x:c r="E280" s="19" t="str">
        <x:v>FT-A0607</x:v>
      </x:c>
      <x:c r="F280" s="31" t="str">
        <x:v>rising global average sea level</x:v>
      </x:c>
      <x:c r="G280" s="19" t="str">
        <x:v>D</x:v>
      </x:c>
      <x:c r="H280" s="19" t="str">
        <x:v>V1</x:v>
      </x:c>
      <x:c r="I280" s="19" t="str">
        <x:v>S0607-IPCC</x:v>
      </x:c>
      <x:c r="J280" s="19" t="str">
        <x:v>NOT_EXPOSED_IN_REPORT</x:v>
      </x:c>
      <x:c r="K280" s="19" t="str">
        <x:v>PRIORITY_RANK=6;ORIGINAL_ROW_CONFIDENCE_NOT_EXPOSED</x:v>
      </x:c>
      <x:c r="L280" s="19" t="str">
        <x:v>NOT_EXPOSED_IN_REPORT</x:v>
      </x:c>
      <x:c r="M280" s="19" t="str">
        <x:v>PRIORITY_RANK_06</x:v>
      </x:c>
      <x:c r="N280" s="31" t="str">
        <x:v>RECONSTRUCTED_FROM_REPORT</x:v>
      </x:c>
      <x:c r="O280" s="31" t="str">
        <x:v>UNRESOLVED</x:v>
      </x:c>
      <x:c r="P280" s="19" t="str">
        <x:v>Fear of Temperature_ Stratified Lexical Expansion, Voice Mapping, and Semantic-Relational Pre-Valida.pdf</x:v>
      </x:c>
      <x:c r="Q280" s="31" t="str">
        <x:v>RECONSTRUCTED_FROM_REPORT</x:v>
      </x:c>
      <x:c r="R280" s="46" t="str">
        <x:v>New surrogate project ID assigned from the compact report table; never an original later-stage structured candidate ID.</x:v>
      </x:c>
    </x:row>
    <x:row r="281" ht="32" customHeight="1">
      <x:c r="A281" s="18" t="str">
        <x:v>FT-SEED-R1B-P-0607-07</x:v>
      </x:c>
      <x:c r="B281" s="19" t="str">
        <x:v>PRIORITY_180</x:v>
      </x:c>
      <x:c r="C281" s="31" t="str">
        <x:v>NOT_EXPOSED_IN_REPORT</x:v>
      </x:c>
      <x:c r="D281" s="19" t="str">
        <x:v>10</x:v>
      </x:c>
      <x:c r="E281" s="19" t="str">
        <x:v>FT-A0607</x:v>
      </x:c>
      <x:c r="F281" s="31" t="str">
        <x:v>widespread melting of snow and ice</x:v>
      </x:c>
      <x:c r="G281" s="19" t="str">
        <x:v>D</x:v>
      </x:c>
      <x:c r="H281" s="19" t="str">
        <x:v>V1</x:v>
      </x:c>
      <x:c r="I281" s="19" t="str">
        <x:v>S0607-IPCC</x:v>
      </x:c>
      <x:c r="J281" s="19" t="str">
        <x:v>NOT_EXPOSED_IN_REPORT</x:v>
      </x:c>
      <x:c r="K281" s="19" t="str">
        <x:v>PRIORITY_RANK=7;ORIGINAL_ROW_CONFIDENCE_NOT_EXPOSED</x:v>
      </x:c>
      <x:c r="L281" s="19" t="str">
        <x:v>NOT_EXPOSED_IN_REPORT</x:v>
      </x:c>
      <x:c r="M281" s="19" t="str">
        <x:v>PRIORITY_RANK_07</x:v>
      </x:c>
      <x:c r="N281" s="31" t="str">
        <x:v>RECONSTRUCTED_FROM_REPORT</x:v>
      </x:c>
      <x:c r="O281" s="31" t="str">
        <x:v>UNRESOLVED</x:v>
      </x:c>
      <x:c r="P281" s="19" t="str">
        <x:v>Fear of Temperature_ Stratified Lexical Expansion, Voice Mapping, and Semantic-Relational Pre-Valida.pdf</x:v>
      </x:c>
      <x:c r="Q281" s="31" t="str">
        <x:v>RECONSTRUCTED_FROM_REPORT</x:v>
      </x:c>
      <x:c r="R281" s="46" t="str">
        <x:v>New surrogate project ID assigned from the compact report table; never an original later-stage structured candidate ID.</x:v>
      </x:c>
    </x:row>
    <x:row r="282" ht="32" customHeight="1">
      <x:c r="A282" s="18" t="str">
        <x:v>FT-SEED-R1B-P-0607-08</x:v>
      </x:c>
      <x:c r="B282" s="19" t="str">
        <x:v>PRIORITY_180</x:v>
      </x:c>
      <x:c r="C282" s="31" t="str">
        <x:v>NOT_EXPOSED_IN_REPORT</x:v>
      </x:c>
      <x:c r="D282" s="19" t="str">
        <x:v>10</x:v>
      </x:c>
      <x:c r="E282" s="19" t="str">
        <x:v>FT-A0607</x:v>
      </x:c>
      <x:c r="F282" s="31" t="str">
        <x:v>anthropogenic CO₂</x:v>
      </x:c>
      <x:c r="G282" s="19" t="str">
        <x:v>B</x:v>
      </x:c>
      <x:c r="H282" s="19" t="str">
        <x:v>V1</x:v>
      </x:c>
      <x:c r="I282" s="19" t="str">
        <x:v>S0607-IPCC</x:v>
      </x:c>
      <x:c r="J282" s="19" t="str">
        <x:v>NOT_EXPOSED_IN_REPORT</x:v>
      </x:c>
      <x:c r="K282" s="19" t="str">
        <x:v>PRIORITY_RANK=8;ORIGINAL_ROW_CONFIDENCE_NOT_EXPOSED</x:v>
      </x:c>
      <x:c r="L282" s="19" t="str">
        <x:v>NOT_EXPOSED_IN_REPORT</x:v>
      </x:c>
      <x:c r="M282" s="19" t="str">
        <x:v>PRIORITY_RANK_08</x:v>
      </x:c>
      <x:c r="N282" s="31" t="str">
        <x:v>RECONSTRUCTED_FROM_REPORT</x:v>
      </x:c>
      <x:c r="O282" s="31" t="str">
        <x:v>UNRESOLVED</x:v>
      </x:c>
      <x:c r="P282" s="19" t="str">
        <x:v>Fear of Temperature_ Stratified Lexical Expansion, Voice Mapping, and Semantic-Relational Pre-Valida.pdf</x:v>
      </x:c>
      <x:c r="Q282" s="31" t="str">
        <x:v>RECONSTRUCTED_FROM_REPORT</x:v>
      </x:c>
      <x:c r="R282" s="46" t="str">
        <x:v>New surrogate project ID assigned from the compact report table; never an original later-stage structured candidate ID.</x:v>
      </x:c>
    </x:row>
    <x:row r="283" ht="32" customHeight="1">
      <x:c r="A283" s="18" t="str">
        <x:v>FT-SEED-R1B-P-0607-09</x:v>
      </x:c>
      <x:c r="B283" s="19" t="str">
        <x:v>PRIORITY_180</x:v>
      </x:c>
      <x:c r="C283" s="31" t="str">
        <x:v>NOT_EXPOSED_IN_REPORT</x:v>
      </x:c>
      <x:c r="D283" s="19" t="str">
        <x:v>10</x:v>
      </x:c>
      <x:c r="E283" s="19" t="str">
        <x:v>FT-A0607</x:v>
      </x:c>
      <x:c r="F283" s="31" t="str">
        <x:v>anthropogenic GHG emissions</x:v>
      </x:c>
      <x:c r="G283" s="19" t="str">
        <x:v>B</x:v>
      </x:c>
      <x:c r="H283" s="19" t="str">
        <x:v>V1</x:v>
      </x:c>
      <x:c r="I283" s="19" t="str">
        <x:v>S0607-IPCC</x:v>
      </x:c>
      <x:c r="J283" s="19" t="str">
        <x:v>NOT_EXPOSED_IN_REPORT</x:v>
      </x:c>
      <x:c r="K283" s="19" t="str">
        <x:v>PRIORITY_RANK=9;ORIGINAL_ROW_CONFIDENCE_NOT_EXPOSED</x:v>
      </x:c>
      <x:c r="L283" s="19" t="str">
        <x:v>NOT_EXPOSED_IN_REPORT</x:v>
      </x:c>
      <x:c r="M283" s="19" t="str">
        <x:v>PRIORITY_RANK_09</x:v>
      </x:c>
      <x:c r="N283" s="31" t="str">
        <x:v>RECONSTRUCTED_FROM_REPORT</x:v>
      </x:c>
      <x:c r="O283" s="31" t="str">
        <x:v>UNRESOLVED</x:v>
      </x:c>
      <x:c r="P283" s="19" t="str">
        <x:v>Fear of Temperature_ Stratified Lexical Expansion, Voice Mapping, and Semantic-Relational Pre-Valida.pdf</x:v>
      </x:c>
      <x:c r="Q283" s="31" t="str">
        <x:v>RECONSTRUCTED_FROM_REPORT</x:v>
      </x:c>
      <x:c r="R283" s="46" t="str">
        <x:v>New surrogate project ID assigned from the compact report table; never an original later-stage structured candidate ID.</x:v>
      </x:c>
    </x:row>
    <x:row r="284" ht="32" customHeight="1">
      <x:c r="A284" s="18" t="str">
        <x:v>FT-SEED-R1B-P-0607-10</x:v>
      </x:c>
      <x:c r="B284" s="19" t="str">
        <x:v>PRIORITY_180</x:v>
      </x:c>
      <x:c r="C284" s="31" t="str">
        <x:v>NOT_EXPOSED_IN_REPORT</x:v>
      </x:c>
      <x:c r="D284" s="19" t="str">
        <x:v>10</x:v>
      </x:c>
      <x:c r="E284" s="19" t="str">
        <x:v>FT-A0607</x:v>
      </x:c>
      <x:c r="F284" s="31" t="str">
        <x:v>climate change</x:v>
      </x:c>
      <x:c r="G284" s="19" t="str">
        <x:v>B</x:v>
      </x:c>
      <x:c r="H284" s="19" t="str">
        <x:v>V2</x:v>
      </x:c>
      <x:c r="I284" s="19" t="str">
        <x:v>S0607-STERN</x:v>
      </x:c>
      <x:c r="J284" s="19" t="str">
        <x:v>NOT_EXPOSED_IN_REPORT</x:v>
      </x:c>
      <x:c r="K284" s="19" t="str">
        <x:v>PRIORITY_RANK=10;ORIGINAL_ROW_CONFIDENCE_NOT_EXPOSED</x:v>
      </x:c>
      <x:c r="L284" s="19" t="str">
        <x:v>NOT_EXPOSED_IN_REPORT</x:v>
      </x:c>
      <x:c r="M284" s="19" t="str">
        <x:v>PRIORITY_RANK_10</x:v>
      </x:c>
      <x:c r="N284" s="31" t="str">
        <x:v>RECONSTRUCTED_FROM_REPORT</x:v>
      </x:c>
      <x:c r="O284" s="31" t="str">
        <x:v>UNRESOLVED</x:v>
      </x:c>
      <x:c r="P284" s="19" t="str">
        <x:v>Fear of Temperature_ Stratified Lexical Expansion, Voice Mapping, and Semantic-Relational Pre-Valida.pdf</x:v>
      </x:c>
      <x:c r="Q284" s="31" t="str">
        <x:v>RECONSTRUCTED_FROM_REPORT</x:v>
      </x:c>
      <x:c r="R284" s="46" t="str">
        <x:v>New surrogate project ID assigned from the compact report table; never an original later-stage structured candidate ID.</x:v>
      </x:c>
    </x:row>
    <x:row r="285" ht="32" customHeight="1">
      <x:c r="A285" s="18" t="str">
        <x:v>FT-SEED-R1B-P-0607-11</x:v>
      </x:c>
      <x:c r="B285" s="19" t="str">
        <x:v>PRIORITY_180</x:v>
      </x:c>
      <x:c r="C285" s="31" t="str">
        <x:v>NOT_EXPOSED_IN_REPORT</x:v>
      </x:c>
      <x:c r="D285" s="19" t="str">
        <x:v>10</x:v>
      </x:c>
      <x:c r="E285" s="19" t="str">
        <x:v>FT-A0607</x:v>
      </x:c>
      <x:c r="F285" s="31" t="str">
        <x:v>global warming</x:v>
      </x:c>
      <x:c r="G285" s="19" t="str">
        <x:v>A</x:v>
      </x:c>
      <x:c r="H285" s="19" t="str">
        <x:v>V3</x:v>
      </x:c>
      <x:c r="I285" s="19" t="str">
        <x:v>S0607-TIME</x:v>
      </x:c>
      <x:c r="J285" s="19" t="str">
        <x:v>NOT_EXPOSED_IN_REPORT</x:v>
      </x:c>
      <x:c r="K285" s="19" t="str">
        <x:v>PRIORITY_RANK=11;ORIGINAL_ROW_CONFIDENCE_NOT_EXPOSED</x:v>
      </x:c>
      <x:c r="L285" s="19" t="str">
        <x:v>NOT_EXPOSED_IN_REPORT</x:v>
      </x:c>
      <x:c r="M285" s="19" t="str">
        <x:v>PRIORITY_RANK_11</x:v>
      </x:c>
      <x:c r="N285" s="31" t="str">
        <x:v>RECONSTRUCTED_FROM_REPORT</x:v>
      </x:c>
      <x:c r="O285" s="31" t="str">
        <x:v>UNRESOLVED</x:v>
      </x:c>
      <x:c r="P285" s="19" t="str">
        <x:v>Fear of Temperature_ Stratified Lexical Expansion, Voice Mapping, and Semantic-Relational Pre-Valida.pdf</x:v>
      </x:c>
      <x:c r="Q285" s="31" t="str">
        <x:v>RECONSTRUCTED_FROM_REPORT</x:v>
      </x:c>
      <x:c r="R285" s="46" t="str">
        <x:v>New surrogate project ID assigned from the compact report table; never an original later-stage structured candidate ID.</x:v>
      </x:c>
    </x:row>
    <x:row r="286" ht="32" customHeight="1">
      <x:c r="A286" s="18" t="str">
        <x:v>FT-SEED-R1B-P-0607-12</x:v>
      </x:c>
      <x:c r="B286" s="19" t="str">
        <x:v>PRIORITY_180</x:v>
      </x:c>
      <x:c r="C286" s="31" t="str">
        <x:v>NOT_EXPOSED_IN_REPORT</x:v>
      </x:c>
      <x:c r="D286" s="19" t="str">
        <x:v>10</x:v>
      </x:c>
      <x:c r="E286" s="19" t="str">
        <x:v>FT-A0607</x:v>
      </x:c>
      <x:c r="F286" s="31" t="str">
        <x:v>serious global threat</x:v>
      </x:c>
      <x:c r="G286" s="19" t="str">
        <x:v>D</x:v>
      </x:c>
      <x:c r="H286" s="19" t="str">
        <x:v>V2</x:v>
      </x:c>
      <x:c r="I286" s="19" t="str">
        <x:v>S0607-STERN</x:v>
      </x:c>
      <x:c r="J286" s="19" t="str">
        <x:v>NOT_EXPOSED_IN_REPORT</x:v>
      </x:c>
      <x:c r="K286" s="19" t="str">
        <x:v>PRIORITY_RANK=12;ORIGINAL_ROW_CONFIDENCE_NOT_EXPOSED</x:v>
      </x:c>
      <x:c r="L286" s="19" t="str">
        <x:v>NOT_EXPOSED_IN_REPORT</x:v>
      </x:c>
      <x:c r="M286" s="19" t="str">
        <x:v>PRIORITY_RANK_12</x:v>
      </x:c>
      <x:c r="N286" s="31" t="str">
        <x:v>RECONSTRUCTED_FROM_REPORT</x:v>
      </x:c>
      <x:c r="O286" s="31" t="str">
        <x:v>UNRESOLVED</x:v>
      </x:c>
      <x:c r="P286" s="19" t="str">
        <x:v>Fear of Temperature_ Stratified Lexical Expansion, Voice Mapping, and Semantic-Relational Pre-Valida.pdf</x:v>
      </x:c>
      <x:c r="Q286" s="31" t="str">
        <x:v>RECONSTRUCTED_FROM_REPORT</x:v>
      </x:c>
      <x:c r="R286" s="46" t="str">
        <x:v>New surrogate project ID assigned from the compact report table; never an original later-stage structured candidate ID.</x:v>
      </x:c>
    </x:row>
    <x:row r="287" ht="32" customHeight="1">
      <x:c r="A287" s="18" t="str">
        <x:v>FT-SEED-R1B-P-0607-13</x:v>
      </x:c>
      <x:c r="B287" s="19" t="str">
        <x:v>PRIORITY_180</x:v>
      </x:c>
      <x:c r="C287" s="31" t="str">
        <x:v>NOT_EXPOSED_IN_REPORT</x:v>
      </x:c>
      <x:c r="D287" s="19" t="str">
        <x:v>10</x:v>
      </x:c>
      <x:c r="E287" s="19" t="str">
        <x:v>FT-A0607</x:v>
      </x:c>
      <x:c r="F287" s="31" t="str">
        <x:v>urgent global response</x:v>
      </x:c>
      <x:c r="G287" s="19" t="str">
        <x:v>D</x:v>
      </x:c>
      <x:c r="H287" s="19" t="str">
        <x:v>V2</x:v>
      </x:c>
      <x:c r="I287" s="19" t="str">
        <x:v>S0607-STERN</x:v>
      </x:c>
      <x:c r="J287" s="19" t="str">
        <x:v>NOT_EXPOSED_IN_REPORT</x:v>
      </x:c>
      <x:c r="K287" s="19" t="str">
        <x:v>PRIORITY_RANK=13;ORIGINAL_ROW_CONFIDENCE_NOT_EXPOSED</x:v>
      </x:c>
      <x:c r="L287" s="19" t="str">
        <x:v>NOT_EXPOSED_IN_REPORT</x:v>
      </x:c>
      <x:c r="M287" s="19" t="str">
        <x:v>PRIORITY_RANK_13</x:v>
      </x:c>
      <x:c r="N287" s="31" t="str">
        <x:v>RECONSTRUCTED_FROM_REPORT</x:v>
      </x:c>
      <x:c r="O287" s="31" t="str">
        <x:v>UNRESOLVED</x:v>
      </x:c>
      <x:c r="P287" s="19" t="str">
        <x:v>Fear of Temperature_ Stratified Lexical Expansion, Voice Mapping, and Semantic-Relational Pre-Valida.pdf</x:v>
      </x:c>
      <x:c r="Q287" s="31" t="str">
        <x:v>RECONSTRUCTED_FROM_REPORT</x:v>
      </x:c>
      <x:c r="R287" s="46" t="str">
        <x:v>New surrogate project ID assigned from the compact report table; never an original later-stage structured candidate ID.</x:v>
      </x:c>
    </x:row>
    <x:row r="288" ht="32" customHeight="1">
      <x:c r="A288" s="18" t="str">
        <x:v>FT-SEED-R1B-P-0607-14</x:v>
      </x:c>
      <x:c r="B288" s="19" t="str">
        <x:v>PRIORITY_180</x:v>
      </x:c>
      <x:c r="C288" s="31" t="str">
        <x:v>NOT_EXPOSED_IN_REPORT</x:v>
      </x:c>
      <x:c r="D288" s="19" t="str">
        <x:v>10</x:v>
      </x:c>
      <x:c r="E288" s="19" t="str">
        <x:v>FT-A0607</x:v>
      </x:c>
      <x:c r="F288" s="31" t="str">
        <x:v>costs and risks of climate change</x:v>
      </x:c>
      <x:c r="G288" s="19" t="str">
        <x:v>D</x:v>
      </x:c>
      <x:c r="H288" s="19" t="str">
        <x:v>V2</x:v>
      </x:c>
      <x:c r="I288" s="19" t="str">
        <x:v>S0607-STERN</x:v>
      </x:c>
      <x:c r="J288" s="19" t="str">
        <x:v>NOT_EXPOSED_IN_REPORT</x:v>
      </x:c>
      <x:c r="K288" s="19" t="str">
        <x:v>PRIORITY_RANK=14;ORIGINAL_ROW_CONFIDENCE_NOT_EXPOSED</x:v>
      </x:c>
      <x:c r="L288" s="19" t="str">
        <x:v>NOT_EXPOSED_IN_REPORT</x:v>
      </x:c>
      <x:c r="M288" s="19" t="str">
        <x:v>PRIORITY_RANK_14</x:v>
      </x:c>
      <x:c r="N288" s="31" t="str">
        <x:v>RECONSTRUCTED_FROM_REPORT</x:v>
      </x:c>
      <x:c r="O288" s="31" t="str">
        <x:v>UNRESOLVED</x:v>
      </x:c>
      <x:c r="P288" s="19" t="str">
        <x:v>Fear of Temperature_ Stratified Lexical Expansion, Voice Mapping, and Semantic-Relational Pre-Valida.pdf</x:v>
      </x:c>
      <x:c r="Q288" s="31" t="str">
        <x:v>RECONSTRUCTED_FROM_REPORT</x:v>
      </x:c>
      <x:c r="R288" s="46" t="str">
        <x:v>New surrogate project ID assigned from the compact report table; never an original later-stage structured candidate ID.</x:v>
      </x:c>
    </x:row>
    <x:row r="289" ht="32" customHeight="1">
      <x:c r="A289" s="18" t="str">
        <x:v>FT-SEED-R1B-P-0607-15</x:v>
      </x:c>
      <x:c r="B289" s="19" t="str">
        <x:v>PRIORITY_180</x:v>
      </x:c>
      <x:c r="C289" s="31" t="str">
        <x:v>NOT_EXPOSED_IN_REPORT</x:v>
      </x:c>
      <x:c r="D289" s="19" t="str">
        <x:v>10</x:v>
      </x:c>
      <x:c r="E289" s="19" t="str">
        <x:v>FT-A0607</x:v>
      </x:c>
      <x:c r="F289" s="31" t="str">
        <x:v>impacts of climate change</x:v>
      </x:c>
      <x:c r="G289" s="19" t="str">
        <x:v>D</x:v>
      </x:c>
      <x:c r="H289" s="19" t="str">
        <x:v>V2</x:v>
      </x:c>
      <x:c r="I289" s="19" t="str">
        <x:v>S0607-STERN</x:v>
      </x:c>
      <x:c r="J289" s="19" t="str">
        <x:v>NOT_EXPOSED_IN_REPORT</x:v>
      </x:c>
      <x:c r="K289" s="19" t="str">
        <x:v>PRIORITY_RANK=15;ORIGINAL_ROW_CONFIDENCE_NOT_EXPOSED</x:v>
      </x:c>
      <x:c r="L289" s="19" t="str">
        <x:v>NOT_EXPOSED_IN_REPORT</x:v>
      </x:c>
      <x:c r="M289" s="19" t="str">
        <x:v>PRIORITY_RANK_15</x:v>
      </x:c>
      <x:c r="N289" s="31" t="str">
        <x:v>RECONSTRUCTED_FROM_REPORT</x:v>
      </x:c>
      <x:c r="O289" s="31" t="str">
        <x:v>UNRESOLVED</x:v>
      </x:c>
      <x:c r="P289" s="19" t="str">
        <x:v>Fear of Temperature_ Stratified Lexical Expansion, Voice Mapping, and Semantic-Relational Pre-Valida.pdf</x:v>
      </x:c>
      <x:c r="Q289" s="31" t="str">
        <x:v>RECONSTRUCTED_FROM_REPORT</x:v>
      </x:c>
      <x:c r="R289" s="46" t="str">
        <x:v>New surrogate project ID assigned from the compact report table; never an original later-stage structured candidate ID.</x:v>
      </x:c>
    </x:row>
    <x:row r="290" ht="32" customHeight="1">
      <x:c r="A290" s="18" t="str">
        <x:v>FT-SEED-R1B-P-0607-16</x:v>
      </x:c>
      <x:c r="B290" s="19" t="str">
        <x:v>PRIORITY_180</x:v>
      </x:c>
      <x:c r="C290" s="31" t="str">
        <x:v>NOT_EXPOSED_IN_REPORT</x:v>
      </x:c>
      <x:c r="D290" s="19" t="str">
        <x:v>10</x:v>
      </x:c>
      <x:c r="E290" s="19" t="str">
        <x:v>FT-A0607</x:v>
      </x:c>
      <x:c r="F290" s="31" t="str">
        <x:v>damage</x:v>
      </x:c>
      <x:c r="G290" s="19" t="str">
        <x:v>D</x:v>
      </x:c>
      <x:c r="H290" s="19" t="str">
        <x:v>V2</x:v>
      </x:c>
      <x:c r="I290" s="19" t="str">
        <x:v>S0607-STERN</x:v>
      </x:c>
      <x:c r="J290" s="19" t="str">
        <x:v>NOT_EXPOSED_IN_REPORT</x:v>
      </x:c>
      <x:c r="K290" s="19" t="str">
        <x:v>PRIORITY_RANK=16;ORIGINAL_ROW_CONFIDENCE_NOT_EXPOSED</x:v>
      </x:c>
      <x:c r="L290" s="19" t="str">
        <x:v>NOT_EXPOSED_IN_REPORT</x:v>
      </x:c>
      <x:c r="M290" s="19" t="str">
        <x:v>PRIORITY_RANK_16</x:v>
      </x:c>
      <x:c r="N290" s="31" t="str">
        <x:v>RECONSTRUCTED_FROM_REPORT</x:v>
      </x:c>
      <x:c r="O290" s="31" t="str">
        <x:v>UNRESOLVED</x:v>
      </x:c>
      <x:c r="P290" s="19" t="str">
        <x:v>Fear of Temperature_ Stratified Lexical Expansion, Voice Mapping, and Semantic-Relational Pre-Valida.pdf</x:v>
      </x:c>
      <x:c r="Q290" s="31" t="str">
        <x:v>RECONSTRUCTED_FROM_REPORT</x:v>
      </x:c>
      <x:c r="R290" s="46" t="str">
        <x:v>New surrogate project ID assigned from the compact report table; never an original later-stage structured candidate ID.</x:v>
      </x:c>
    </x:row>
    <x:row r="291" ht="32" customHeight="1">
      <x:c r="A291" s="18" t="str">
        <x:v>FT-SEED-R1B-P-0607-17</x:v>
      </x:c>
      <x:c r="B291" s="19" t="str">
        <x:v>PRIORITY_180</x:v>
      </x:c>
      <x:c r="C291" s="31" t="str">
        <x:v>NOT_EXPOSED_IN_REPORT</x:v>
      </x:c>
      <x:c r="D291" s="19" t="str">
        <x:v>10</x:v>
      </x:c>
      <x:c r="E291" s="19" t="str">
        <x:v>FT-A0607</x:v>
      </x:c>
      <x:c r="F291" s="31" t="str">
        <x:v>hunger</x:v>
      </x:c>
      <x:c r="G291" s="19" t="str">
        <x:v>D</x:v>
      </x:c>
      <x:c r="H291" s="19" t="str">
        <x:v>V2</x:v>
      </x:c>
      <x:c r="I291" s="19" t="str">
        <x:v>S0607-STERN</x:v>
      </x:c>
      <x:c r="J291" s="19" t="str">
        <x:v>NOT_EXPOSED_IN_REPORT</x:v>
      </x:c>
      <x:c r="K291" s="19" t="str">
        <x:v>PRIORITY_RANK=17;ORIGINAL_ROW_CONFIDENCE_NOT_EXPOSED</x:v>
      </x:c>
      <x:c r="L291" s="19" t="str">
        <x:v>NOT_EXPOSED_IN_REPORT</x:v>
      </x:c>
      <x:c r="M291" s="19" t="str">
        <x:v>PRIORITY_RANK_17</x:v>
      </x:c>
      <x:c r="N291" s="31" t="str">
        <x:v>RECONSTRUCTED_FROM_REPORT</x:v>
      </x:c>
      <x:c r="O291" s="31" t="str">
        <x:v>UNRESOLVED</x:v>
      </x:c>
      <x:c r="P291" s="19" t="str">
        <x:v>Fear of Temperature_ Stratified Lexical Expansion, Voice Mapping, and Semantic-Relational Pre-Valida.pdf</x:v>
      </x:c>
      <x:c r="Q291" s="31" t="str">
        <x:v>RECONSTRUCTED_FROM_REPORT</x:v>
      </x:c>
      <x:c r="R291" s="46" t="str">
        <x:v>New surrogate project ID assigned from the compact report table; never an original later-stage structured candidate ID.</x:v>
      </x:c>
    </x:row>
    <x:row r="292" ht="32" customHeight="1">
      <x:c r="A292" s="18" t="str">
        <x:v>FT-SEED-R1B-P-0607-18</x:v>
      </x:c>
      <x:c r="B292" s="19" t="str">
        <x:v>PRIORITY_180</x:v>
      </x:c>
      <x:c r="C292" s="31" t="str">
        <x:v>NOT_EXPOSED_IN_REPORT</x:v>
      </x:c>
      <x:c r="D292" s="19" t="str">
        <x:v>10</x:v>
      </x:c>
      <x:c r="E292" s="19" t="str">
        <x:v>FT-A0607</x:v>
      </x:c>
      <x:c r="F292" s="31" t="str">
        <x:v>water shortages</x:v>
      </x:c>
      <x:c r="G292" s="19" t="str">
        <x:v>D</x:v>
      </x:c>
      <x:c r="H292" s="19" t="str">
        <x:v>V2</x:v>
      </x:c>
      <x:c r="I292" s="19" t="str">
        <x:v>S0607-STERN</x:v>
      </x:c>
      <x:c r="J292" s="19" t="str">
        <x:v>NOT_EXPOSED_IN_REPORT</x:v>
      </x:c>
      <x:c r="K292" s="19" t="str">
        <x:v>PRIORITY_RANK=18;ORIGINAL_ROW_CONFIDENCE_NOT_EXPOSED</x:v>
      </x:c>
      <x:c r="L292" s="19" t="str">
        <x:v>NOT_EXPOSED_IN_REPORT</x:v>
      </x:c>
      <x:c r="M292" s="19" t="str">
        <x:v>PRIORITY_RANK_18</x:v>
      </x:c>
      <x:c r="N292" s="31" t="str">
        <x:v>RECONSTRUCTED_FROM_REPORT</x:v>
      </x:c>
      <x:c r="O292" s="31" t="str">
        <x:v>UNRESOLVED</x:v>
      </x:c>
      <x:c r="P292" s="19" t="str">
        <x:v>Fear of Temperature_ Stratified Lexical Expansion, Voice Mapping, and Semantic-Relational Pre-Valida.pdf</x:v>
      </x:c>
      <x:c r="Q292" s="31" t="str">
        <x:v>RECONSTRUCTED_FROM_REPORT</x:v>
      </x:c>
      <x:c r="R292" s="46" t="str">
        <x:v>New surrogate project ID assigned from the compact report table; never an original later-stage structured candidate ID.</x:v>
      </x:c>
    </x:row>
    <x:row r="293" ht="32" customHeight="1">
      <x:c r="A293" s="18" t="str">
        <x:v>FT-SEED-R1B-P-0607-19</x:v>
      </x:c>
      <x:c r="B293" s="19" t="str">
        <x:v>PRIORITY_180</x:v>
      </x:c>
      <x:c r="C293" s="31" t="str">
        <x:v>NOT_EXPOSED_IN_REPORT</x:v>
      </x:c>
      <x:c r="D293" s="19" t="str">
        <x:v>10</x:v>
      </x:c>
      <x:c r="E293" s="19" t="str">
        <x:v>FT-A0607</x:v>
      </x:c>
      <x:c r="F293" s="31" t="str">
        <x:v>coastal flooding</x:v>
      </x:c>
      <x:c r="G293" s="19" t="str">
        <x:v>D</x:v>
      </x:c>
      <x:c r="H293" s="19" t="str">
        <x:v>V2</x:v>
      </x:c>
      <x:c r="I293" s="19" t="str">
        <x:v>S0607-STERN</x:v>
      </x:c>
      <x:c r="J293" s="19" t="str">
        <x:v>NOT_EXPOSED_IN_REPORT</x:v>
      </x:c>
      <x:c r="K293" s="19" t="str">
        <x:v>PRIORITY_RANK=19;ORIGINAL_ROW_CONFIDENCE_NOT_EXPOSED</x:v>
      </x:c>
      <x:c r="L293" s="19" t="str">
        <x:v>NOT_EXPOSED_IN_REPORT</x:v>
      </x:c>
      <x:c r="M293" s="19" t="str">
        <x:v>PRIORITY_RANK_19</x:v>
      </x:c>
      <x:c r="N293" s="31" t="str">
        <x:v>RECONSTRUCTED_FROM_REPORT</x:v>
      </x:c>
      <x:c r="O293" s="31" t="str">
        <x:v>UNRESOLVED</x:v>
      </x:c>
      <x:c r="P293" s="19" t="str">
        <x:v>Fear of Temperature_ Stratified Lexical Expansion, Voice Mapping, and Semantic-Relational Pre-Valida.pdf</x:v>
      </x:c>
      <x:c r="Q293" s="31" t="str">
        <x:v>RECONSTRUCTED_FROM_REPORT</x:v>
      </x:c>
      <x:c r="R293" s="46" t="str">
        <x:v>New surrogate project ID assigned from the compact report table; never an original later-stage structured candidate ID.</x:v>
      </x:c>
    </x:row>
    <x:row r="294" ht="32" customHeight="1">
      <x:c r="A294" s="18" t="str">
        <x:v>FT-SEED-R1B-P-0607-20</x:v>
      </x:c>
      <x:c r="B294" s="19" t="str">
        <x:v>PRIORITY_180</x:v>
      </x:c>
      <x:c r="C294" s="31" t="str">
        <x:v>NOT_EXPOSED_IN_REPORT</x:v>
      </x:c>
      <x:c r="D294" s="19" t="str">
        <x:v>10</x:v>
      </x:c>
      <x:c r="E294" s="19" t="str">
        <x:v>FT-A0607</x:v>
      </x:c>
      <x:c r="F294" s="31" t="str">
        <x:v>worst impacts</x:v>
      </x:c>
      <x:c r="G294" s="19" t="str">
        <x:v>D</x:v>
      </x:c>
      <x:c r="H294" s="19" t="str">
        <x:v>V2</x:v>
      </x:c>
      <x:c r="I294" s="19" t="str">
        <x:v>S0607-STERN</x:v>
      </x:c>
      <x:c r="J294" s="19" t="str">
        <x:v>NOT_EXPOSED_IN_REPORT</x:v>
      </x:c>
      <x:c r="K294" s="19" t="str">
        <x:v>PRIORITY_RANK=20;ORIGINAL_ROW_CONFIDENCE_NOT_EXPOSED</x:v>
      </x:c>
      <x:c r="L294" s="19" t="str">
        <x:v>NOT_EXPOSED_IN_REPORT</x:v>
      </x:c>
      <x:c r="M294" s="19" t="str">
        <x:v>PRIORITY_RANK_20</x:v>
      </x:c>
      <x:c r="N294" s="31" t="str">
        <x:v>RECONSTRUCTED_FROM_REPORT</x:v>
      </x:c>
      <x:c r="O294" s="31" t="str">
        <x:v>UNRESOLVED</x:v>
      </x:c>
      <x:c r="P294" s="19" t="str">
        <x:v>Fear of Temperature_ Stratified Lexical Expansion, Voice Mapping, and Semantic-Relational Pre-Valida.pdf</x:v>
      </x:c>
      <x:c r="Q294" s="31" t="str">
        <x:v>RECONSTRUCTED_FROM_REPORT</x:v>
      </x:c>
      <x:c r="R294" s="46" t="str">
        <x:v>New surrogate project ID assigned from the compact report table; never an original later-stage structured candidate ID.</x:v>
      </x:c>
    </x:row>
    <x:row r="295" ht="32" customHeight="1">
      <x:c r="A295" s="18" t="str">
        <x:v>FT-SEED-R1B-P-0607-21</x:v>
      </x:c>
      <x:c r="B295" s="19" t="str">
        <x:v>PRIORITY_180</x:v>
      </x:c>
      <x:c r="C295" s="31" t="str">
        <x:v>NOT_EXPOSED_IN_REPORT</x:v>
      </x:c>
      <x:c r="D295" s="19" t="str">
        <x:v>10</x:v>
      </x:c>
      <x:c r="E295" s="19" t="str">
        <x:v>FT-A0607</x:v>
      </x:c>
      <x:c r="F295" s="31" t="str">
        <x:v>Be Worried. Be Very Worried.</x:v>
      </x:c>
      <x:c r="G295" s="19" t="str">
        <x:v>C</x:v>
      </x:c>
      <x:c r="H295" s="19" t="str">
        <x:v>V3</x:v>
      </x:c>
      <x:c r="I295" s="19" t="str">
        <x:v>S0607-TIME</x:v>
      </x:c>
      <x:c r="J295" s="19" t="str">
        <x:v>E1</x:v>
      </x:c>
      <x:c r="K295" s="19" t="str">
        <x:v>PRIORITY_RANK=21;ORIGINAL_ROW_CONFIDENCE_NOT_EXPOSED</x:v>
      </x:c>
      <x:c r="L295" s="19" t="str">
        <x:v>NOT_EXPOSED_IN_REPORT</x:v>
      </x:c>
      <x:c r="M295" s="19" t="str">
        <x:v>PRIORITY_RANK_21</x:v>
      </x:c>
      <x:c r="N295" s="31" t="str">
        <x:v>RECONSTRUCTED_FROM_REPORT</x:v>
      </x:c>
      <x:c r="O295" s="31" t="str">
        <x:v>UNRESOLVED</x:v>
      </x:c>
      <x:c r="P295" s="19" t="str">
        <x:v>Fear of Temperature_ Stratified Lexical Expansion, Voice Mapping, and Semantic-Relational Pre-Valida.pdf</x:v>
      </x:c>
      <x:c r="Q295" s="31" t="str">
        <x:v>RECONSTRUCTED_FROM_REPORT</x:v>
      </x:c>
      <x:c r="R295" s="46" t="str">
        <x:v>New surrogate project ID assigned from the compact report table; never an original later-stage structured candidate ID.</x:v>
      </x:c>
    </x:row>
    <x:row r="296" ht="32" customHeight="1">
      <x:c r="A296" s="18" t="str">
        <x:v>FT-SEED-R1B-P-0607-22</x:v>
      </x:c>
      <x:c r="B296" s="19" t="str">
        <x:v>PRIORITY_180</x:v>
      </x:c>
      <x:c r="C296" s="31" t="str">
        <x:v>NOT_EXPOSED_IN_REPORT</x:v>
      </x:c>
      <x:c r="D296" s="19" t="str">
        <x:v>10</x:v>
      </x:c>
      <x:c r="E296" s="19" t="str">
        <x:v>FT-A0607</x:v>
      </x:c>
      <x:c r="F296" s="31" t="str">
        <x:v>personally worry</x:v>
      </x:c>
      <x:c r="G296" s="19" t="str">
        <x:v>C</x:v>
      </x:c>
      <x:c r="H296" s="19" t="str">
        <x:v>V5</x:v>
      </x:c>
      <x:c r="I296" s="19" t="str">
        <x:v>S0607-GALLUP</x:v>
      </x:c>
      <x:c r="J296" s="19" t="str">
        <x:v>E3</x:v>
      </x:c>
      <x:c r="K296" s="19" t="str">
        <x:v>PRIORITY_RANK=22;ORIGINAL_ROW_CONFIDENCE_NOT_EXPOSED</x:v>
      </x:c>
      <x:c r="L296" s="19" t="str">
        <x:v>NOT_EXPOSED_IN_REPORT</x:v>
      </x:c>
      <x:c r="M296" s="19" t="str">
        <x:v>PRIORITY_RANK_22</x:v>
      </x:c>
      <x:c r="N296" s="31" t="str">
        <x:v>RECONSTRUCTED_FROM_REPORT</x:v>
      </x:c>
      <x:c r="O296" s="31" t="str">
        <x:v>UNRESOLVED</x:v>
      </x:c>
      <x:c r="P296" s="19" t="str">
        <x:v>Fear of Temperature_ Stratified Lexical Expansion, Voice Mapping, and Semantic-Relational Pre-Valida.pdf</x:v>
      </x:c>
      <x:c r="Q296" s="31" t="str">
        <x:v>RECONSTRUCTED_FROM_REPORT</x:v>
      </x:c>
      <x:c r="R296" s="46" t="str">
        <x:v>New surrogate project ID assigned from the compact report table; never an original later-stage structured candidate ID.</x:v>
      </x:c>
    </x:row>
    <x:row r="297" ht="32" customHeight="1">
      <x:c r="A297" s="18" t="str">
        <x:v>FT-SEED-R1B-P-0607-23</x:v>
      </x:c>
      <x:c r="B297" s="19" t="str">
        <x:v>PRIORITY_180</x:v>
      </x:c>
      <x:c r="C297" s="31" t="str">
        <x:v>NOT_EXPOSED_IN_REPORT</x:v>
      </x:c>
      <x:c r="D297" s="19" t="str">
        <x:v>10</x:v>
      </x:c>
      <x:c r="E297" s="19" t="str">
        <x:v>FT-A0607</x:v>
      </x:c>
      <x:c r="F297" s="31" t="str">
        <x:v>worry a great deal</x:v>
      </x:c>
      <x:c r="G297" s="19" t="str">
        <x:v>C</x:v>
      </x:c>
      <x:c r="H297" s="19" t="str">
        <x:v>V5</x:v>
      </x:c>
      <x:c r="I297" s="19" t="str">
        <x:v>S0607-GALLUP</x:v>
      </x:c>
      <x:c r="J297" s="19" t="str">
        <x:v>NOT_EXPOSED_IN_REPORT</x:v>
      </x:c>
      <x:c r="K297" s="19" t="str">
        <x:v>PRIORITY_RANK=23;ORIGINAL_ROW_CONFIDENCE_NOT_EXPOSED</x:v>
      </x:c>
      <x:c r="L297" s="19" t="str">
        <x:v>NOT_EXPOSED_IN_REPORT</x:v>
      </x:c>
      <x:c r="M297" s="19" t="str">
        <x:v>PRIORITY_RANK_23</x:v>
      </x:c>
      <x:c r="N297" s="31" t="str">
        <x:v>RECONSTRUCTED_FROM_REPORT</x:v>
      </x:c>
      <x:c r="O297" s="31" t="str">
        <x:v>UNRESOLVED</x:v>
      </x:c>
      <x:c r="P297" s="19" t="str">
        <x:v>Fear of Temperature_ Stratified Lexical Expansion, Voice Mapping, and Semantic-Relational Pre-Valida.pdf</x:v>
      </x:c>
      <x:c r="Q297" s="31" t="str">
        <x:v>RECONSTRUCTED_FROM_REPORT</x:v>
      </x:c>
      <x:c r="R297" s="46" t="str">
        <x:v>New surrogate project ID assigned from the compact report table; never an original later-stage structured candidate ID.</x:v>
      </x:c>
    </x:row>
    <x:row r="298" ht="32" customHeight="1">
      <x:c r="A298" s="18" t="str">
        <x:v>FT-SEED-R1B-P-0607-24</x:v>
      </x:c>
      <x:c r="B298" s="19" t="str">
        <x:v>PRIORITY_180</x:v>
      </x:c>
      <x:c r="C298" s="31" t="str">
        <x:v>NOT_EXPOSED_IN_REPORT</x:v>
      </x:c>
      <x:c r="D298" s="19" t="str">
        <x:v>10</x:v>
      </x:c>
      <x:c r="E298" s="19" t="str">
        <x:v>FT-A0607</x:v>
      </x:c>
      <x:c r="F298" s="31" t="str">
        <x:v>serious problem</x:v>
      </x:c>
      <x:c r="G298" s="19" t="str">
        <x:v>D</x:v>
      </x:c>
      <x:c r="H298" s="19" t="str">
        <x:v>V5</x:v>
      </x:c>
      <x:c r="I298" s="19" t="str">
        <x:v>S0607-YALE-MAR</x:v>
      </x:c>
      <x:c r="J298" s="19" t="str">
        <x:v>NOT_EXPOSED_IN_REPORT</x:v>
      </x:c>
      <x:c r="K298" s="19" t="str">
        <x:v>PRIORITY_RANK=24;ORIGINAL_ROW_CONFIDENCE_NOT_EXPOSED</x:v>
      </x:c>
      <x:c r="L298" s="19" t="str">
        <x:v>NOT_EXPOSED_IN_REPORT</x:v>
      </x:c>
      <x:c r="M298" s="19" t="str">
        <x:v>PRIORITY_RANK_24</x:v>
      </x:c>
      <x:c r="N298" s="31" t="str">
        <x:v>RECONSTRUCTED_FROM_REPORT</x:v>
      </x:c>
      <x:c r="O298" s="31" t="str">
        <x:v>UNRESOLVED</x:v>
      </x:c>
      <x:c r="P298" s="19" t="str">
        <x:v>Fear of Temperature_ Stratified Lexical Expansion, Voice Mapping, and Semantic-Relational Pre-Valida.pdf</x:v>
      </x:c>
      <x:c r="Q298" s="31" t="str">
        <x:v>RECONSTRUCTED_FROM_REPORT</x:v>
      </x:c>
      <x:c r="R298" s="46" t="str">
        <x:v>New surrogate project ID assigned from the compact report table; never an original later-stage structured candidate ID.</x:v>
      </x:c>
    </x:row>
    <x:row r="299" ht="32" customHeight="1">
      <x:c r="A299" s="18" t="str">
        <x:v>FT-SEED-R1B-P-0607-25</x:v>
      </x:c>
      <x:c r="B299" s="19" t="str">
        <x:v>PRIORITY_180</x:v>
      </x:c>
      <x:c r="C299" s="31" t="str">
        <x:v>NOT_EXPOSED_IN_REPORT</x:v>
      </x:c>
      <x:c r="D299" s="19" t="str">
        <x:v>10</x:v>
      </x:c>
      <x:c r="E299" s="19" t="str">
        <x:v>FT-A0607</x:v>
      </x:c>
      <x:c r="F299" s="31" t="str">
        <x:v>danger</x:v>
      </x:c>
      <x:c r="G299" s="19" t="str">
        <x:v>D</x:v>
      </x:c>
      <x:c r="H299" s="19" t="str">
        <x:v>V5</x:v>
      </x:c>
      <x:c r="I299" s="19" t="str">
        <x:v>S0607-YALE-MAR</x:v>
      </x:c>
      <x:c r="J299" s="19" t="str">
        <x:v>NOT_EXPOSED_IN_REPORT</x:v>
      </x:c>
      <x:c r="K299" s="19" t="str">
        <x:v>PRIORITY_RANK=25;ORIGINAL_ROW_CONFIDENCE_NOT_EXPOSED</x:v>
      </x:c>
      <x:c r="L299" s="19" t="str">
        <x:v>NOT_EXPOSED_IN_REPORT</x:v>
      </x:c>
      <x:c r="M299" s="19" t="str">
        <x:v>PRIORITY_RANK_25</x:v>
      </x:c>
      <x:c r="N299" s="31" t="str">
        <x:v>RECONSTRUCTED_FROM_REPORT</x:v>
      </x:c>
      <x:c r="O299" s="31" t="str">
        <x:v>UNRESOLVED</x:v>
      </x:c>
      <x:c r="P299" s="19" t="str">
        <x:v>Fear of Temperature_ Stratified Lexical Expansion, Voice Mapping, and Semantic-Relational Pre-Valida.pdf</x:v>
      </x:c>
      <x:c r="Q299" s="31" t="str">
        <x:v>RECONSTRUCTED_FROM_REPORT</x:v>
      </x:c>
      <x:c r="R299" s="46" t="str">
        <x:v>New surrogate project ID assigned from the compact report table; never an original later-stage structured candidate ID.</x:v>
      </x:c>
    </x:row>
    <x:row r="300" ht="32" customHeight="1">
      <x:c r="A300" s="18" t="str">
        <x:v>FT-SEED-R1B-P-0607-26</x:v>
      </x:c>
      <x:c r="B300" s="19" t="str">
        <x:v>PRIORITY_180</x:v>
      </x:c>
      <x:c r="C300" s="31" t="str">
        <x:v>NOT_EXPOSED_IN_REPORT</x:v>
      </x:c>
      <x:c r="D300" s="19" t="str">
        <x:v>10</x:v>
      </x:c>
      <x:c r="E300" s="19" t="str">
        <x:v>FT-A0607</x:v>
      </x:c>
      <x:c r="F300" s="31" t="str">
        <x:v>urgent threat</x:v>
      </x:c>
      <x:c r="G300" s="19" t="str">
        <x:v>D</x:v>
      </x:c>
      <x:c r="H300" s="19" t="str">
        <x:v>V5</x:v>
      </x:c>
      <x:c r="I300" s="19" t="str">
        <x:v>S0607-YALE-JUL</x:v>
      </x:c>
      <x:c r="J300" s="19" t="str">
        <x:v>NOT_EXPOSED_IN_REPORT</x:v>
      </x:c>
      <x:c r="K300" s="19" t="str">
        <x:v>PRIORITY_RANK=26;ORIGINAL_ROW_CONFIDENCE_NOT_EXPOSED</x:v>
      </x:c>
      <x:c r="L300" s="19" t="str">
        <x:v>NOT_EXPOSED_IN_REPORT</x:v>
      </x:c>
      <x:c r="M300" s="19" t="str">
        <x:v>PRIORITY_RANK_26</x:v>
      </x:c>
      <x:c r="N300" s="31" t="str">
        <x:v>RECONSTRUCTED_FROM_REPORT</x:v>
      </x:c>
      <x:c r="O300" s="31" t="str">
        <x:v>UNRESOLVED</x:v>
      </x:c>
      <x:c r="P300" s="19" t="str">
        <x:v>Fear of Temperature_ Stratified Lexical Expansion, Voice Mapping, and Semantic-Relational Pre-Valida.pdf</x:v>
      </x:c>
      <x:c r="Q300" s="31" t="str">
        <x:v>RECONSTRUCTED_FROM_REPORT</x:v>
      </x:c>
      <x:c r="R300" s="46" t="str">
        <x:v>New surrogate project ID assigned from the compact report table; never an original later-stage structured candidate ID.</x:v>
      </x:c>
    </x:row>
    <x:row r="301" ht="32" customHeight="1">
      <x:c r="A301" s="18" t="str">
        <x:v>FT-SEED-R1B-P-0607-27</x:v>
      </x:c>
      <x:c r="B301" s="19" t="str">
        <x:v>PRIORITY_180</x:v>
      </x:c>
      <x:c r="C301" s="31" t="str">
        <x:v>NOT_EXPOSED_IN_REPORT</x:v>
      </x:c>
      <x:c r="D301" s="19" t="str">
        <x:v>10</x:v>
      </x:c>
      <x:c r="E301" s="19" t="str">
        <x:v>FT-A0607</x:v>
      </x:c>
      <x:c r="F301" s="31" t="str">
        <x:v>dangerous impacts</x:v>
      </x:c>
      <x:c r="G301" s="19" t="str">
        <x:v>D</x:v>
      </x:c>
      <x:c r="H301" s="19" t="str">
        <x:v>V5</x:v>
      </x:c>
      <x:c r="I301" s="19" t="str">
        <x:v>S0607-YALE-JUL</x:v>
      </x:c>
      <x:c r="J301" s="19" t="str">
        <x:v>NOT_EXPOSED_IN_REPORT</x:v>
      </x:c>
      <x:c r="K301" s="19" t="str">
        <x:v>PRIORITY_RANK=27;ORIGINAL_ROW_CONFIDENCE_NOT_EXPOSED</x:v>
      </x:c>
      <x:c r="L301" s="19" t="str">
        <x:v>NOT_EXPOSED_IN_REPORT</x:v>
      </x:c>
      <x:c r="M301" s="19" t="str">
        <x:v>PRIORITY_RANK_27</x:v>
      </x:c>
      <x:c r="N301" s="31" t="str">
        <x:v>RECONSTRUCTED_FROM_REPORT</x:v>
      </x:c>
      <x:c r="O301" s="31" t="str">
        <x:v>UNRESOLVED</x:v>
      </x:c>
      <x:c r="P301" s="19" t="str">
        <x:v>Fear of Temperature_ Stratified Lexical Expansion, Voice Mapping, and Semantic-Relational Pre-Valida.pdf</x:v>
      </x:c>
      <x:c r="Q301" s="31" t="str">
        <x:v>RECONSTRUCTED_FROM_REPORT</x:v>
      </x:c>
      <x:c r="R301" s="46" t="str">
        <x:v>New surrogate project ID assigned from the compact report table; never an original later-stage structured candidate ID.</x:v>
      </x:c>
    </x:row>
    <x:row r="302" ht="32" customHeight="1">
      <x:c r="A302" s="18" t="str">
        <x:v>FT-SEED-R1B-P-0607-28</x:v>
      </x:c>
      <x:c r="B302" s="19" t="str">
        <x:v>PRIORITY_180</x:v>
      </x:c>
      <x:c r="C302" s="31" t="str">
        <x:v>NOT_EXPOSED_IN_REPORT</x:v>
      </x:c>
      <x:c r="D302" s="19" t="str">
        <x:v>10</x:v>
      </x:c>
      <x:c r="E302" s="19" t="str">
        <x:v>FT-A0607</x:v>
      </x:c>
      <x:c r="F302" s="31" t="str">
        <x:v>drastic action</x:v>
      </x:c>
      <x:c r="G302" s="19" t="str">
        <x:v>D</x:v>
      </x:c>
      <x:c r="H302" s="19" t="str">
        <x:v>V5</x:v>
      </x:c>
      <x:c r="I302" s="19" t="str">
        <x:v>S0607-YALE-JUL</x:v>
      </x:c>
      <x:c r="J302" s="19" t="str">
        <x:v>NOT_EXPOSED_IN_REPORT</x:v>
      </x:c>
      <x:c r="K302" s="19" t="str">
        <x:v>PRIORITY_RANK=28;ORIGINAL_ROW_CONFIDENCE_NOT_EXPOSED</x:v>
      </x:c>
      <x:c r="L302" s="19" t="str">
        <x:v>NOT_EXPOSED_IN_REPORT</x:v>
      </x:c>
      <x:c r="M302" s="19" t="str">
        <x:v>PRIORITY_RANK_28</x:v>
      </x:c>
      <x:c r="N302" s="31" t="str">
        <x:v>RECONSTRUCTED_FROM_REPORT</x:v>
      </x:c>
      <x:c r="O302" s="31" t="str">
        <x:v>UNRESOLVED</x:v>
      </x:c>
      <x:c r="P302" s="19" t="str">
        <x:v>Fear of Temperature_ Stratified Lexical Expansion, Voice Mapping, and Semantic-Relational Pre-Valida.pdf</x:v>
      </x:c>
      <x:c r="Q302" s="31" t="str">
        <x:v>RECONSTRUCTED_FROM_REPORT</x:v>
      </x:c>
      <x:c r="R302" s="46" t="str">
        <x:v>New surrogate project ID assigned from the compact report table; never an original later-stage structured candidate ID.</x:v>
      </x:c>
    </x:row>
    <x:row r="303" ht="32" customHeight="1">
      <x:c r="A303" s="18" t="str">
        <x:v>FT-SEED-R1B-P-0607-29</x:v>
      </x:c>
      <x:c r="B303" s="19" t="str">
        <x:v>PRIORITY_180</x:v>
      </x:c>
      <x:c r="C303" s="31" t="str">
        <x:v>NOT_EXPOSED_IN_REPORT</x:v>
      </x:c>
      <x:c r="D303" s="19" t="str">
        <x:v>10</x:v>
      </x:c>
      <x:c r="E303" s="19" t="str">
        <x:v>FT-A0607</x:v>
      </x:c>
      <x:c r="F303" s="31" t="str">
        <x:v>dangerous climate change</x:v>
      </x:c>
      <x:c r="G303" s="19" t="str">
        <x:v>D</x:v>
      </x:c>
      <x:c r="H303" s="19" t="str">
        <x:v>V4</x:v>
      </x:c>
      <x:c r="I303" s="19" t="str">
        <x:v>S0607-CCNI</x:v>
      </x:c>
      <x:c r="J303" s="19" t="str">
        <x:v>NOT_EXPOSED_IN_REPORT</x:v>
      </x:c>
      <x:c r="K303" s="19" t="str">
        <x:v>PRIORITY_RANK=29;ORIGINAL_ROW_CONFIDENCE_NOT_EXPOSED</x:v>
      </x:c>
      <x:c r="L303" s="19" t="str">
        <x:v>NOT_EXPOSED_IN_REPORT</x:v>
      </x:c>
      <x:c r="M303" s="19" t="str">
        <x:v>PRIORITY_RANK_29</x:v>
      </x:c>
      <x:c r="N303" s="31" t="str">
        <x:v>RECONSTRUCTED_FROM_REPORT</x:v>
      </x:c>
      <x:c r="O303" s="31" t="str">
        <x:v>UNRESOLVED</x:v>
      </x:c>
      <x:c r="P303" s="19" t="str">
        <x:v>Fear of Temperature_ Stratified Lexical Expansion, Voice Mapping, and Semantic-Relational Pre-Valida.pdf</x:v>
      </x:c>
      <x:c r="Q303" s="31" t="str">
        <x:v>RECONSTRUCTED_FROM_REPORT</x:v>
      </x:c>
      <x:c r="R303" s="46" t="str">
        <x:v>New surrogate project ID assigned from the compact report table; never an original later-stage structured candidate ID.</x:v>
      </x:c>
    </x:row>
    <x:row r="304" ht="32" customHeight="1">
      <x:c r="A304" s="18" t="str">
        <x:v>FT-SEED-R1B-P-0607-30</x:v>
      </x:c>
      <x:c r="B304" s="19" t="str">
        <x:v>PRIORITY_180</x:v>
      </x:c>
      <x:c r="C304" s="31" t="str">
        <x:v>NOT_EXPOSED_IN_REPORT</x:v>
      </x:c>
      <x:c r="D304" s="19" t="str">
        <x:v>10</x:v>
      </x:c>
      <x:c r="E304" s="19" t="str">
        <x:v>FT-A0607</x:v>
      </x:c>
      <x:c r="F304" s="31" t="str">
        <x:v>threatens serious negative effects</x:v>
      </x:c>
      <x:c r="G304" s="19" t="str">
        <x:v>D</x:v>
      </x:c>
      <x:c r="H304" s="19" t="str">
        <x:v>V4</x:v>
      </x:c>
      <x:c r="I304" s="19" t="str">
        <x:v>S0607-CCNI</x:v>
      </x:c>
      <x:c r="J304" s="19" t="str">
        <x:v>NOT_EXPOSED_IN_REPORT</x:v>
      </x:c>
      <x:c r="K304" s="19" t="str">
        <x:v>PRIORITY_RANK=30;ORIGINAL_ROW_CONFIDENCE_NOT_EXPOSED</x:v>
      </x:c>
      <x:c r="L304" s="19" t="str">
        <x:v>NOT_EXPOSED_IN_REPORT</x:v>
      </x:c>
      <x:c r="M304" s="19" t="str">
        <x:v>PRIORITY_RANK_30</x:v>
      </x:c>
      <x:c r="N304" s="31" t="str">
        <x:v>RECONSTRUCTED_FROM_REPORT</x:v>
      </x:c>
      <x:c r="O304" s="31" t="str">
        <x:v>UNRESOLVED</x:v>
      </x:c>
      <x:c r="P304" s="19" t="str">
        <x:v>Fear of Temperature_ Stratified Lexical Expansion, Voice Mapping, and Semantic-Relational Pre-Valida.pdf</x:v>
      </x:c>
      <x:c r="Q304" s="31" t="str">
        <x:v>RECONSTRUCTED_FROM_REPORT</x:v>
      </x:c>
      <x:c r="R304" s="46" t="str">
        <x:v>New surrogate project ID assigned from the compact report table; never an original later-stage structured candidate ID.</x:v>
      </x:c>
    </x:row>
    <x:row r="305" ht="32" customHeight="1">
      <x:c r="A305" s="18" t="str">
        <x:v>FT-SEED-R1B-P-2015-01</x:v>
      </x:c>
      <x:c r="B305" s="19" t="str">
        <x:v>PRIORITY_180</x:v>
      </x:c>
      <x:c r="C305" s="31" t="str">
        <x:v>NOT_EXPOSED_IN_REPORT</x:v>
      </x:c>
      <x:c r="D305" s="19" t="str">
        <x:v>11</x:v>
      </x:c>
      <x:c r="E305" s="19" t="str">
        <x:v>FT-A2015</x:v>
      </x:c>
      <x:c r="F305" s="31" t="str">
        <x:v>climate change</x:v>
      </x:c>
      <x:c r="G305" s="19" t="str">
        <x:v>B</x:v>
      </x:c>
      <x:c r="H305" s="19" t="str">
        <x:v>V2</x:v>
      </x:c>
      <x:c r="I305" s="19" t="str">
        <x:v>S2015-PARIS</x:v>
      </x:c>
      <x:c r="J305" s="19" t="str">
        <x:v>NOT_EXPOSED_IN_REPORT</x:v>
      </x:c>
      <x:c r="K305" s="19" t="str">
        <x:v>PRIORITY_RANK=1;ORIGINAL_ROW_CONFIDENCE_NOT_EXPOSED</x:v>
      </x:c>
      <x:c r="L305" s="19" t="str">
        <x:v>NOT_EXPOSED_IN_REPORT</x:v>
      </x:c>
      <x:c r="M305" s="19" t="str">
        <x:v>PRIORITY_RANK_01</x:v>
      </x:c>
      <x:c r="N305" s="31" t="str">
        <x:v>RECONSTRUCTED_FROM_REPORT</x:v>
      </x:c>
      <x:c r="O305" s="31" t="str">
        <x:v>UNRESOLVED</x:v>
      </x:c>
      <x:c r="P305" s="19" t="str">
        <x:v>Fear of Temperature_ Stratified Lexical Expansion, Voice Mapping, and Semantic-Relational Pre-Valida.pdf</x:v>
      </x:c>
      <x:c r="Q305" s="31" t="str">
        <x:v>RECONSTRUCTED_FROM_REPORT</x:v>
      </x:c>
      <x:c r="R305" s="46" t="str">
        <x:v>New surrogate project ID assigned from the compact report table; never an original later-stage structured candidate ID.</x:v>
      </x:c>
    </x:row>
    <x:row r="306" ht="32" customHeight="1">
      <x:c r="A306" s="18" t="str">
        <x:v>FT-SEED-R1B-P-2015-02</x:v>
      </x:c>
      <x:c r="B306" s="19" t="str">
        <x:v>PRIORITY_180</x:v>
      </x:c>
      <x:c r="C306" s="31" t="str">
        <x:v>NOT_EXPOSED_IN_REPORT</x:v>
      </x:c>
      <x:c r="D306" s="19" t="str">
        <x:v>11</x:v>
      </x:c>
      <x:c r="E306" s="19" t="str">
        <x:v>FT-A2015</x:v>
      </x:c>
      <x:c r="F306" s="31" t="str">
        <x:v>threat of climate change</x:v>
      </x:c>
      <x:c r="G306" s="19" t="str">
        <x:v>D</x:v>
      </x:c>
      <x:c r="H306" s="19" t="str">
        <x:v>V2</x:v>
      </x:c>
      <x:c r="I306" s="19" t="str">
        <x:v>S2015-PARIS</x:v>
      </x:c>
      <x:c r="J306" s="19" t="str">
        <x:v>NOT_EXPOSED_IN_REPORT</x:v>
      </x:c>
      <x:c r="K306" s="19" t="str">
        <x:v>PRIORITY_RANK=2;ORIGINAL_ROW_CONFIDENCE_NOT_EXPOSED</x:v>
      </x:c>
      <x:c r="L306" s="19" t="str">
        <x:v>NOT_EXPOSED_IN_REPORT</x:v>
      </x:c>
      <x:c r="M306" s="19" t="str">
        <x:v>PRIORITY_RANK_02</x:v>
      </x:c>
      <x:c r="N306" s="31" t="str">
        <x:v>RECONSTRUCTED_FROM_REPORT</x:v>
      </x:c>
      <x:c r="O306" s="31" t="str">
        <x:v>UNRESOLVED</x:v>
      </x:c>
      <x:c r="P306" s="19" t="str">
        <x:v>Fear of Temperature_ Stratified Lexical Expansion, Voice Mapping, and Semantic-Relational Pre-Valida.pdf</x:v>
      </x:c>
      <x:c r="Q306" s="31" t="str">
        <x:v>RECONSTRUCTED_FROM_REPORT</x:v>
      </x:c>
      <x:c r="R306" s="46" t="str">
        <x:v>New surrogate project ID assigned from the compact report table; never an original later-stage structured candidate ID.</x:v>
      </x:c>
    </x:row>
    <x:row r="307" ht="32" customHeight="1">
      <x:c r="A307" s="18" t="str">
        <x:v>FT-SEED-R1B-P-2015-03</x:v>
      </x:c>
      <x:c r="B307" s="19" t="str">
        <x:v>PRIORITY_180</x:v>
      </x:c>
      <x:c r="C307" s="31" t="str">
        <x:v>NOT_EXPOSED_IN_REPORT</x:v>
      </x:c>
      <x:c r="D307" s="19" t="str">
        <x:v>11</x:v>
      </x:c>
      <x:c r="E307" s="19" t="str">
        <x:v>FT-A2015</x:v>
      </x:c>
      <x:c r="F307" s="31" t="str">
        <x:v>global average temperature</x:v>
      </x:c>
      <x:c r="G307" s="19" t="str">
        <x:v>A</x:v>
      </x:c>
      <x:c r="H307" s="19" t="str">
        <x:v>V2</x:v>
      </x:c>
      <x:c r="I307" s="19" t="str">
        <x:v>S2015-PARIS</x:v>
      </x:c>
      <x:c r="J307" s="19" t="str">
        <x:v>NOT_EXPOSED_IN_REPORT</x:v>
      </x:c>
      <x:c r="K307" s="19" t="str">
        <x:v>PRIORITY_RANK=3;ORIGINAL_ROW_CONFIDENCE_NOT_EXPOSED</x:v>
      </x:c>
      <x:c r="L307" s="19" t="str">
        <x:v>NOT_EXPOSED_IN_REPORT</x:v>
      </x:c>
      <x:c r="M307" s="19" t="str">
        <x:v>PRIORITY_RANK_03</x:v>
      </x:c>
      <x:c r="N307" s="31" t="str">
        <x:v>RECONSTRUCTED_FROM_REPORT</x:v>
      </x:c>
      <x:c r="O307" s="31" t="str">
        <x:v>UNRESOLVED</x:v>
      </x:c>
      <x:c r="P307" s="19" t="str">
        <x:v>Fear of Temperature_ Stratified Lexical Expansion, Voice Mapping, and Semantic-Relational Pre-Valida.pdf</x:v>
      </x:c>
      <x:c r="Q307" s="31" t="str">
        <x:v>RECONSTRUCTED_FROM_REPORT</x:v>
      </x:c>
      <x:c r="R307" s="46" t="str">
        <x:v>New surrogate project ID assigned from the compact report table; never an original later-stage structured candidate ID.</x:v>
      </x:c>
    </x:row>
    <x:row r="308" ht="32" customHeight="1">
      <x:c r="A308" s="18" t="str">
        <x:v>FT-SEED-R1B-P-2015-04</x:v>
      </x:c>
      <x:c r="B308" s="19" t="str">
        <x:v>PRIORITY_180</x:v>
      </x:c>
      <x:c r="C308" s="31" t="str">
        <x:v>NOT_EXPOSED_IN_REPORT</x:v>
      </x:c>
      <x:c r="D308" s="19" t="str">
        <x:v>11</x:v>
      </x:c>
      <x:c r="E308" s="19" t="str">
        <x:v>FT-A2015</x:v>
      </x:c>
      <x:c r="F308" s="31" t="str">
        <x:v>well below 2°C above pre-industrial levels</x:v>
      </x:c>
      <x:c r="G308" s="19" t="str">
        <x:v>A</x:v>
      </x:c>
      <x:c r="H308" s="19" t="str">
        <x:v>V2</x:v>
      </x:c>
      <x:c r="I308" s="19" t="str">
        <x:v>S2015-PARIS</x:v>
      </x:c>
      <x:c r="J308" s="19" t="str">
        <x:v>NOT_EXPOSED_IN_REPORT</x:v>
      </x:c>
      <x:c r="K308" s="19" t="str">
        <x:v>PRIORITY_RANK=4;ORIGINAL_ROW_CONFIDENCE_NOT_EXPOSED</x:v>
      </x:c>
      <x:c r="L308" s="19" t="str">
        <x:v>NOT_EXPOSED_IN_REPORT</x:v>
      </x:c>
      <x:c r="M308" s="19" t="str">
        <x:v>PRIORITY_RANK_04</x:v>
      </x:c>
      <x:c r="N308" s="31" t="str">
        <x:v>RECONSTRUCTED_FROM_REPORT</x:v>
      </x:c>
      <x:c r="O308" s="31" t="str">
        <x:v>UNRESOLVED</x:v>
      </x:c>
      <x:c r="P308" s="19" t="str">
        <x:v>Fear of Temperature_ Stratified Lexical Expansion, Voice Mapping, and Semantic-Relational Pre-Valida.pdf</x:v>
      </x:c>
      <x:c r="Q308" s="31" t="str">
        <x:v>RECONSTRUCTED_FROM_REPORT</x:v>
      </x:c>
      <x:c r="R308" s="46" t="str">
        <x:v>New surrogate project ID assigned from the compact report table; never an original later-stage structured candidate ID.</x:v>
      </x:c>
    </x:row>
    <x:row r="309" ht="32" customHeight="1">
      <x:c r="A309" s="18" t="str">
        <x:v>FT-SEED-R1B-P-2015-05</x:v>
      </x:c>
      <x:c r="B309" s="19" t="str">
        <x:v>PRIORITY_180</x:v>
      </x:c>
      <x:c r="C309" s="31" t="str">
        <x:v>NOT_EXPOSED_IN_REPORT</x:v>
      </x:c>
      <x:c r="D309" s="19" t="str">
        <x:v>11</x:v>
      </x:c>
      <x:c r="E309" s="19" t="str">
        <x:v>FT-A2015</x:v>
      </x:c>
      <x:c r="F309" s="31" t="str">
        <x:v>1.5°C above pre-industrial levels</x:v>
      </x:c>
      <x:c r="G309" s="19" t="str">
        <x:v>A</x:v>
      </x:c>
      <x:c r="H309" s="19" t="str">
        <x:v>V2</x:v>
      </x:c>
      <x:c r="I309" s="19" t="str">
        <x:v>S2015-PARIS</x:v>
      </x:c>
      <x:c r="J309" s="19" t="str">
        <x:v>NOT_EXPOSED_IN_REPORT</x:v>
      </x:c>
      <x:c r="K309" s="19" t="str">
        <x:v>PRIORITY_RANK=5;ORIGINAL_ROW_CONFIDENCE_NOT_EXPOSED</x:v>
      </x:c>
      <x:c r="L309" s="19" t="str">
        <x:v>NOT_EXPOSED_IN_REPORT</x:v>
      </x:c>
      <x:c r="M309" s="19" t="str">
        <x:v>PRIORITY_RANK_05</x:v>
      </x:c>
      <x:c r="N309" s="31" t="str">
        <x:v>RECONSTRUCTED_FROM_REPORT</x:v>
      </x:c>
      <x:c r="O309" s="31" t="str">
        <x:v>UNRESOLVED</x:v>
      </x:c>
      <x:c r="P309" s="19" t="str">
        <x:v>Fear of Temperature_ Stratified Lexical Expansion, Voice Mapping, and Semantic-Relational Pre-Valida.pdf</x:v>
      </x:c>
      <x:c r="Q309" s="31" t="str">
        <x:v>RECONSTRUCTED_FROM_REPORT</x:v>
      </x:c>
      <x:c r="R309" s="46" t="str">
        <x:v>New surrogate project ID assigned from the compact report table; never an original later-stage structured candidate ID.</x:v>
      </x:c>
    </x:row>
    <x:row r="310" ht="32" customHeight="1">
      <x:c r="A310" s="18" t="str">
        <x:v>FT-SEED-R1B-P-2015-06</x:v>
      </x:c>
      <x:c r="B310" s="19" t="str">
        <x:v>PRIORITY_180</x:v>
      </x:c>
      <x:c r="C310" s="31" t="str">
        <x:v>NOT_EXPOSED_IN_REPORT</x:v>
      </x:c>
      <x:c r="D310" s="19" t="str">
        <x:v>11</x:v>
      </x:c>
      <x:c r="E310" s="19" t="str">
        <x:v>FT-A2015</x:v>
      </x:c>
      <x:c r="F310" s="31" t="str">
        <x:v>pre-industrial levels</x:v>
      </x:c>
      <x:c r="G310" s="19" t="str">
        <x:v>B</x:v>
      </x:c>
      <x:c r="H310" s="19" t="str">
        <x:v>V2</x:v>
      </x:c>
      <x:c r="I310" s="19" t="str">
        <x:v>S2015-PARIS</x:v>
      </x:c>
      <x:c r="J310" s="19" t="str">
        <x:v>NOT_EXPOSED_IN_REPORT</x:v>
      </x:c>
      <x:c r="K310" s="19" t="str">
        <x:v>PRIORITY_RANK=6;ORIGINAL_ROW_CONFIDENCE_NOT_EXPOSED</x:v>
      </x:c>
      <x:c r="L310" s="19" t="str">
        <x:v>NOT_EXPOSED_IN_REPORT</x:v>
      </x:c>
      <x:c r="M310" s="19" t="str">
        <x:v>PRIORITY_RANK_06</x:v>
      </x:c>
      <x:c r="N310" s="31" t="str">
        <x:v>RECONSTRUCTED_FROM_REPORT</x:v>
      </x:c>
      <x:c r="O310" s="31" t="str">
        <x:v>UNRESOLVED</x:v>
      </x:c>
      <x:c r="P310" s="19" t="str">
        <x:v>Fear of Temperature_ Stratified Lexical Expansion, Voice Mapping, and Semantic-Relational Pre-Valida.pdf</x:v>
      </x:c>
      <x:c r="Q310" s="31" t="str">
        <x:v>RECONSTRUCTED_FROM_REPORT</x:v>
      </x:c>
      <x:c r="R310" s="46" t="str">
        <x:v>New surrogate project ID assigned from the compact report table; never an original later-stage structured candidate ID.</x:v>
      </x:c>
    </x:row>
    <x:row r="311" ht="32" customHeight="1">
      <x:c r="A311" s="18" t="str">
        <x:v>FT-SEED-R1B-P-2015-07</x:v>
      </x:c>
      <x:c r="B311" s="19" t="str">
        <x:v>PRIORITY_180</x:v>
      </x:c>
      <x:c r="C311" s="31" t="str">
        <x:v>NOT_EXPOSED_IN_REPORT</x:v>
      </x:c>
      <x:c r="D311" s="19" t="str">
        <x:v>11</x:v>
      </x:c>
      <x:c r="E311" s="19" t="str">
        <x:v>FT-A2015</x:v>
      </x:c>
      <x:c r="F311" s="31" t="str">
        <x:v>risks and impacts</x:v>
      </x:c>
      <x:c r="G311" s="19" t="str">
        <x:v>D</x:v>
      </x:c>
      <x:c r="H311" s="19" t="str">
        <x:v>V2</x:v>
      </x:c>
      <x:c r="I311" s="19" t="str">
        <x:v>S2015-PARIS</x:v>
      </x:c>
      <x:c r="J311" s="19" t="str">
        <x:v>NOT_EXPOSED_IN_REPORT</x:v>
      </x:c>
      <x:c r="K311" s="19" t="str">
        <x:v>PRIORITY_RANK=7;ORIGINAL_ROW_CONFIDENCE_NOT_EXPOSED</x:v>
      </x:c>
      <x:c r="L311" s="19" t="str">
        <x:v>NOT_EXPOSED_IN_REPORT</x:v>
      </x:c>
      <x:c r="M311" s="19" t="str">
        <x:v>PRIORITY_RANK_07</x:v>
      </x:c>
      <x:c r="N311" s="31" t="str">
        <x:v>RECONSTRUCTED_FROM_REPORT</x:v>
      </x:c>
      <x:c r="O311" s="31" t="str">
        <x:v>UNRESOLVED</x:v>
      </x:c>
      <x:c r="P311" s="19" t="str">
        <x:v>Fear of Temperature_ Stratified Lexical Expansion, Voice Mapping, and Semantic-Relational Pre-Valida.pdf</x:v>
      </x:c>
      <x:c r="Q311" s="31" t="str">
        <x:v>RECONSTRUCTED_FROM_REPORT</x:v>
      </x:c>
      <x:c r="R311" s="46" t="str">
        <x:v>New surrogate project ID assigned from the compact report table; never an original later-stage structured candidate ID.</x:v>
      </x:c>
    </x:row>
    <x:row r="312" ht="32" customHeight="1">
      <x:c r="A312" s="18" t="str">
        <x:v>FT-SEED-R1B-P-2015-08</x:v>
      </x:c>
      <x:c r="B312" s="19" t="str">
        <x:v>PRIORITY_180</x:v>
      </x:c>
      <x:c r="C312" s="31" t="str">
        <x:v>NOT_EXPOSED_IN_REPORT</x:v>
      </x:c>
      <x:c r="D312" s="19" t="str">
        <x:v>11</x:v>
      </x:c>
      <x:c r="E312" s="19" t="str">
        <x:v>FT-A2015</x:v>
      </x:c>
      <x:c r="F312" s="31" t="str">
        <x:v>adverse impacts</x:v>
      </x:c>
      <x:c r="G312" s="19" t="str">
        <x:v>D</x:v>
      </x:c>
      <x:c r="H312" s="19" t="str">
        <x:v>V2</x:v>
      </x:c>
      <x:c r="I312" s="19" t="str">
        <x:v>S2015-PARIS</x:v>
      </x:c>
      <x:c r="J312" s="19" t="str">
        <x:v>NOT_EXPOSED_IN_REPORT</x:v>
      </x:c>
      <x:c r="K312" s="19" t="str">
        <x:v>PRIORITY_RANK=8;ORIGINAL_ROW_CONFIDENCE_NOT_EXPOSED</x:v>
      </x:c>
      <x:c r="L312" s="19" t="str">
        <x:v>NOT_EXPOSED_IN_REPORT</x:v>
      </x:c>
      <x:c r="M312" s="19" t="str">
        <x:v>PRIORITY_RANK_08</x:v>
      </x:c>
      <x:c r="N312" s="31" t="str">
        <x:v>RECONSTRUCTED_FROM_REPORT</x:v>
      </x:c>
      <x:c r="O312" s="31" t="str">
        <x:v>UNRESOLVED</x:v>
      </x:c>
      <x:c r="P312" s="19" t="str">
        <x:v>Fear of Temperature_ Stratified Lexical Expansion, Voice Mapping, and Semantic-Relational Pre-Valida.pdf</x:v>
      </x:c>
      <x:c r="Q312" s="31" t="str">
        <x:v>RECONSTRUCTED_FROM_REPORT</x:v>
      </x:c>
      <x:c r="R312" s="46" t="str">
        <x:v>New surrogate project ID assigned from the compact report table; never an original later-stage structured candidate ID.</x:v>
      </x:c>
    </x:row>
    <x:row r="313" ht="32" customHeight="1">
      <x:c r="A313" s="18" t="str">
        <x:v>FT-SEED-R1B-P-2015-09</x:v>
      </x:c>
      <x:c r="B313" s="19" t="str">
        <x:v>PRIORITY_180</x:v>
      </x:c>
      <x:c r="C313" s="31" t="str">
        <x:v>NOT_EXPOSED_IN_REPORT</x:v>
      </x:c>
      <x:c r="D313" s="19" t="str">
        <x:v>11</x:v>
      </x:c>
      <x:c r="E313" s="19" t="str">
        <x:v>FT-A2015</x:v>
      </x:c>
      <x:c r="F313" s="31" t="str">
        <x:v>adverse effects of climate change</x:v>
      </x:c>
      <x:c r="G313" s="19" t="str">
        <x:v>D</x:v>
      </x:c>
      <x:c r="H313" s="19" t="str">
        <x:v>V2</x:v>
      </x:c>
      <x:c r="I313" s="19" t="str">
        <x:v>S2015-PARIS</x:v>
      </x:c>
      <x:c r="J313" s="19" t="str">
        <x:v>NOT_EXPOSED_IN_REPORT</x:v>
      </x:c>
      <x:c r="K313" s="19" t="str">
        <x:v>PRIORITY_RANK=9;ORIGINAL_ROW_CONFIDENCE_NOT_EXPOSED</x:v>
      </x:c>
      <x:c r="L313" s="19" t="str">
        <x:v>NOT_EXPOSED_IN_REPORT</x:v>
      </x:c>
      <x:c r="M313" s="19" t="str">
        <x:v>PRIORITY_RANK_09</x:v>
      </x:c>
      <x:c r="N313" s="31" t="str">
        <x:v>RECONSTRUCTED_FROM_REPORT</x:v>
      </x:c>
      <x:c r="O313" s="31" t="str">
        <x:v>UNRESOLVED</x:v>
      </x:c>
      <x:c r="P313" s="19" t="str">
        <x:v>Fear of Temperature_ Stratified Lexical Expansion, Voice Mapping, and Semantic-Relational Pre-Valida.pdf</x:v>
      </x:c>
      <x:c r="Q313" s="31" t="str">
        <x:v>RECONSTRUCTED_FROM_REPORT</x:v>
      </x:c>
      <x:c r="R313" s="46" t="str">
        <x:v>New surrogate project ID assigned from the compact report table; never an original later-stage structured candidate ID.</x:v>
      </x:c>
    </x:row>
    <x:row r="314" ht="32" customHeight="1">
      <x:c r="A314" s="18" t="str">
        <x:v>FT-SEED-R1B-P-2015-10</x:v>
      </x:c>
      <x:c r="B314" s="19" t="str">
        <x:v>PRIORITY_180</x:v>
      </x:c>
      <x:c r="C314" s="31" t="str">
        <x:v>NOT_EXPOSED_IN_REPORT</x:v>
      </x:c>
      <x:c r="D314" s="19" t="str">
        <x:v>11</x:v>
      </x:c>
      <x:c r="E314" s="19" t="str">
        <x:v>FT-A2015</x:v>
      </x:c>
      <x:c r="F314" s="31" t="str">
        <x:v>greenhouse gas emissions</x:v>
      </x:c>
      <x:c r="G314" s="19" t="str">
        <x:v>B</x:v>
      </x:c>
      <x:c r="H314" s="19" t="str">
        <x:v>V2</x:v>
      </x:c>
      <x:c r="I314" s="19" t="str">
        <x:v>S2015-PARIS</x:v>
      </x:c>
      <x:c r="J314" s="19" t="str">
        <x:v>NOT_EXPOSED_IN_REPORT</x:v>
      </x:c>
      <x:c r="K314" s="19" t="str">
        <x:v>PRIORITY_RANK=10;ORIGINAL_ROW_CONFIDENCE_NOT_EXPOSED</x:v>
      </x:c>
      <x:c r="L314" s="19" t="str">
        <x:v>NOT_EXPOSED_IN_REPORT</x:v>
      </x:c>
      <x:c r="M314" s="19" t="str">
        <x:v>PRIORITY_RANK_10</x:v>
      </x:c>
      <x:c r="N314" s="31" t="str">
        <x:v>RECONSTRUCTED_FROM_REPORT</x:v>
      </x:c>
      <x:c r="O314" s="31" t="str">
        <x:v>UNRESOLVED</x:v>
      </x:c>
      <x:c r="P314" s="19" t="str">
        <x:v>Fear of Temperature_ Stratified Lexical Expansion, Voice Mapping, and Semantic-Relational Pre-Valida.pdf</x:v>
      </x:c>
      <x:c r="Q314" s="31" t="str">
        <x:v>RECONSTRUCTED_FROM_REPORT</x:v>
      </x:c>
      <x:c r="R314" s="46" t="str">
        <x:v>New surrogate project ID assigned from the compact report table; never an original later-stage structured candidate ID.</x:v>
      </x:c>
    </x:row>
    <x:row r="315" ht="32" customHeight="1">
      <x:c r="A315" s="18" t="str">
        <x:v>FT-SEED-R1B-P-2015-11</x:v>
      </x:c>
      <x:c r="B315" s="19" t="str">
        <x:v>PRIORITY_180</x:v>
      </x:c>
      <x:c r="C315" s="31" t="str">
        <x:v>NOT_EXPOSED_IN_REPORT</x:v>
      </x:c>
      <x:c r="D315" s="19" t="str">
        <x:v>11</x:v>
      </x:c>
      <x:c r="E315" s="19" t="str">
        <x:v>FT-A2015</x:v>
      </x:c>
      <x:c r="F315" s="31" t="str">
        <x:v>climate resilience</x:v>
      </x:c>
      <x:c r="G315" s="19" t="str">
        <x:v>D</x:v>
      </x:c>
      <x:c r="H315" s="19" t="str">
        <x:v>V2</x:v>
      </x:c>
      <x:c r="I315" s="19" t="str">
        <x:v>S2015-PARIS</x:v>
      </x:c>
      <x:c r="J315" s="19" t="str">
        <x:v>NOT_EXPOSED_IN_REPORT</x:v>
      </x:c>
      <x:c r="K315" s="19" t="str">
        <x:v>PRIORITY_RANK=11;ORIGINAL_ROW_CONFIDENCE_NOT_EXPOSED</x:v>
      </x:c>
      <x:c r="L315" s="19" t="str">
        <x:v>NOT_EXPOSED_IN_REPORT</x:v>
      </x:c>
      <x:c r="M315" s="19" t="str">
        <x:v>PRIORITY_RANK_11</x:v>
      </x:c>
      <x:c r="N315" s="31" t="str">
        <x:v>RECONSTRUCTED_FROM_REPORT</x:v>
      </x:c>
      <x:c r="O315" s="31" t="str">
        <x:v>UNRESOLVED</x:v>
      </x:c>
      <x:c r="P315" s="19" t="str">
        <x:v>Fear of Temperature_ Stratified Lexical Expansion, Voice Mapping, and Semantic-Relational Pre-Valida.pdf</x:v>
      </x:c>
      <x:c r="Q315" s="31" t="str">
        <x:v>RECONSTRUCTED_FROM_REPORT</x:v>
      </x:c>
      <x:c r="R315" s="46" t="str">
        <x:v>New surrogate project ID assigned from the compact report table; never an original later-stage structured candidate ID.</x:v>
      </x:c>
    </x:row>
    <x:row r="316" ht="32" customHeight="1">
      <x:c r="A316" s="18" t="str">
        <x:v>FT-SEED-R1B-P-2015-12</x:v>
      </x:c>
      <x:c r="B316" s="19" t="str">
        <x:v>PRIORITY_180</x:v>
      </x:c>
      <x:c r="C316" s="31" t="str">
        <x:v>NOT_EXPOSED_IN_REPORT</x:v>
      </x:c>
      <x:c r="D316" s="19" t="str">
        <x:v>11</x:v>
      </x:c>
      <x:c r="E316" s="19" t="str">
        <x:v>FT-A2015</x:v>
      </x:c>
      <x:c r="F316" s="31" t="str">
        <x:v>vulnerability</x:v>
      </x:c>
      <x:c r="G316" s="19" t="str">
        <x:v>D</x:v>
      </x:c>
      <x:c r="H316" s="19" t="str">
        <x:v>V2</x:v>
      </x:c>
      <x:c r="I316" s="19" t="str">
        <x:v>S2015-PARIS</x:v>
      </x:c>
      <x:c r="J316" s="19" t="str">
        <x:v>NOT_EXPOSED_IN_REPORT</x:v>
      </x:c>
      <x:c r="K316" s="19" t="str">
        <x:v>PRIORITY_RANK=12;ORIGINAL_ROW_CONFIDENCE_NOT_EXPOSED</x:v>
      </x:c>
      <x:c r="L316" s="19" t="str">
        <x:v>NOT_EXPOSED_IN_REPORT</x:v>
      </x:c>
      <x:c r="M316" s="19" t="str">
        <x:v>PRIORITY_RANK_12</x:v>
      </x:c>
      <x:c r="N316" s="31" t="str">
        <x:v>RECONSTRUCTED_FROM_REPORT</x:v>
      </x:c>
      <x:c r="O316" s="31" t="str">
        <x:v>UNRESOLVED</x:v>
      </x:c>
      <x:c r="P316" s="19" t="str">
        <x:v>Fear of Temperature_ Stratified Lexical Expansion, Voice Mapping, and Semantic-Relational Pre-Valida.pdf</x:v>
      </x:c>
      <x:c r="Q316" s="31" t="str">
        <x:v>RECONSTRUCTED_FROM_REPORT</x:v>
      </x:c>
      <x:c r="R316" s="46" t="str">
        <x:v>New surrogate project ID assigned from the compact report table; never an original later-stage structured candidate ID.</x:v>
      </x:c>
    </x:row>
    <x:row r="317" ht="32" customHeight="1">
      <x:c r="A317" s="18" t="str">
        <x:v>FT-SEED-R1B-P-2015-13</x:v>
      </x:c>
      <x:c r="B317" s="19" t="str">
        <x:v>PRIORITY_180</x:v>
      </x:c>
      <x:c r="C317" s="31" t="str">
        <x:v>NOT_EXPOSED_IN_REPORT</x:v>
      </x:c>
      <x:c r="D317" s="19" t="str">
        <x:v>11</x:v>
      </x:c>
      <x:c r="E317" s="19" t="str">
        <x:v>FT-A2015</x:v>
      </x:c>
      <x:c r="F317" s="31" t="str">
        <x:v>vulnerable groups</x:v>
      </x:c>
      <x:c r="G317" s="19" t="str">
        <x:v>D</x:v>
      </x:c>
      <x:c r="H317" s="19" t="str">
        <x:v>V2</x:v>
      </x:c>
      <x:c r="I317" s="19" t="str">
        <x:v>S2015-PARIS</x:v>
      </x:c>
      <x:c r="J317" s="19" t="str">
        <x:v>NOT_EXPOSED_IN_REPORT</x:v>
      </x:c>
      <x:c r="K317" s="19" t="str">
        <x:v>PRIORITY_RANK=13;ORIGINAL_ROW_CONFIDENCE_NOT_EXPOSED</x:v>
      </x:c>
      <x:c r="L317" s="19" t="str">
        <x:v>NOT_EXPOSED_IN_REPORT</x:v>
      </x:c>
      <x:c r="M317" s="19" t="str">
        <x:v>PRIORITY_RANK_13</x:v>
      </x:c>
      <x:c r="N317" s="31" t="str">
        <x:v>RECONSTRUCTED_FROM_REPORT</x:v>
      </x:c>
      <x:c r="O317" s="31" t="str">
        <x:v>UNRESOLVED</x:v>
      </x:c>
      <x:c r="P317" s="19" t="str">
        <x:v>Fear of Temperature_ Stratified Lexical Expansion, Voice Mapping, and Semantic-Relational Pre-Valida.pdf</x:v>
      </x:c>
      <x:c r="Q317" s="31" t="str">
        <x:v>RECONSTRUCTED_FROM_REPORT</x:v>
      </x:c>
      <x:c r="R317" s="46" t="str">
        <x:v>New surrogate project ID assigned from the compact report table; never an original later-stage structured candidate ID.</x:v>
      </x:c>
    </x:row>
    <x:row r="318" ht="32" customHeight="1">
      <x:c r="A318" s="18" t="str">
        <x:v>FT-SEED-R1B-P-2015-14</x:v>
      </x:c>
      <x:c r="B318" s="19" t="str">
        <x:v>PRIORITY_180</x:v>
      </x:c>
      <x:c r="C318" s="31" t="str">
        <x:v>NOT_EXPOSED_IN_REPORT</x:v>
      </x:c>
      <x:c r="D318" s="19" t="str">
        <x:v>11</x:v>
      </x:c>
      <x:c r="E318" s="19" t="str">
        <x:v>FT-A2015</x:v>
      </x:c>
      <x:c r="F318" s="31" t="str">
        <x:v>loss and damage</x:v>
      </x:c>
      <x:c r="G318" s="19" t="str">
        <x:v>D</x:v>
      </x:c>
      <x:c r="H318" s="19" t="str">
        <x:v>V2</x:v>
      </x:c>
      <x:c r="I318" s="19" t="str">
        <x:v>S2015-PARIS</x:v>
      </x:c>
      <x:c r="J318" s="19" t="str">
        <x:v>NOT_EXPOSED_IN_REPORT</x:v>
      </x:c>
      <x:c r="K318" s="19" t="str">
        <x:v>PRIORITY_RANK=14;ORIGINAL_ROW_CONFIDENCE_NOT_EXPOSED</x:v>
      </x:c>
      <x:c r="L318" s="19" t="str">
        <x:v>NOT_EXPOSED_IN_REPORT</x:v>
      </x:c>
      <x:c r="M318" s="19" t="str">
        <x:v>PRIORITY_RANK_14</x:v>
      </x:c>
      <x:c r="N318" s="31" t="str">
        <x:v>RECONSTRUCTED_FROM_REPORT</x:v>
      </x:c>
      <x:c r="O318" s="31" t="str">
        <x:v>UNRESOLVED</x:v>
      </x:c>
      <x:c r="P318" s="19" t="str">
        <x:v>Fear of Temperature_ Stratified Lexical Expansion, Voice Mapping, and Semantic-Relational Pre-Valida.pdf</x:v>
      </x:c>
      <x:c r="Q318" s="31" t="str">
        <x:v>RECONSTRUCTED_FROM_REPORT</x:v>
      </x:c>
      <x:c r="R318" s="46" t="str">
        <x:v>New surrogate project ID assigned from the compact report table; never an original later-stage structured candidate ID.</x:v>
      </x:c>
    </x:row>
    <x:row r="319" ht="32" customHeight="1">
      <x:c r="A319" s="18" t="str">
        <x:v>FT-SEED-R1B-P-2015-15</x:v>
      </x:c>
      <x:c r="B319" s="19" t="str">
        <x:v>PRIORITY_180</x:v>
      </x:c>
      <x:c r="C319" s="31" t="str">
        <x:v>NOT_EXPOSED_IN_REPORT</x:v>
      </x:c>
      <x:c r="D319" s="19" t="str">
        <x:v>11</x:v>
      </x:c>
      <x:c r="E319" s="19" t="str">
        <x:v>FT-A2015</x:v>
      </x:c>
      <x:c r="F319" s="31" t="str">
        <x:v>extreme weather events</x:v>
      </x:c>
      <x:c r="G319" s="19" t="str">
        <x:v>D</x:v>
      </x:c>
      <x:c r="H319" s="19" t="str">
        <x:v>V2</x:v>
      </x:c>
      <x:c r="I319" s="19" t="str">
        <x:v>S2015-PARIS</x:v>
      </x:c>
      <x:c r="J319" s="19" t="str">
        <x:v>NOT_EXPOSED_IN_REPORT</x:v>
      </x:c>
      <x:c r="K319" s="19" t="str">
        <x:v>PRIORITY_RANK=15;ORIGINAL_ROW_CONFIDENCE_NOT_EXPOSED</x:v>
      </x:c>
      <x:c r="L319" s="19" t="str">
        <x:v>NOT_EXPOSED_IN_REPORT</x:v>
      </x:c>
      <x:c r="M319" s="19" t="str">
        <x:v>PRIORITY_RANK_15</x:v>
      </x:c>
      <x:c r="N319" s="31" t="str">
        <x:v>RECONSTRUCTED_FROM_REPORT</x:v>
      </x:c>
      <x:c r="O319" s="31" t="str">
        <x:v>UNRESOLVED</x:v>
      </x:c>
      <x:c r="P319" s="19" t="str">
        <x:v>Fear of Temperature_ Stratified Lexical Expansion, Voice Mapping, and Semantic-Relational Pre-Valida.pdf</x:v>
      </x:c>
      <x:c r="Q319" s="31" t="str">
        <x:v>RECONSTRUCTED_FROM_REPORT</x:v>
      </x:c>
      <x:c r="R319" s="46" t="str">
        <x:v>New surrogate project ID assigned from the compact report table; never an original later-stage structured candidate ID.</x:v>
      </x:c>
    </x:row>
    <x:row r="320" ht="32" customHeight="1">
      <x:c r="A320" s="18" t="str">
        <x:v>FT-SEED-R1B-P-2015-16</x:v>
      </x:c>
      <x:c r="B320" s="19" t="str">
        <x:v>PRIORITY_180</x:v>
      </x:c>
      <x:c r="C320" s="31" t="str">
        <x:v>NOT_EXPOSED_IN_REPORT</x:v>
      </x:c>
      <x:c r="D320" s="19" t="str">
        <x:v>11</x:v>
      </x:c>
      <x:c r="E320" s="19" t="str">
        <x:v>FT-A2015</x:v>
      </x:c>
      <x:c r="F320" s="31" t="str">
        <x:v>slow onset events</x:v>
      </x:c>
      <x:c r="G320" s="19" t="str">
        <x:v>D</x:v>
      </x:c>
      <x:c r="H320" s="19" t="str">
        <x:v>V2</x:v>
      </x:c>
      <x:c r="I320" s="19" t="str">
        <x:v>S2015-PARIS</x:v>
      </x:c>
      <x:c r="J320" s="19" t="str">
        <x:v>NOT_EXPOSED_IN_REPORT</x:v>
      </x:c>
      <x:c r="K320" s="19" t="str">
        <x:v>PRIORITY_RANK=16;ORIGINAL_ROW_CONFIDENCE_NOT_EXPOSED</x:v>
      </x:c>
      <x:c r="L320" s="19" t="str">
        <x:v>NOT_EXPOSED_IN_REPORT</x:v>
      </x:c>
      <x:c r="M320" s="19" t="str">
        <x:v>PRIORITY_RANK_16</x:v>
      </x:c>
      <x:c r="N320" s="31" t="str">
        <x:v>RECONSTRUCTED_FROM_REPORT</x:v>
      </x:c>
      <x:c r="O320" s="31" t="str">
        <x:v>UNRESOLVED</x:v>
      </x:c>
      <x:c r="P320" s="19" t="str">
        <x:v>Fear of Temperature_ Stratified Lexical Expansion, Voice Mapping, and Semantic-Relational Pre-Valida.pdf</x:v>
      </x:c>
      <x:c r="Q320" s="31" t="str">
        <x:v>RECONSTRUCTED_FROM_REPORT</x:v>
      </x:c>
      <x:c r="R320" s="46" t="str">
        <x:v>New surrogate project ID assigned from the compact report table; never an original later-stage structured candidate ID.</x:v>
      </x:c>
    </x:row>
    <x:row r="321" ht="32" customHeight="1">
      <x:c r="A321" s="18" t="str">
        <x:v>FT-SEED-R1B-P-2015-17</x:v>
      </x:c>
      <x:c r="B321" s="19" t="str">
        <x:v>PRIORITY_180</x:v>
      </x:c>
      <x:c r="C321" s="31" t="str">
        <x:v>NOT_EXPOSED_IN_REPORT</x:v>
      </x:c>
      <x:c r="D321" s="19" t="str">
        <x:v>11</x:v>
      </x:c>
      <x:c r="E321" s="19" t="str">
        <x:v>FT-A2015</x:v>
      </x:c>
      <x:c r="F321" s="31" t="str">
        <x:v>risk of loss and damage</x:v>
      </x:c>
      <x:c r="G321" s="19" t="str">
        <x:v>D</x:v>
      </x:c>
      <x:c r="H321" s="19" t="str">
        <x:v>V2</x:v>
      </x:c>
      <x:c r="I321" s="19" t="str">
        <x:v>S2015-PARIS</x:v>
      </x:c>
      <x:c r="J321" s="19" t="str">
        <x:v>NOT_EXPOSED_IN_REPORT</x:v>
      </x:c>
      <x:c r="K321" s="19" t="str">
        <x:v>PRIORITY_RANK=17;ORIGINAL_ROW_CONFIDENCE_NOT_EXPOSED</x:v>
      </x:c>
      <x:c r="L321" s="19" t="str">
        <x:v>NOT_EXPOSED_IN_REPORT</x:v>
      </x:c>
      <x:c r="M321" s="19" t="str">
        <x:v>PRIORITY_RANK_17</x:v>
      </x:c>
      <x:c r="N321" s="31" t="str">
        <x:v>RECONSTRUCTED_FROM_REPORT</x:v>
      </x:c>
      <x:c r="O321" s="31" t="str">
        <x:v>UNRESOLVED</x:v>
      </x:c>
      <x:c r="P321" s="19" t="str">
        <x:v>Fear of Temperature_ Stratified Lexical Expansion, Voice Mapping, and Semantic-Relational Pre-Valida.pdf</x:v>
      </x:c>
      <x:c r="Q321" s="31" t="str">
        <x:v>RECONSTRUCTED_FROM_REPORT</x:v>
      </x:c>
      <x:c r="R321" s="46" t="str">
        <x:v>New surrogate project ID assigned from the compact report table; never an original later-stage structured candidate ID.</x:v>
      </x:c>
    </x:row>
    <x:row r="322" ht="32" customHeight="1">
      <x:c r="A322" s="18" t="str">
        <x:v>FT-SEED-R1B-P-2015-18</x:v>
      </x:c>
      <x:c r="B322" s="19" t="str">
        <x:v>PRIORITY_180</x:v>
      </x:c>
      <x:c r="C322" s="31" t="str">
        <x:v>NOT_EXPOSED_IN_REPORT</x:v>
      </x:c>
      <x:c r="D322" s="19" t="str">
        <x:v>11</x:v>
      </x:c>
      <x:c r="E322" s="19" t="str">
        <x:v>FT-A2015</x:v>
      </x:c>
      <x:c r="F322" s="31" t="str">
        <x:v>early warning systems</x:v>
      </x:c>
      <x:c r="G322" s="19" t="str">
        <x:v>D</x:v>
      </x:c>
      <x:c r="H322" s="19" t="str">
        <x:v>V2</x:v>
      </x:c>
      <x:c r="I322" s="19" t="str">
        <x:v>S2015-PARIS</x:v>
      </x:c>
      <x:c r="J322" s="19" t="str">
        <x:v>NOT_EXPOSED_IN_REPORT</x:v>
      </x:c>
      <x:c r="K322" s="19" t="str">
        <x:v>PRIORITY_RANK=18;ORIGINAL_ROW_CONFIDENCE_NOT_EXPOSED</x:v>
      </x:c>
      <x:c r="L322" s="19" t="str">
        <x:v>NOT_EXPOSED_IN_REPORT</x:v>
      </x:c>
      <x:c r="M322" s="19" t="str">
        <x:v>PRIORITY_RANK_18</x:v>
      </x:c>
      <x:c r="N322" s="31" t="str">
        <x:v>RECONSTRUCTED_FROM_REPORT</x:v>
      </x:c>
      <x:c r="O322" s="31" t="str">
        <x:v>UNRESOLVED</x:v>
      </x:c>
      <x:c r="P322" s="19" t="str">
        <x:v>Fear of Temperature_ Stratified Lexical Expansion, Voice Mapping, and Semantic-Relational Pre-Valida.pdf</x:v>
      </x:c>
      <x:c r="Q322" s="31" t="str">
        <x:v>RECONSTRUCTED_FROM_REPORT</x:v>
      </x:c>
      <x:c r="R322" s="46" t="str">
        <x:v>New surrogate project ID assigned from the compact report table; never an original later-stage structured candidate ID.</x:v>
      </x:c>
    </x:row>
    <x:row r="323" ht="32" customHeight="1">
      <x:c r="A323" s="18" t="str">
        <x:v>FT-SEED-R1B-P-2015-19</x:v>
      </x:c>
      <x:c r="B323" s="19" t="str">
        <x:v>PRIORITY_180</x:v>
      </x:c>
      <x:c r="C323" s="31" t="str">
        <x:v>NOT_EXPOSED_IN_REPORT</x:v>
      </x:c>
      <x:c r="D323" s="19" t="str">
        <x:v>11</x:v>
      </x:c>
      <x:c r="E323" s="19" t="str">
        <x:v>FT-A2015</x:v>
      </x:c>
      <x:c r="F323" s="31" t="str">
        <x:v>emergency preparedness</x:v>
      </x:c>
      <x:c r="G323" s="19" t="str">
        <x:v>D</x:v>
      </x:c>
      <x:c r="H323" s="19" t="str">
        <x:v>V2</x:v>
      </x:c>
      <x:c r="I323" s="19" t="str">
        <x:v>S2015-PARIS</x:v>
      </x:c>
      <x:c r="J323" s="19" t="str">
        <x:v>NOT_EXPOSED_IN_REPORT</x:v>
      </x:c>
      <x:c r="K323" s="19" t="str">
        <x:v>PRIORITY_RANK=19;ORIGINAL_ROW_CONFIDENCE_NOT_EXPOSED</x:v>
      </x:c>
      <x:c r="L323" s="19" t="str">
        <x:v>NOT_EXPOSED_IN_REPORT</x:v>
      </x:c>
      <x:c r="M323" s="19" t="str">
        <x:v>PRIORITY_RANK_19</x:v>
      </x:c>
      <x:c r="N323" s="31" t="str">
        <x:v>RECONSTRUCTED_FROM_REPORT</x:v>
      </x:c>
      <x:c r="O323" s="31" t="str">
        <x:v>UNRESOLVED</x:v>
      </x:c>
      <x:c r="P323" s="19" t="str">
        <x:v>Fear of Temperature_ Stratified Lexical Expansion, Voice Mapping, and Semantic-Relational Pre-Valida.pdf</x:v>
      </x:c>
      <x:c r="Q323" s="31" t="str">
        <x:v>RECONSTRUCTED_FROM_REPORT</x:v>
      </x:c>
      <x:c r="R323" s="46" t="str">
        <x:v>New surrogate project ID assigned from the compact report table; never an original later-stage structured candidate ID.</x:v>
      </x:c>
    </x:row>
    <x:row r="324" ht="32" customHeight="1">
      <x:c r="A324" s="18" t="str">
        <x:v>FT-SEED-R1B-P-2015-20</x:v>
      </x:c>
      <x:c r="B324" s="19" t="str">
        <x:v>PRIORITY_180</x:v>
      </x:c>
      <x:c r="C324" s="31" t="str">
        <x:v>NOT_EXPOSED_IN_REPORT</x:v>
      </x:c>
      <x:c r="D324" s="19" t="str">
        <x:v>11</x:v>
      </x:c>
      <x:c r="E324" s="19" t="str">
        <x:v>FT-A2015</x:v>
      </x:c>
      <x:c r="F324" s="31" t="str">
        <x:v>irreversible and permanent loss and damage</x:v>
      </x:c>
      <x:c r="G324" s="19" t="str">
        <x:v>D</x:v>
      </x:c>
      <x:c r="H324" s="19" t="str">
        <x:v>V2</x:v>
      </x:c>
      <x:c r="I324" s="19" t="str">
        <x:v>S2015-PARIS</x:v>
      </x:c>
      <x:c r="J324" s="19" t="str">
        <x:v>NOT_EXPOSED_IN_REPORT</x:v>
      </x:c>
      <x:c r="K324" s="19" t="str">
        <x:v>PRIORITY_RANK=20;ORIGINAL_ROW_CONFIDENCE_NOT_EXPOSED</x:v>
      </x:c>
      <x:c r="L324" s="19" t="str">
        <x:v>NOT_EXPOSED_IN_REPORT</x:v>
      </x:c>
      <x:c r="M324" s="19" t="str">
        <x:v>PRIORITY_RANK_20</x:v>
      </x:c>
      <x:c r="N324" s="31" t="str">
        <x:v>RECONSTRUCTED_FROM_REPORT</x:v>
      </x:c>
      <x:c r="O324" s="31" t="str">
        <x:v>UNRESOLVED</x:v>
      </x:c>
      <x:c r="P324" s="19" t="str">
        <x:v>Fear of Temperature_ Stratified Lexical Expansion, Voice Mapping, and Semantic-Relational Pre-Valida.pdf</x:v>
      </x:c>
      <x:c r="Q324" s="31" t="str">
        <x:v>RECONSTRUCTED_FROM_REPORT</x:v>
      </x:c>
      <x:c r="R324" s="46" t="str">
        <x:v>New surrogate project ID assigned from the compact report table; never an original later-stage structured candidate ID.</x:v>
      </x:c>
    </x:row>
    <x:row r="325" ht="32" customHeight="1">
      <x:c r="A325" s="18" t="str">
        <x:v>FT-SEED-R1B-P-2015-21</x:v>
      </x:c>
      <x:c r="B325" s="19" t="str">
        <x:v>PRIORITY_180</x:v>
      </x:c>
      <x:c r="C325" s="31" t="str">
        <x:v>NOT_EXPOSED_IN_REPORT</x:v>
      </x:c>
      <x:c r="D325" s="19" t="str">
        <x:v>11</x:v>
      </x:c>
      <x:c r="E325" s="19" t="str">
        <x:v>FT-A2015</x:v>
      </x:c>
      <x:c r="F325" s="31" t="str">
        <x:v>comprehensive risk assessment and management</x:v>
      </x:c>
      <x:c r="G325" s="19" t="str">
        <x:v>D</x:v>
      </x:c>
      <x:c r="H325" s="19" t="str">
        <x:v>V2</x:v>
      </x:c>
      <x:c r="I325" s="19" t="str">
        <x:v>S2015-PARIS</x:v>
      </x:c>
      <x:c r="J325" s="19" t="str">
        <x:v>NOT_EXPOSED_IN_REPORT</x:v>
      </x:c>
      <x:c r="K325" s="19" t="str">
        <x:v>PRIORITY_RANK=21;ORIGINAL_ROW_CONFIDENCE_NOT_EXPOSED</x:v>
      </x:c>
      <x:c r="L325" s="19" t="str">
        <x:v>NOT_EXPOSED_IN_REPORT</x:v>
      </x:c>
      <x:c r="M325" s="19" t="str">
        <x:v>PRIORITY_RANK_21</x:v>
      </x:c>
      <x:c r="N325" s="31" t="str">
        <x:v>RECONSTRUCTED_FROM_REPORT</x:v>
      </x:c>
      <x:c r="O325" s="31" t="str">
        <x:v>UNRESOLVED</x:v>
      </x:c>
      <x:c r="P325" s="19" t="str">
        <x:v>Fear of Temperature_ Stratified Lexical Expansion, Voice Mapping, and Semantic-Relational Pre-Valida.pdf</x:v>
      </x:c>
      <x:c r="Q325" s="31" t="str">
        <x:v>RECONSTRUCTED_FROM_REPORT</x:v>
      </x:c>
      <x:c r="R325" s="46" t="str">
        <x:v>New surrogate project ID assigned from the compact report table; never an original later-stage structured candidate ID.</x:v>
      </x:c>
    </x:row>
    <x:row r="326" ht="32" customHeight="1">
      <x:c r="A326" s="18" t="str">
        <x:v>FT-SEED-R1B-P-2015-22</x:v>
      </x:c>
      <x:c r="B326" s="19" t="str">
        <x:v>PRIORITY_180</x:v>
      </x:c>
      <x:c r="C326" s="31" t="str">
        <x:v>NOT_EXPOSED_IN_REPORT</x:v>
      </x:c>
      <x:c r="D326" s="19" t="str">
        <x:v>11</x:v>
      </x:c>
      <x:c r="E326" s="19" t="str">
        <x:v>FT-A2015</x:v>
      </x:c>
      <x:c r="F326" s="31" t="str">
        <x:v>non-economic losses</x:v>
      </x:c>
      <x:c r="G326" s="19" t="str">
        <x:v>D</x:v>
      </x:c>
      <x:c r="H326" s="19" t="str">
        <x:v>V2</x:v>
      </x:c>
      <x:c r="I326" s="19" t="str">
        <x:v>S2015-PARIS</x:v>
      </x:c>
      <x:c r="J326" s="19" t="str">
        <x:v>NOT_EXPOSED_IN_REPORT</x:v>
      </x:c>
      <x:c r="K326" s="19" t="str">
        <x:v>PRIORITY_RANK=22;ORIGINAL_ROW_CONFIDENCE_NOT_EXPOSED</x:v>
      </x:c>
      <x:c r="L326" s="19" t="str">
        <x:v>NOT_EXPOSED_IN_REPORT</x:v>
      </x:c>
      <x:c r="M326" s="19" t="str">
        <x:v>PRIORITY_RANK_22</x:v>
      </x:c>
      <x:c r="N326" s="31" t="str">
        <x:v>RECONSTRUCTED_FROM_REPORT</x:v>
      </x:c>
      <x:c r="O326" s="31" t="str">
        <x:v>UNRESOLVED</x:v>
      </x:c>
      <x:c r="P326" s="19" t="str">
        <x:v>Fear of Temperature_ Stratified Lexical Expansion, Voice Mapping, and Semantic-Relational Pre-Valida.pdf</x:v>
      </x:c>
      <x:c r="Q326" s="31" t="str">
        <x:v>RECONSTRUCTED_FROM_REPORT</x:v>
      </x:c>
      <x:c r="R326" s="46" t="str">
        <x:v>New surrogate project ID assigned from the compact report table; never an original later-stage structured candidate ID.</x:v>
      </x:c>
    </x:row>
    <x:row r="327" ht="32" customHeight="1">
      <x:c r="A327" s="18" t="str">
        <x:v>FT-SEED-R1B-P-2015-23</x:v>
      </x:c>
      <x:c r="B327" s="19" t="str">
        <x:v>PRIORITY_180</x:v>
      </x:c>
      <x:c r="C327" s="31" t="str">
        <x:v>NOT_EXPOSED_IN_REPORT</x:v>
      </x:c>
      <x:c r="D327" s="19" t="str">
        <x:v>11</x:v>
      </x:c>
      <x:c r="E327" s="19" t="str">
        <x:v>FT-A2015</x:v>
      </x:c>
      <x:c r="F327" s="31" t="str">
        <x:v>common concern of humankind</x:v>
      </x:c>
      <x:c r="G327" s="19" t="str">
        <x:v>C</x:v>
      </x:c>
      <x:c r="H327" s="19" t="str">
        <x:v>V2</x:v>
      </x:c>
      <x:c r="I327" s="19" t="str">
        <x:v>S2015-PARIS</x:v>
      </x:c>
      <x:c r="J327" s="19" t="str">
        <x:v>E1</x:v>
      </x:c>
      <x:c r="K327" s="19" t="str">
        <x:v>PRIORITY_RANK=23;ORIGINAL_ROW_CONFIDENCE_NOT_EXPOSED</x:v>
      </x:c>
      <x:c r="L327" s="19" t="str">
        <x:v>NOT_EXPOSED_IN_REPORT</x:v>
      </x:c>
      <x:c r="M327" s="19" t="str">
        <x:v>PRIORITY_RANK_23</x:v>
      </x:c>
      <x:c r="N327" s="31" t="str">
        <x:v>RECONSTRUCTED_FROM_REPORT</x:v>
      </x:c>
      <x:c r="O327" s="31" t="str">
        <x:v>UNRESOLVED</x:v>
      </x:c>
      <x:c r="P327" s="19" t="str">
        <x:v>Fear of Temperature_ Stratified Lexical Expansion, Voice Mapping, and Semantic-Relational Pre-Valida.pdf</x:v>
      </x:c>
      <x:c r="Q327" s="31" t="str">
        <x:v>RECONSTRUCTED_FROM_REPORT</x:v>
      </x:c>
      <x:c r="R327" s="46" t="str">
        <x:v>New surrogate project ID assigned from the compact report table; never an original later-stage structured candidate ID.</x:v>
      </x:c>
    </x:row>
    <x:row r="328" ht="32" customHeight="1">
      <x:c r="A328" s="18" t="str">
        <x:v>FT-SEED-R1B-P-2015-24</x:v>
      </x:c>
      <x:c r="B328" s="19" t="str">
        <x:v>PRIORITY_180</x:v>
      </x:c>
      <x:c r="C328" s="31" t="str">
        <x:v>NOT_EXPOSED_IN_REPORT</x:v>
      </x:c>
      <x:c r="D328" s="19" t="str">
        <x:v>11</x:v>
      </x:c>
      <x:c r="E328" s="19" t="str">
        <x:v>FT-A2015</x:v>
      </x:c>
      <x:c r="F328" s="31" t="str">
        <x:v>climate justice</x:v>
      </x:c>
      <x:c r="G328" s="19" t="str">
        <x:v>D</x:v>
      </x:c>
      <x:c r="H328" s="19" t="str">
        <x:v>V2</x:v>
      </x:c>
      <x:c r="I328" s="19" t="str">
        <x:v>S2015-PARIS</x:v>
      </x:c>
      <x:c r="J328" s="19" t="str">
        <x:v>NOT_EXPOSED_IN_REPORT</x:v>
      </x:c>
      <x:c r="K328" s="19" t="str">
        <x:v>PRIORITY_RANK=24;ORIGINAL_ROW_CONFIDENCE_NOT_EXPOSED</x:v>
      </x:c>
      <x:c r="L328" s="19" t="str">
        <x:v>NOT_EXPOSED_IN_REPORT</x:v>
      </x:c>
      <x:c r="M328" s="19" t="str">
        <x:v>PRIORITY_RANK_24</x:v>
      </x:c>
      <x:c r="N328" s="31" t="str">
        <x:v>RECONSTRUCTED_FROM_REPORT</x:v>
      </x:c>
      <x:c r="O328" s="31" t="str">
        <x:v>UNRESOLVED</x:v>
      </x:c>
      <x:c r="P328" s="19" t="str">
        <x:v>Fear of Temperature_ Stratified Lexical Expansion, Voice Mapping, and Semantic-Relational Pre-Valida.pdf</x:v>
      </x:c>
      <x:c r="Q328" s="31" t="str">
        <x:v>RECONSTRUCTED_FROM_REPORT</x:v>
      </x:c>
      <x:c r="R328" s="46" t="str">
        <x:v>New surrogate project ID assigned from the compact report table; never an original later-stage structured candidate ID.</x:v>
      </x:c>
    </x:row>
    <x:row r="329" ht="32" customHeight="1">
      <x:c r="A329" s="18" t="str">
        <x:v>FT-SEED-R1B-P-2015-25</x:v>
      </x:c>
      <x:c r="B329" s="19" t="str">
        <x:v>PRIORITY_180</x:v>
      </x:c>
      <x:c r="C329" s="31" t="str">
        <x:v>NOT_EXPOSED_IN_REPORT</x:v>
      </x:c>
      <x:c r="D329" s="19" t="str">
        <x:v>11</x:v>
      </x:c>
      <x:c r="E329" s="19" t="str">
        <x:v>FT-A2015</x:v>
      </x:c>
      <x:c r="F329" s="31" t="str">
        <x:v>very worried</x:v>
      </x:c>
      <x:c r="G329" s="19" t="str">
        <x:v>C</x:v>
      </x:c>
      <x:c r="H329" s="19" t="str">
        <x:v>V5</x:v>
      </x:c>
      <x:c r="I329" s="19" t="str">
        <x:v>S2015-YALE</x:v>
      </x:c>
      <x:c r="J329" s="19" t="str">
        <x:v>NOT_EXPOSED_IN_REPORT</x:v>
      </x:c>
      <x:c r="K329" s="19" t="str">
        <x:v>PRIORITY_RANK=25;ORIGINAL_ROW_CONFIDENCE_NOT_EXPOSED</x:v>
      </x:c>
      <x:c r="L329" s="19" t="str">
        <x:v>NOT_EXPOSED_IN_REPORT</x:v>
      </x:c>
      <x:c r="M329" s="19" t="str">
        <x:v>PRIORITY_RANK_25</x:v>
      </x:c>
      <x:c r="N329" s="31" t="str">
        <x:v>RECONSTRUCTED_FROM_REPORT</x:v>
      </x:c>
      <x:c r="O329" s="31" t="str">
        <x:v>UNRESOLVED</x:v>
      </x:c>
      <x:c r="P329" s="19" t="str">
        <x:v>Fear of Temperature_ Stratified Lexical Expansion, Voice Mapping, and Semantic-Relational Pre-Valida.pdf</x:v>
      </x:c>
      <x:c r="Q329" s="31" t="str">
        <x:v>RECONSTRUCTED_FROM_REPORT</x:v>
      </x:c>
      <x:c r="R329" s="46" t="str">
        <x:v>New surrogate project ID assigned from the compact report table; never an original later-stage structured candidate ID.</x:v>
      </x:c>
    </x:row>
    <x:row r="330" ht="32" customHeight="1">
      <x:c r="A330" s="18" t="str">
        <x:v>FT-SEED-R1B-P-2015-26</x:v>
      </x:c>
      <x:c r="B330" s="19" t="str">
        <x:v>PRIORITY_180</x:v>
      </x:c>
      <x:c r="C330" s="31" t="str">
        <x:v>NOT_EXPOSED_IN_REPORT</x:v>
      </x:c>
      <x:c r="D330" s="19" t="str">
        <x:v>11</x:v>
      </x:c>
      <x:c r="E330" s="19" t="str">
        <x:v>FT-A2015</x:v>
      </x:c>
      <x:c r="F330" s="31" t="str">
        <x:v>somewhat worried</x:v>
      </x:c>
      <x:c r="G330" s="19" t="str">
        <x:v>C</x:v>
      </x:c>
      <x:c r="H330" s="19" t="str">
        <x:v>V5</x:v>
      </x:c>
      <x:c r="I330" s="19" t="str">
        <x:v>S2015-YALE</x:v>
      </x:c>
      <x:c r="J330" s="19" t="str">
        <x:v>NOT_EXPOSED_IN_REPORT</x:v>
      </x:c>
      <x:c r="K330" s="19" t="str">
        <x:v>PRIORITY_RANK=26;ORIGINAL_ROW_CONFIDENCE_NOT_EXPOSED</x:v>
      </x:c>
      <x:c r="L330" s="19" t="str">
        <x:v>NOT_EXPOSED_IN_REPORT</x:v>
      </x:c>
      <x:c r="M330" s="19" t="str">
        <x:v>PRIORITY_RANK_26</x:v>
      </x:c>
      <x:c r="N330" s="31" t="str">
        <x:v>RECONSTRUCTED_FROM_REPORT</x:v>
      </x:c>
      <x:c r="O330" s="31" t="str">
        <x:v>UNRESOLVED</x:v>
      </x:c>
      <x:c r="P330" s="19" t="str">
        <x:v>Fear of Temperature_ Stratified Lexical Expansion, Voice Mapping, and Semantic-Relational Pre-Valida.pdf</x:v>
      </x:c>
      <x:c r="Q330" s="31" t="str">
        <x:v>RECONSTRUCTED_FROM_REPORT</x:v>
      </x:c>
      <x:c r="R330" s="46" t="str">
        <x:v>New surrogate project ID assigned from the compact report table; never an original later-stage structured candidate ID.</x:v>
      </x:c>
    </x:row>
    <x:row r="331" ht="32" customHeight="1">
      <x:c r="A331" s="18" t="str">
        <x:v>FT-SEED-R1B-P-2015-27</x:v>
      </x:c>
      <x:c r="B331" s="19" t="str">
        <x:v>PRIORITY_180</x:v>
      </x:c>
      <x:c r="C331" s="31" t="str">
        <x:v>NOT_EXPOSED_IN_REPORT</x:v>
      </x:c>
      <x:c r="D331" s="19" t="str">
        <x:v>11</x:v>
      </x:c>
      <x:c r="E331" s="19" t="str">
        <x:v>FT-A2015</x:v>
      </x:c>
      <x:c r="F331" s="31" t="str">
        <x:v>very serious problem</x:v>
      </x:c>
      <x:c r="G331" s="19" t="str">
        <x:v>D</x:v>
      </x:c>
      <x:c r="H331" s="19" t="str">
        <x:v>V5</x:v>
      </x:c>
      <x:c r="I331" s="19" t="str">
        <x:v>S2015-PEW</x:v>
      </x:c>
      <x:c r="J331" s="19" t="str">
        <x:v>NOT_EXPOSED_IN_REPORT</x:v>
      </x:c>
      <x:c r="K331" s="19" t="str">
        <x:v>PRIORITY_RANK=27;ORIGINAL_ROW_CONFIDENCE_NOT_EXPOSED</x:v>
      </x:c>
      <x:c r="L331" s="19" t="str">
        <x:v>NOT_EXPOSED_IN_REPORT</x:v>
      </x:c>
      <x:c r="M331" s="19" t="str">
        <x:v>PRIORITY_RANK_27</x:v>
      </x:c>
      <x:c r="N331" s="31" t="str">
        <x:v>RECONSTRUCTED_FROM_REPORT</x:v>
      </x:c>
      <x:c r="O331" s="31" t="str">
        <x:v>UNRESOLVED</x:v>
      </x:c>
      <x:c r="P331" s="19" t="str">
        <x:v>Fear of Temperature_ Stratified Lexical Expansion, Voice Mapping, and Semantic-Relational Pre-Valida.pdf</x:v>
      </x:c>
      <x:c r="Q331" s="31" t="str">
        <x:v>RECONSTRUCTED_FROM_REPORT</x:v>
      </x:c>
      <x:c r="R331" s="46" t="str">
        <x:v>New surrogate project ID assigned from the compact report table; never an original later-stage structured candidate ID.</x:v>
      </x:c>
    </x:row>
    <x:row r="332" ht="32" customHeight="1">
      <x:c r="A332" s="18" t="str">
        <x:v>FT-SEED-R1B-P-2015-28</x:v>
      </x:c>
      <x:c r="B332" s="19" t="str">
        <x:v>PRIORITY_180</x:v>
      </x:c>
      <x:c r="C332" s="31" t="str">
        <x:v>NOT_EXPOSED_IN_REPORT</x:v>
      </x:c>
      <x:c r="D332" s="19" t="str">
        <x:v>11</x:v>
      </x:c>
      <x:c r="E332" s="19" t="str">
        <x:v>FT-A2015</x:v>
      </x:c>
      <x:c r="F332" s="31" t="str">
        <x:v>harm them personally</x:v>
      </x:c>
      <x:c r="G332" s="19" t="str">
        <x:v>D</x:v>
      </x:c>
      <x:c r="H332" s="19" t="str">
        <x:v>V5</x:v>
      </x:c>
      <x:c r="I332" s="19" t="str">
        <x:v>S2015-PEW</x:v>
      </x:c>
      <x:c r="J332" s="19" t="str">
        <x:v>NOT_EXPOSED_IN_REPORT</x:v>
      </x:c>
      <x:c r="K332" s="19" t="str">
        <x:v>PRIORITY_RANK=28;ORIGINAL_ROW_CONFIDENCE_NOT_EXPOSED</x:v>
      </x:c>
      <x:c r="L332" s="19" t="str">
        <x:v>NOT_EXPOSED_IN_REPORT</x:v>
      </x:c>
      <x:c r="M332" s="19" t="str">
        <x:v>PRIORITY_RANK_28</x:v>
      </x:c>
      <x:c r="N332" s="31" t="str">
        <x:v>RECONSTRUCTED_FROM_REPORT</x:v>
      </x:c>
      <x:c r="O332" s="31" t="str">
        <x:v>UNRESOLVED</x:v>
      </x:c>
      <x:c r="P332" s="19" t="str">
        <x:v>Fear of Temperature_ Stratified Lexical Expansion, Voice Mapping, and Semantic-Relational Pre-Valida.pdf</x:v>
      </x:c>
      <x:c r="Q332" s="31" t="str">
        <x:v>RECONSTRUCTED_FROM_REPORT</x:v>
      </x:c>
      <x:c r="R332" s="46" t="str">
        <x:v>New surrogate project ID assigned from the compact report table; never an original later-stage structured candidate ID.</x:v>
      </x:c>
    </x:row>
    <x:row r="333" ht="32" customHeight="1">
      <x:c r="A333" s="18" t="str">
        <x:v>FT-SEED-R1B-P-2015-29</x:v>
      </x:c>
      <x:c r="B333" s="19" t="str">
        <x:v>PRIORITY_180</x:v>
      </x:c>
      <x:c r="C333" s="31" t="str">
        <x:v>NOT_EXPOSED_IN_REPORT</x:v>
      </x:c>
      <x:c r="D333" s="19" t="str">
        <x:v>11</x:v>
      </x:c>
      <x:c r="E333" s="19" t="str">
        <x:v>FT-A2015</x:v>
      </x:c>
      <x:c r="F333" s="31" t="str">
        <x:v>drought or water shortages</x:v>
      </x:c>
      <x:c r="G333" s="19" t="str">
        <x:v>D</x:v>
      </x:c>
      <x:c r="H333" s="19" t="str">
        <x:v>V5</x:v>
      </x:c>
      <x:c r="I333" s="19" t="str">
        <x:v>S2015-PEW</x:v>
      </x:c>
      <x:c r="J333" s="19" t="str">
        <x:v>NOT_EXPOSED_IN_REPORT</x:v>
      </x:c>
      <x:c r="K333" s="19" t="str">
        <x:v>PRIORITY_RANK=29;ORIGINAL_ROW_CONFIDENCE_NOT_EXPOSED</x:v>
      </x:c>
      <x:c r="L333" s="19" t="str">
        <x:v>NOT_EXPOSED_IN_REPORT</x:v>
      </x:c>
      <x:c r="M333" s="19" t="str">
        <x:v>PRIORITY_RANK_29</x:v>
      </x:c>
      <x:c r="N333" s="31" t="str">
        <x:v>RECONSTRUCTED_FROM_REPORT</x:v>
      </x:c>
      <x:c r="O333" s="31" t="str">
        <x:v>UNRESOLVED</x:v>
      </x:c>
      <x:c r="P333" s="19" t="str">
        <x:v>Fear of Temperature_ Stratified Lexical Expansion, Voice Mapping, and Semantic-Relational Pre-Valida.pdf</x:v>
      </x:c>
      <x:c r="Q333" s="31" t="str">
        <x:v>RECONSTRUCTED_FROM_REPORT</x:v>
      </x:c>
      <x:c r="R333" s="46" t="str">
        <x:v>New surrogate project ID assigned from the compact report table; never an original later-stage structured candidate ID.</x:v>
      </x:c>
    </x:row>
    <x:row r="334" ht="32" customHeight="1">
      <x:c r="A334" s="18" t="str">
        <x:v>FT-SEED-R1B-P-2015-30</x:v>
      </x:c>
      <x:c r="B334" s="19" t="str">
        <x:v>PRIORITY_180</x:v>
      </x:c>
      <x:c r="C334" s="31" t="str">
        <x:v>NOT_EXPOSED_IN_REPORT</x:v>
      </x:c>
      <x:c r="D334" s="19" t="str">
        <x:v>11</x:v>
      </x:c>
      <x:c r="E334" s="19" t="str">
        <x:v>FT-A2015</x:v>
      </x:c>
      <x:c r="F334" s="31" t="str">
        <x:v>We are nature defending itself</x:v>
      </x:c>
      <x:c r="G334" s="19" t="str">
        <x:v>C</x:v>
      </x:c>
      <x:c r="H334" s="19" t="str">
        <x:v>V4</x:v>
      </x:c>
      <x:c r="I334" s="19" t="str">
        <x:v>S2015-COPPROTEST</x:v>
      </x:c>
      <x:c r="J334" s="19" t="str">
        <x:v>NOT_EXPOSED_IN_REPORT</x:v>
      </x:c>
      <x:c r="K334" s="19" t="str">
        <x:v>PRIORITY_RANK=30;ORIGINAL_ROW_CONFIDENCE_NOT_EXPOSED</x:v>
      </x:c>
      <x:c r="L334" s="19" t="str">
        <x:v>NOT_EXPOSED_IN_REPORT</x:v>
      </x:c>
      <x:c r="M334" s="19" t="str">
        <x:v>PRIORITY_RANK_30</x:v>
      </x:c>
      <x:c r="N334" s="31" t="str">
        <x:v>RECONSTRUCTED_FROM_REPORT</x:v>
      </x:c>
      <x:c r="O334" s="31" t="str">
        <x:v>UNRESOLVED</x:v>
      </x:c>
      <x:c r="P334" s="19" t="str">
        <x:v>Fear of Temperature_ Stratified Lexical Expansion, Voice Mapping, and Semantic-Relational Pre-Valida.pdf</x:v>
      </x:c>
      <x:c r="Q334" s="31" t="str">
        <x:v>RECONSTRUCTED_FROM_REPORT</x:v>
      </x:c>
      <x:c r="R334" s="46" t="str">
        <x:v>New surrogate project ID assigned from the compact report table; never an original later-stage structured candidate ID.</x:v>
      </x:c>
    </x:row>
    <x:row r="335" ht="32" customHeight="1">
      <x:c r="A335" s="18" t="str">
        <x:v>FT-SEED-R1B-P-2022-01</x:v>
      </x:c>
      <x:c r="B335" s="19" t="str">
        <x:v>PRIORITY_180</x:v>
      </x:c>
      <x:c r="C335" s="31" t="str">
        <x:v>NOT_EXPOSED_IN_REPORT</x:v>
      </x:c>
      <x:c r="D335" s="19" t="str">
        <x:v>12</x:v>
      </x:c>
      <x:c r="E335" s="19" t="str">
        <x:v>FT-A2022</x:v>
      </x:c>
      <x:c r="F335" s="31" t="str">
        <x:v>climate change</x:v>
      </x:c>
      <x:c r="G335" s="19" t="str">
        <x:v>B</x:v>
      </x:c>
      <x:c r="H335" s="19" t="str">
        <x:v>V5</x:v>
      </x:c>
      <x:c r="I335" s="19" t="str">
        <x:v>S2022-YALE-INT</x:v>
      </x:c>
      <x:c r="J335" s="19" t="str">
        <x:v>NOT_EXPOSED_IN_REPORT</x:v>
      </x:c>
      <x:c r="K335" s="19" t="str">
        <x:v>PRIORITY_RANK=1;ORIGINAL_ROW_CONFIDENCE_NOT_EXPOSED</x:v>
      </x:c>
      <x:c r="L335" s="19" t="str">
        <x:v>NOT_EXPOSED_IN_REPORT</x:v>
      </x:c>
      <x:c r="M335" s="19" t="str">
        <x:v>PRIORITY_RANK_01</x:v>
      </x:c>
      <x:c r="N335" s="31" t="str">
        <x:v>RECONSTRUCTED_FROM_REPORT</x:v>
      </x:c>
      <x:c r="O335" s="31" t="str">
        <x:v>UNRESOLVED</x:v>
      </x:c>
      <x:c r="P335" s="19" t="str">
        <x:v>Fear of Temperature_ Stratified Lexical Expansion, Voice Mapping, and Semantic-Relational Pre-Valida.pdf</x:v>
      </x:c>
      <x:c r="Q335" s="31" t="str">
        <x:v>RECONSTRUCTED_FROM_REPORT</x:v>
      </x:c>
      <x:c r="R335" s="46" t="str">
        <x:v>New surrogate project ID assigned from the compact report table; never an original later-stage structured candidate ID.</x:v>
      </x:c>
    </x:row>
    <x:row r="336" ht="32" customHeight="1">
      <x:c r="A336" s="18" t="str">
        <x:v>FT-SEED-R1B-P-2022-02</x:v>
      </x:c>
      <x:c r="B336" s="19" t="str">
        <x:v>PRIORITY_180</x:v>
      </x:c>
      <x:c r="C336" s="31" t="str">
        <x:v>NOT_EXPOSED_IN_REPORT</x:v>
      </x:c>
      <x:c r="D336" s="19" t="str">
        <x:v>12</x:v>
      </x:c>
      <x:c r="E336" s="19" t="str">
        <x:v>FT-A2022</x:v>
      </x:c>
      <x:c r="F336" s="31" t="str">
        <x:v>global warming</x:v>
      </x:c>
      <x:c r="G336" s="19" t="str">
        <x:v>A</x:v>
      </x:c>
      <x:c r="H336" s="19" t="str">
        <x:v>V5</x:v>
      </x:c>
      <x:c r="I336" s="19" t="str">
        <x:v>S2022-YALE-US</x:v>
      </x:c>
      <x:c r="J336" s="19" t="str">
        <x:v>NOT_EXPOSED_IN_REPORT</x:v>
      </x:c>
      <x:c r="K336" s="19" t="str">
        <x:v>PRIORITY_RANK=2;ORIGINAL_ROW_CONFIDENCE_NOT_EXPOSED</x:v>
      </x:c>
      <x:c r="L336" s="19" t="str">
        <x:v>NOT_EXPOSED_IN_REPORT</x:v>
      </x:c>
      <x:c r="M336" s="19" t="str">
        <x:v>PRIORITY_RANK_02</x:v>
      </x:c>
      <x:c r="N336" s="31" t="str">
        <x:v>RECONSTRUCTED_FROM_REPORT</x:v>
      </x:c>
      <x:c r="O336" s="31" t="str">
        <x:v>UNRESOLVED</x:v>
      </x:c>
      <x:c r="P336" s="19" t="str">
        <x:v>Fear of Temperature_ Stratified Lexical Expansion, Voice Mapping, and Semantic-Relational Pre-Valida.pdf</x:v>
      </x:c>
      <x:c r="Q336" s="31" t="str">
        <x:v>RECONSTRUCTED_FROM_REPORT</x:v>
      </x:c>
      <x:c r="R336" s="46" t="str">
        <x:v>New surrogate project ID assigned from the compact report table; never an original later-stage structured candidate ID.</x:v>
      </x:c>
    </x:row>
    <x:row r="337" ht="32" customHeight="1">
      <x:c r="A337" s="18" t="str">
        <x:v>FT-SEED-R1B-P-2022-03</x:v>
      </x:c>
      <x:c r="B337" s="19" t="str">
        <x:v>PRIORITY_180</x:v>
      </x:c>
      <x:c r="C337" s="31" t="str">
        <x:v>NOT_EXPOSED_IN_REPORT</x:v>
      </x:c>
      <x:c r="D337" s="19" t="str">
        <x:v>12</x:v>
      </x:c>
      <x:c r="E337" s="19" t="str">
        <x:v>FT-A2022</x:v>
      </x:c>
      <x:c r="F337" s="31" t="str">
        <x:v>very worried</x:v>
      </x:c>
      <x:c r="G337" s="19" t="str">
        <x:v>C</x:v>
      </x:c>
      <x:c r="H337" s="19" t="str">
        <x:v>V5</x:v>
      </x:c>
      <x:c r="I337" s="19" t="str">
        <x:v>S2022-YALE-INT</x:v>
      </x:c>
      <x:c r="J337" s="19" t="str">
        <x:v>E3</x:v>
      </x:c>
      <x:c r="K337" s="19" t="str">
        <x:v>PRIORITY_RANK=3;ORIGINAL_ROW_CONFIDENCE_NOT_EXPOSED</x:v>
      </x:c>
      <x:c r="L337" s="19" t="str">
        <x:v>NOT_EXPOSED_IN_REPORT</x:v>
      </x:c>
      <x:c r="M337" s="19" t="str">
        <x:v>PRIORITY_RANK_03</x:v>
      </x:c>
      <x:c r="N337" s="31" t="str">
        <x:v>RECONSTRUCTED_FROM_REPORT</x:v>
      </x:c>
      <x:c r="O337" s="31" t="str">
        <x:v>UNRESOLVED</x:v>
      </x:c>
      <x:c r="P337" s="19" t="str">
        <x:v>Fear of Temperature_ Stratified Lexical Expansion, Voice Mapping, and Semantic-Relational Pre-Valida.pdf</x:v>
      </x:c>
      <x:c r="Q337" s="31" t="str">
        <x:v>RECONSTRUCTED_FROM_REPORT</x:v>
      </x:c>
      <x:c r="R337" s="46" t="str">
        <x:v>New surrogate project ID assigned from the compact report table; never an original later-stage structured candidate ID.</x:v>
      </x:c>
    </x:row>
    <x:row r="338" ht="32" customHeight="1">
      <x:c r="A338" s="18" t="str">
        <x:v>FT-SEED-R1B-P-2022-04</x:v>
      </x:c>
      <x:c r="B338" s="19" t="str">
        <x:v>PRIORITY_180</x:v>
      </x:c>
      <x:c r="C338" s="31" t="str">
        <x:v>NOT_EXPOSED_IN_REPORT</x:v>
      </x:c>
      <x:c r="D338" s="19" t="str">
        <x:v>12</x:v>
      </x:c>
      <x:c r="E338" s="19" t="str">
        <x:v>FT-A2022</x:v>
      </x:c>
      <x:c r="F338" s="31" t="str">
        <x:v>somewhat worried</x:v>
      </x:c>
      <x:c r="G338" s="19" t="str">
        <x:v>C</x:v>
      </x:c>
      <x:c r="H338" s="19" t="str">
        <x:v>V5</x:v>
      </x:c>
      <x:c r="I338" s="19" t="str">
        <x:v>S2022-YALE-INT</x:v>
      </x:c>
      <x:c r="J338" s="19" t="str">
        <x:v>NOT_EXPOSED_IN_REPORT</x:v>
      </x:c>
      <x:c r="K338" s="19" t="str">
        <x:v>PRIORITY_RANK=4;ORIGINAL_ROW_CONFIDENCE_NOT_EXPOSED</x:v>
      </x:c>
      <x:c r="L338" s="19" t="str">
        <x:v>NOT_EXPOSED_IN_REPORT</x:v>
      </x:c>
      <x:c r="M338" s="19" t="str">
        <x:v>PRIORITY_RANK_04</x:v>
      </x:c>
      <x:c r="N338" s="31" t="str">
        <x:v>RECONSTRUCTED_FROM_REPORT</x:v>
      </x:c>
      <x:c r="O338" s="31" t="str">
        <x:v>UNRESOLVED</x:v>
      </x:c>
      <x:c r="P338" s="19" t="str">
        <x:v>Fear of Temperature_ Stratified Lexical Expansion, Voice Mapping, and Semantic-Relational Pre-Valida.pdf</x:v>
      </x:c>
      <x:c r="Q338" s="31" t="str">
        <x:v>RECONSTRUCTED_FROM_REPORT</x:v>
      </x:c>
      <x:c r="R338" s="46" t="str">
        <x:v>New surrogate project ID assigned from the compact report table; never an original later-stage structured candidate ID.</x:v>
      </x:c>
    </x:row>
    <x:row r="339" ht="32" customHeight="1">
      <x:c r="A339" s="18" t="str">
        <x:v>FT-SEED-R1B-P-2022-05</x:v>
      </x:c>
      <x:c r="B339" s="19" t="str">
        <x:v>PRIORITY_180</x:v>
      </x:c>
      <x:c r="C339" s="31" t="str">
        <x:v>NOT_EXPOSED_IN_REPORT</x:v>
      </x:c>
      <x:c r="D339" s="19" t="str">
        <x:v>12</x:v>
      </x:c>
      <x:c r="E339" s="19" t="str">
        <x:v>FT-A2022</x:v>
      </x:c>
      <x:c r="F339" s="31" t="str">
        <x:v>afraid</x:v>
      </x:c>
      <x:c r="G339" s="19" t="str">
        <x:v>C</x:v>
      </x:c>
      <x:c r="H339" s="19" t="str">
        <x:v>V5</x:v>
      </x:c>
      <x:c r="I339" s="19" t="str">
        <x:v>S2022-YALE-US</x:v>
      </x:c>
      <x:c r="J339" s="19" t="str">
        <x:v>NOT_EXPOSED_IN_REPORT</x:v>
      </x:c>
      <x:c r="K339" s="19" t="str">
        <x:v>PRIORITY_RANK=5;ORIGINAL_ROW_CONFIDENCE_NOT_EXPOSED</x:v>
      </x:c>
      <x:c r="L339" s="19" t="str">
        <x:v>NOT_EXPOSED_IN_REPORT</x:v>
      </x:c>
      <x:c r="M339" s="19" t="str">
        <x:v>PRIORITY_RANK_05</x:v>
      </x:c>
      <x:c r="N339" s="31" t="str">
        <x:v>RECONSTRUCTED_FROM_REPORT</x:v>
      </x:c>
      <x:c r="O339" s="31" t="str">
        <x:v>UNRESOLVED</x:v>
      </x:c>
      <x:c r="P339" s="19" t="str">
        <x:v>Fear of Temperature_ Stratified Lexical Expansion, Voice Mapping, and Semantic-Relational Pre-Valida.pdf</x:v>
      </x:c>
      <x:c r="Q339" s="31" t="str">
        <x:v>RECONSTRUCTED_FROM_REPORT</x:v>
      </x:c>
      <x:c r="R339" s="46" t="str">
        <x:v>New surrogate project ID assigned from the compact report table; never an original later-stage structured candidate ID.</x:v>
      </x:c>
    </x:row>
    <x:row r="340" ht="32" customHeight="1">
      <x:c r="A340" s="18" t="str">
        <x:v>FT-SEED-R1B-P-2022-06</x:v>
      </x:c>
      <x:c r="B340" s="19" t="str">
        <x:v>PRIORITY_180</x:v>
      </x:c>
      <x:c r="C340" s="31" t="str">
        <x:v>NOT_EXPOSED_IN_REPORT</x:v>
      </x:c>
      <x:c r="D340" s="19" t="str">
        <x:v>12</x:v>
      </x:c>
      <x:c r="E340" s="19" t="str">
        <x:v>FT-A2022</x:v>
      </x:c>
      <x:c r="F340" s="31" t="str">
        <x:v>anxious</x:v>
      </x:c>
      <x:c r="G340" s="19" t="str">
        <x:v>C</x:v>
      </x:c>
      <x:c r="H340" s="19" t="str">
        <x:v>V5</x:v>
      </x:c>
      <x:c r="I340" s="19" t="str">
        <x:v>S2022-YALE-US</x:v>
      </x:c>
      <x:c r="J340" s="19" t="str">
        <x:v>NOT_EXPOSED_IN_REPORT</x:v>
      </x:c>
      <x:c r="K340" s="19" t="str">
        <x:v>PRIORITY_RANK=6;ORIGINAL_ROW_CONFIDENCE_NOT_EXPOSED</x:v>
      </x:c>
      <x:c r="L340" s="19" t="str">
        <x:v>NOT_EXPOSED_IN_REPORT</x:v>
      </x:c>
      <x:c r="M340" s="19" t="str">
        <x:v>PRIORITY_RANK_06</x:v>
      </x:c>
      <x:c r="N340" s="31" t="str">
        <x:v>RECONSTRUCTED_FROM_REPORT</x:v>
      </x:c>
      <x:c r="O340" s="31" t="str">
        <x:v>UNRESOLVED</x:v>
      </x:c>
      <x:c r="P340" s="19" t="str">
        <x:v>Fear of Temperature_ Stratified Lexical Expansion, Voice Mapping, and Semantic-Relational Pre-Valida.pdf</x:v>
      </x:c>
      <x:c r="Q340" s="31" t="str">
        <x:v>RECONSTRUCTED_FROM_REPORT</x:v>
      </x:c>
      <x:c r="R340" s="46" t="str">
        <x:v>New surrogate project ID assigned from the compact report table; never an original later-stage structured candidate ID.</x:v>
      </x:c>
    </x:row>
    <x:row r="341" ht="32" customHeight="1">
      <x:c r="A341" s="18" t="str">
        <x:v>FT-SEED-R1B-P-2022-07</x:v>
      </x:c>
      <x:c r="B341" s="19" t="str">
        <x:v>PRIORITY_180</x:v>
      </x:c>
      <x:c r="C341" s="31" t="str">
        <x:v>NOT_EXPOSED_IN_REPORT</x:v>
      </x:c>
      <x:c r="D341" s="19" t="str">
        <x:v>12</x:v>
      </x:c>
      <x:c r="E341" s="19" t="str">
        <x:v>FT-A2022</x:v>
      </x:c>
      <x:c r="F341" s="31" t="str">
        <x:v>hopeless</x:v>
      </x:c>
      <x:c r="G341" s="19" t="str">
        <x:v>C</x:v>
      </x:c>
      <x:c r="H341" s="19" t="str">
        <x:v>V5</x:v>
      </x:c>
      <x:c r="I341" s="19" t="str">
        <x:v>S2022-YALE-US</x:v>
      </x:c>
      <x:c r="J341" s="19" t="str">
        <x:v>NOT_EXPOSED_IN_REPORT</x:v>
      </x:c>
      <x:c r="K341" s="19" t="str">
        <x:v>PRIORITY_RANK=7;ORIGINAL_ROW_CONFIDENCE_NOT_EXPOSED</x:v>
      </x:c>
      <x:c r="L341" s="19" t="str">
        <x:v>NOT_EXPOSED_IN_REPORT</x:v>
      </x:c>
      <x:c r="M341" s="19" t="str">
        <x:v>PRIORITY_RANK_07</x:v>
      </x:c>
      <x:c r="N341" s="31" t="str">
        <x:v>RECONSTRUCTED_FROM_REPORT</x:v>
      </x:c>
      <x:c r="O341" s="31" t="str">
        <x:v>UNRESOLVED</x:v>
      </x:c>
      <x:c r="P341" s="19" t="str">
        <x:v>Fear of Temperature_ Stratified Lexical Expansion, Voice Mapping, and Semantic-Relational Pre-Valida.pdf</x:v>
      </x:c>
      <x:c r="Q341" s="31" t="str">
        <x:v>RECONSTRUCTED_FROM_REPORT</x:v>
      </x:c>
      <x:c r="R341" s="46" t="str">
        <x:v>New surrogate project ID assigned from the compact report table; never an original later-stage structured candidate ID.</x:v>
      </x:c>
    </x:row>
    <x:row r="342" ht="32" customHeight="1">
      <x:c r="A342" s="18" t="str">
        <x:v>FT-SEED-R1B-P-2022-08</x:v>
      </x:c>
      <x:c r="B342" s="19" t="str">
        <x:v>PRIORITY_180</x:v>
      </x:c>
      <x:c r="C342" s="31" t="str">
        <x:v>NOT_EXPOSED_IN_REPORT</x:v>
      </x:c>
      <x:c r="D342" s="19" t="str">
        <x:v>12</x:v>
      </x:c>
      <x:c r="E342" s="19" t="str">
        <x:v>FT-A2022</x:v>
      </x:c>
      <x:c r="F342" s="31" t="str">
        <x:v>sad</x:v>
      </x:c>
      <x:c r="G342" s="19" t="str">
        <x:v>C</x:v>
      </x:c>
      <x:c r="H342" s="19" t="str">
        <x:v>V5</x:v>
      </x:c>
      <x:c r="I342" s="19" t="str">
        <x:v>S2022-YALE-US</x:v>
      </x:c>
      <x:c r="J342" s="19" t="str">
        <x:v>NOT_EXPOSED_IN_REPORT</x:v>
      </x:c>
      <x:c r="K342" s="19" t="str">
        <x:v>PRIORITY_RANK=8;ORIGINAL_ROW_CONFIDENCE_NOT_EXPOSED</x:v>
      </x:c>
      <x:c r="L342" s="19" t="str">
        <x:v>NOT_EXPOSED_IN_REPORT</x:v>
      </x:c>
      <x:c r="M342" s="19" t="str">
        <x:v>PRIORITY_RANK_08</x:v>
      </x:c>
      <x:c r="N342" s="31" t="str">
        <x:v>RECONSTRUCTED_FROM_REPORT</x:v>
      </x:c>
      <x:c r="O342" s="31" t="str">
        <x:v>UNRESOLVED</x:v>
      </x:c>
      <x:c r="P342" s="19" t="str">
        <x:v>Fear of Temperature_ Stratified Lexical Expansion, Voice Mapping, and Semantic-Relational Pre-Valida.pdf</x:v>
      </x:c>
      <x:c r="Q342" s="31" t="str">
        <x:v>RECONSTRUCTED_FROM_REPORT</x:v>
      </x:c>
      <x:c r="R342" s="46" t="str">
        <x:v>New surrogate project ID assigned from the compact report table; never an original later-stage structured candidate ID.</x:v>
      </x:c>
    </x:row>
    <x:row r="343" ht="32" customHeight="1">
      <x:c r="A343" s="18" t="str">
        <x:v>FT-SEED-R1B-P-2022-11</x:v>
      </x:c>
      <x:c r="B343" s="19" t="str">
        <x:v>PRIORITY_180</x:v>
      </x:c>
      <x:c r="C343" s="31" t="str">
        <x:v>NOT_EXPOSED_IN_REPORT</x:v>
      </x:c>
      <x:c r="D343" s="19" t="str">
        <x:v>12</x:v>
      </x:c>
      <x:c r="E343" s="19" t="str">
        <x:v>FT-A2022</x:v>
      </x:c>
      <x:c r="F343" s="31" t="str">
        <x:v>hopeful</x:v>
      </x:c>
      <x:c r="G343" s="19" t="str">
        <x:v>C</x:v>
      </x:c>
      <x:c r="H343" s="19" t="str">
        <x:v>V5</x:v>
      </x:c>
      <x:c r="I343" s="19" t="str">
        <x:v>S2022-YALE-US</x:v>
      </x:c>
      <x:c r="J343" s="19" t="str">
        <x:v>NOT_EXPOSED_IN_REPORT</x:v>
      </x:c>
      <x:c r="K343" s="19" t="str">
        <x:v>PRIORITY_RANK=11;ORIGINAL_ROW_CONFIDENCE_NOT_EXPOSED</x:v>
      </x:c>
      <x:c r="L343" s="19" t="str">
        <x:v>NOT_EXPOSED_IN_REPORT</x:v>
      </x:c>
      <x:c r="M343" s="19" t="str">
        <x:v>PRIORITY_RANK_11</x:v>
      </x:c>
      <x:c r="N343" s="31" t="str">
        <x:v>RECONSTRUCTED_FROM_REPORT</x:v>
      </x:c>
      <x:c r="O343" s="31" t="str">
        <x:v>UNRESOLVED</x:v>
      </x:c>
      <x:c r="P343" s="19" t="str">
        <x:v>Fear of Temperature_ Stratified Lexical Expansion, Voice Mapping, and Semantic-Relational Pre-Valida.pdf</x:v>
      </x:c>
      <x:c r="Q343" s="31" t="str">
        <x:v>RECONSTRUCTED_FROM_REPORT</x:v>
      </x:c>
      <x:c r="R343" s="46" t="str">
        <x:v>New surrogate project ID assigned from the compact report table; never an original later-stage structured candidate ID.</x:v>
      </x:c>
    </x:row>
    <x:row r="344" ht="32" customHeight="1">
      <x:c r="A344" s="18" t="str">
        <x:v>FT-SEED-R1B-P-2022-12</x:v>
      </x:c>
      <x:c r="B344" s="19" t="str">
        <x:v>PRIORITY_180</x:v>
      </x:c>
      <x:c r="C344" s="31" t="str">
        <x:v>NOT_EXPOSED_IN_REPORT</x:v>
      </x:c>
      <x:c r="D344" s="19" t="str">
        <x:v>12</x:v>
      </x:c>
      <x:c r="E344" s="19" t="str">
        <x:v>FT-A2022</x:v>
      </x:c>
      <x:c r="F344" s="31" t="str">
        <x:v>disgusted</x:v>
      </x:c>
      <x:c r="G344" s="19" t="str">
        <x:v>C</x:v>
      </x:c>
      <x:c r="H344" s="19" t="str">
        <x:v>V5</x:v>
      </x:c>
      <x:c r="I344" s="19" t="str">
        <x:v>S2022-YALE-US</x:v>
      </x:c>
      <x:c r="J344" s="19" t="str">
        <x:v>NOT_EXPOSED_IN_REPORT</x:v>
      </x:c>
      <x:c r="K344" s="19" t="str">
        <x:v>PRIORITY_RANK=12;ORIGINAL_ROW_CONFIDENCE_NOT_EXPOSED</x:v>
      </x:c>
      <x:c r="L344" s="19" t="str">
        <x:v>NOT_EXPOSED_IN_REPORT</x:v>
      </x:c>
      <x:c r="M344" s="19" t="str">
        <x:v>PRIORITY_RANK_12</x:v>
      </x:c>
      <x:c r="N344" s="31" t="str">
        <x:v>RECONSTRUCTED_FROM_REPORT</x:v>
      </x:c>
      <x:c r="O344" s="31" t="str">
        <x:v>UNRESOLVED</x:v>
      </x:c>
      <x:c r="P344" s="19" t="str">
        <x:v>Fear of Temperature_ Stratified Lexical Expansion, Voice Mapping, and Semantic-Relational Pre-Valida.pdf</x:v>
      </x:c>
      <x:c r="Q344" s="31" t="str">
        <x:v>RECONSTRUCTED_FROM_REPORT</x:v>
      </x:c>
      <x:c r="R344" s="46" t="str">
        <x:v>New surrogate project ID assigned from the compact report table; never an original later-stage structured candidate ID.</x:v>
      </x:c>
    </x:row>
    <x:row r="345" ht="32" customHeight="1">
      <x:c r="A345" s="18" t="str">
        <x:v>FT-SEED-R1B-P-2022-13</x:v>
      </x:c>
      <x:c r="B345" s="19" t="str">
        <x:v>PRIORITY_180</x:v>
      </x:c>
      <x:c r="C345" s="31" t="str">
        <x:v>NOT_EXPOSED_IN_REPORT</x:v>
      </x:c>
      <x:c r="D345" s="19" t="str">
        <x:v>12</x:v>
      </x:c>
      <x:c r="E345" s="19" t="str">
        <x:v>FT-A2022</x:v>
      </x:c>
      <x:c r="F345" s="31" t="str">
        <x:v>outraged</x:v>
      </x:c>
      <x:c r="G345" s="19" t="str">
        <x:v>C</x:v>
      </x:c>
      <x:c r="H345" s="19" t="str">
        <x:v>V5</x:v>
      </x:c>
      <x:c r="I345" s="19" t="str">
        <x:v>S2022-YALE-US</x:v>
      </x:c>
      <x:c r="J345" s="19" t="str">
        <x:v>NOT_EXPOSED_IN_REPORT</x:v>
      </x:c>
      <x:c r="K345" s="19" t="str">
        <x:v>PRIORITY_RANK=13;ORIGINAL_ROW_CONFIDENCE_NOT_EXPOSED</x:v>
      </x:c>
      <x:c r="L345" s="19" t="str">
        <x:v>NOT_EXPOSED_IN_REPORT</x:v>
      </x:c>
      <x:c r="M345" s="19" t="str">
        <x:v>PRIORITY_RANK_13</x:v>
      </x:c>
      <x:c r="N345" s="31" t="str">
        <x:v>RECONSTRUCTED_FROM_REPORT</x:v>
      </x:c>
      <x:c r="O345" s="31" t="str">
        <x:v>UNRESOLVED</x:v>
      </x:c>
      <x:c r="P345" s="19" t="str">
        <x:v>Fear of Temperature_ Stratified Lexical Expansion, Voice Mapping, and Semantic-Relational Pre-Valida.pdf</x:v>
      </x:c>
      <x:c r="Q345" s="31" t="str">
        <x:v>RECONSTRUCTED_FROM_REPORT</x:v>
      </x:c>
      <x:c r="R345" s="46" t="str">
        <x:v>New surrogate project ID assigned from the compact report table; never an original later-stage structured candidate ID.</x:v>
      </x:c>
    </x:row>
    <x:row r="346" ht="32" customHeight="1">
      <x:c r="A346" s="18" t="str">
        <x:v>FT-SEED-R1B-P-2022-14</x:v>
      </x:c>
      <x:c r="B346" s="19" t="str">
        <x:v>PRIORITY_180</x:v>
      </x:c>
      <x:c r="C346" s="31" t="str">
        <x:v>NOT_EXPOSED_IN_REPORT</x:v>
      </x:c>
      <x:c r="D346" s="19" t="str">
        <x:v>12</x:v>
      </x:c>
      <x:c r="E346" s="19" t="str">
        <x:v>FT-A2022</x:v>
      </x:c>
      <x:c r="F346" s="31" t="str">
        <x:v>depressed</x:v>
      </x:c>
      <x:c r="G346" s="19" t="str">
        <x:v>C</x:v>
      </x:c>
      <x:c r="H346" s="19" t="str">
        <x:v>V5</x:v>
      </x:c>
      <x:c r="I346" s="19" t="str">
        <x:v>S2022-YALE-US</x:v>
      </x:c>
      <x:c r="J346" s="19" t="str">
        <x:v>NOT_EXPOSED_IN_REPORT</x:v>
      </x:c>
      <x:c r="K346" s="19" t="str">
        <x:v>PRIORITY_RANK=14;ORIGINAL_ROW_CONFIDENCE_NOT_EXPOSED</x:v>
      </x:c>
      <x:c r="L346" s="19" t="str">
        <x:v>NOT_EXPOSED_IN_REPORT</x:v>
      </x:c>
      <x:c r="M346" s="19" t="str">
        <x:v>PRIORITY_RANK_14</x:v>
      </x:c>
      <x:c r="N346" s="31" t="str">
        <x:v>RECONSTRUCTED_FROM_REPORT</x:v>
      </x:c>
      <x:c r="O346" s="31" t="str">
        <x:v>UNRESOLVED</x:v>
      </x:c>
      <x:c r="P346" s="19" t="str">
        <x:v>Fear of Temperature_ Stratified Lexical Expansion, Voice Mapping, and Semantic-Relational Pre-Valida.pdf</x:v>
      </x:c>
      <x:c r="Q346" s="31" t="str">
        <x:v>RECONSTRUCTED_FROM_REPORT</x:v>
      </x:c>
      <x:c r="R346" s="46" t="str">
        <x:v>New surrogate project ID assigned from the compact report table; never an original later-stage structured candidate ID.</x:v>
      </x:c>
    </x:row>
    <x:row r="347" ht="32" customHeight="1">
      <x:c r="A347" s="18" t="str">
        <x:v>FT-SEED-R1B-P-2022-15</x:v>
      </x:c>
      <x:c r="B347" s="19" t="str">
        <x:v>PRIORITY_180</x:v>
      </x:c>
      <x:c r="C347" s="31" t="str">
        <x:v>NOT_EXPOSED_IN_REPORT</x:v>
      </x:c>
      <x:c r="D347" s="19" t="str">
        <x:v>12</x:v>
      </x:c>
      <x:c r="E347" s="19" t="str">
        <x:v>FT-A2022</x:v>
      </x:c>
      <x:c r="F347" s="31" t="str">
        <x:v>symptoms of anxiety</x:v>
      </x:c>
      <x:c r="G347" s="19" t="str">
        <x:v>C</x:v>
      </x:c>
      <x:c r="H347" s="19" t="str">
        <x:v>V5</x:v>
      </x:c>
      <x:c r="I347" s="19" t="str">
        <x:v>S2022-YALE-US</x:v>
      </x:c>
      <x:c r="J347" s="19" t="str">
        <x:v>NOT_EXPOSED_IN_REPORT</x:v>
      </x:c>
      <x:c r="K347" s="19" t="str">
        <x:v>PRIORITY_RANK=15;ORIGINAL_ROW_CONFIDENCE_NOT_EXPOSED</x:v>
      </x:c>
      <x:c r="L347" s="19" t="str">
        <x:v>NOT_EXPOSED_IN_REPORT</x:v>
      </x:c>
      <x:c r="M347" s="19" t="str">
        <x:v>PRIORITY_RANK_15</x:v>
      </x:c>
      <x:c r="N347" s="31" t="str">
        <x:v>RECONSTRUCTED_FROM_REPORT</x:v>
      </x:c>
      <x:c r="O347" s="31" t="str">
        <x:v>UNRESOLVED</x:v>
      </x:c>
      <x:c r="P347" s="19" t="str">
        <x:v>Fear of Temperature_ Stratified Lexical Expansion, Voice Mapping, and Semantic-Relational Pre-Valida.pdf</x:v>
      </x:c>
      <x:c r="Q347" s="31" t="str">
        <x:v>RECONSTRUCTED_FROM_REPORT</x:v>
      </x:c>
      <x:c r="R347" s="46" t="str">
        <x:v>New surrogate project ID assigned from the compact report table; never an original later-stage structured candidate ID.</x:v>
      </x:c>
    </x:row>
    <x:row r="348" ht="32" customHeight="1">
      <x:c r="A348" s="18" t="str">
        <x:v>FT-SEED-R1B-P-2022-16</x:v>
      </x:c>
      <x:c r="B348" s="19" t="str">
        <x:v>PRIORITY_180</x:v>
      </x:c>
      <x:c r="C348" s="31" t="str">
        <x:v>NOT_EXPOSED_IN_REPORT</x:v>
      </x:c>
      <x:c r="D348" s="19" t="str">
        <x:v>12</x:v>
      </x:c>
      <x:c r="E348" s="19" t="str">
        <x:v>FT-A2022</x:v>
      </x:c>
      <x:c r="F348" s="31" t="str">
        <x:v>climate anxiety</x:v>
      </x:c>
      <x:c r="G348" s="19" t="str">
        <x:v>C</x:v>
      </x:c>
      <x:c r="H348" s="19" t="str">
        <x:v>V1</x:v>
      </x:c>
      <x:c r="I348" s="19" t="str">
        <x:v>S2022-NATURE</x:v>
      </x:c>
      <x:c r="J348" s="19" t="str">
        <x:v>E4</x:v>
      </x:c>
      <x:c r="K348" s="19" t="str">
        <x:v>PRIORITY_RANK=16;ORIGINAL_ROW_CONFIDENCE_NOT_EXPOSED</x:v>
      </x:c>
      <x:c r="L348" s="19" t="str">
        <x:v>NOT_EXPOSED_IN_REPORT</x:v>
      </x:c>
      <x:c r="M348" s="19" t="str">
        <x:v>PRIORITY_RANK_16</x:v>
      </x:c>
      <x:c r="N348" s="31" t="str">
        <x:v>RECONSTRUCTED_FROM_REPORT</x:v>
      </x:c>
      <x:c r="O348" s="31" t="str">
        <x:v>UNRESOLVED</x:v>
      </x:c>
      <x:c r="P348" s="19" t="str">
        <x:v>Fear of Temperature_ Stratified Lexical Expansion, Voice Mapping, and Semantic-Relational Pre-Valida.pdf</x:v>
      </x:c>
      <x:c r="Q348" s="31" t="str">
        <x:v>RECONSTRUCTED_FROM_REPORT</x:v>
      </x:c>
      <x:c r="R348" s="46" t="str">
        <x:v>New surrogate project ID assigned from the compact report table; never an original later-stage structured candidate ID.</x:v>
      </x:c>
    </x:row>
    <x:row r="349" ht="32" customHeight="1">
      <x:c r="A349" s="18" t="str">
        <x:v>FT-SEED-R1B-P-2022-17</x:v>
      </x:c>
      <x:c r="B349" s="19" t="str">
        <x:v>PRIORITY_180</x:v>
      </x:c>
      <x:c r="C349" s="31" t="str">
        <x:v>NOT_EXPOSED_IN_REPORT</x:v>
      </x:c>
      <x:c r="D349" s="19" t="str">
        <x:v>12</x:v>
      </x:c>
      <x:c r="E349" s="19" t="str">
        <x:v>FT-A2022</x:v>
      </x:c>
      <x:c r="F349" s="31" t="str">
        <x:v>eco-anxiety</x:v>
      </x:c>
      <x:c r="G349" s="19" t="str">
        <x:v>C</x:v>
      </x:c>
      <x:c r="H349" s="19" t="str">
        <x:v>V1</x:v>
      </x:c>
      <x:c r="I349" s="19" t="str">
        <x:v>S2022-REHLING</x:v>
      </x:c>
      <x:c r="J349" s="19" t="str">
        <x:v>NOT_EXPOSED_IN_REPORT</x:v>
      </x:c>
      <x:c r="K349" s="19" t="str">
        <x:v>PRIORITY_RANK=17;ORIGINAL_ROW_CONFIDENCE_NOT_EXPOSED</x:v>
      </x:c>
      <x:c r="L349" s="19" t="str">
        <x:v>NOT_EXPOSED_IN_REPORT</x:v>
      </x:c>
      <x:c r="M349" s="19" t="str">
        <x:v>PRIORITY_RANK_17</x:v>
      </x:c>
      <x:c r="N349" s="31" t="str">
        <x:v>RECONSTRUCTED_FROM_REPORT</x:v>
      </x:c>
      <x:c r="O349" s="31" t="str">
        <x:v>UNRESOLVED</x:v>
      </x:c>
      <x:c r="P349" s="19" t="str">
        <x:v>Fear of Temperature_ Stratified Lexical Expansion, Voice Mapping, and Semantic-Relational Pre-Valida.pdf</x:v>
      </x:c>
      <x:c r="Q349" s="31" t="str">
        <x:v>RECONSTRUCTED_FROM_REPORT</x:v>
      </x:c>
      <x:c r="R349" s="46" t="str">
        <x:v>New surrogate project ID assigned from the compact report table; never an original later-stage structured candidate ID.</x:v>
      </x:c>
    </x:row>
    <x:row r="350" ht="32" customHeight="1">
      <x:c r="A350" s="18" t="str">
        <x:v>FT-SEED-R1B-P-2022-18</x:v>
      </x:c>
      <x:c r="B350" s="19" t="str">
        <x:v>PRIORITY_180</x:v>
      </x:c>
      <x:c r="C350" s="31" t="str">
        <x:v>NOT_EXPOSED_IN_REPORT</x:v>
      </x:c>
      <x:c r="D350" s="19" t="str">
        <x:v>12</x:v>
      </x:c>
      <x:c r="E350" s="19" t="str">
        <x:v>FT-A2022</x:v>
      </x:c>
      <x:c r="F350" s="31" t="str">
        <x:v>psychological distress</x:v>
      </x:c>
      <x:c r="G350" s="19" t="str">
        <x:v>C</x:v>
      </x:c>
      <x:c r="H350" s="19" t="str">
        <x:v>V1</x:v>
      </x:c>
      <x:c r="I350" s="19" t="str">
        <x:v>S2022-ANU</x:v>
      </x:c>
      <x:c r="J350" s="19" t="str">
        <x:v>NOT_EXPOSED_IN_REPORT</x:v>
      </x:c>
      <x:c r="K350" s="19" t="str">
        <x:v>PRIORITY_RANK=18;ORIGINAL_ROW_CONFIDENCE_NOT_EXPOSED</x:v>
      </x:c>
      <x:c r="L350" s="19" t="str">
        <x:v>NOT_EXPOSED_IN_REPORT</x:v>
      </x:c>
      <x:c r="M350" s="19" t="str">
        <x:v>PRIORITY_RANK_18</x:v>
      </x:c>
      <x:c r="N350" s="31" t="str">
        <x:v>RECONSTRUCTED_FROM_REPORT</x:v>
      </x:c>
      <x:c r="O350" s="31" t="str">
        <x:v>UNRESOLVED</x:v>
      </x:c>
      <x:c r="P350" s="19" t="str">
        <x:v>Fear of Temperature_ Stratified Lexical Expansion, Voice Mapping, and Semantic-Relational Pre-Valida.pdf</x:v>
      </x:c>
      <x:c r="Q350" s="31" t="str">
        <x:v>RECONSTRUCTED_FROM_REPORT</x:v>
      </x:c>
      <x:c r="R350" s="46" t="str">
        <x:v>New surrogate project ID assigned from the compact report table; never an original later-stage structured candidate ID.</x:v>
      </x:c>
    </x:row>
    <x:row r="351" ht="32" customHeight="1">
      <x:c r="A351" s="18" t="str">
        <x:v>FT-SEED-R1B-P-2022-21</x:v>
      </x:c>
      <x:c r="B351" s="19" t="str">
        <x:v>PRIORITY_180</x:v>
      </x:c>
      <x:c r="C351" s="31" t="str">
        <x:v>NOT_EXPOSED_IN_REPORT</x:v>
      </x:c>
      <x:c r="D351" s="19" t="str">
        <x:v>12</x:v>
      </x:c>
      <x:c r="E351" s="19" t="str">
        <x:v>FT-A2022</x:v>
      </x:c>
      <x:c r="F351" s="31" t="str">
        <x:v>guilt</x:v>
      </x:c>
      <x:c r="G351" s="19" t="str">
        <x:v>C</x:v>
      </x:c>
      <x:c r="H351" s="19" t="str">
        <x:v>V1</x:v>
      </x:c>
      <x:c r="I351" s="19" t="str">
        <x:v>S2022-REHLING</x:v>
      </x:c>
      <x:c r="J351" s="19" t="str">
        <x:v>NOT_EXPOSED_IN_REPORT</x:v>
      </x:c>
      <x:c r="K351" s="19" t="str">
        <x:v>PRIORITY_RANK=21;ORIGINAL_ROW_CONFIDENCE_NOT_EXPOSED</x:v>
      </x:c>
      <x:c r="L351" s="19" t="str">
        <x:v>NOT_EXPOSED_IN_REPORT</x:v>
      </x:c>
      <x:c r="M351" s="19" t="str">
        <x:v>PRIORITY_RANK_21</x:v>
      </x:c>
      <x:c r="N351" s="31" t="str">
        <x:v>RECONSTRUCTED_FROM_REPORT</x:v>
      </x:c>
      <x:c r="O351" s="31" t="str">
        <x:v>UNRESOLVED</x:v>
      </x:c>
      <x:c r="P351" s="19" t="str">
        <x:v>Fear of Temperature_ Stratified Lexical Expansion, Voice Mapping, and Semantic-Relational Pre-Valida.pdf</x:v>
      </x:c>
      <x:c r="Q351" s="31" t="str">
        <x:v>RECONSTRUCTED_FROM_REPORT</x:v>
      </x:c>
      <x:c r="R351" s="46" t="str">
        <x:v>New surrogate project ID assigned from the compact report table; never an original later-stage structured candidate ID.</x:v>
      </x:c>
    </x:row>
    <x:row r="352" ht="32" customHeight="1">
      <x:c r="A352" s="18" t="str">
        <x:v>FT-SEED-R1B-P-2022-22</x:v>
      </x:c>
      <x:c r="B352" s="19" t="str">
        <x:v>PRIORITY_180</x:v>
      </x:c>
      <x:c r="C352" s="31" t="str">
        <x:v>NOT_EXPOSED_IN_REPORT</x:v>
      </x:c>
      <x:c r="D352" s="19" t="str">
        <x:v>12</x:v>
      </x:c>
      <x:c r="E352" s="19" t="str">
        <x:v>FT-A2022</x:v>
      </x:c>
      <x:c r="F352" s="31" t="str">
        <x:v>heatwaves</x:v>
      </x:c>
      <x:c r="G352" s="19" t="str">
        <x:v>A</x:v>
      </x:c>
      <x:c r="H352" s="19" t="str">
        <x:v>V1</x:v>
      </x:c>
      <x:c r="I352" s="19" t="str">
        <x:v>S2022-IPCC</x:v>
      </x:c>
      <x:c r="J352" s="19" t="str">
        <x:v>NOT_EXPOSED_IN_REPORT</x:v>
      </x:c>
      <x:c r="K352" s="19" t="str">
        <x:v>PRIORITY_RANK=22;ORIGINAL_ROW_CONFIDENCE_NOT_EXPOSED</x:v>
      </x:c>
      <x:c r="L352" s="19" t="str">
        <x:v>NOT_EXPOSED_IN_REPORT</x:v>
      </x:c>
      <x:c r="M352" s="19" t="str">
        <x:v>PRIORITY_RANK_22</x:v>
      </x:c>
      <x:c r="N352" s="31" t="str">
        <x:v>RECONSTRUCTED_FROM_REPORT</x:v>
      </x:c>
      <x:c r="O352" s="31" t="str">
        <x:v>UNRESOLVED</x:v>
      </x:c>
      <x:c r="P352" s="19" t="str">
        <x:v>Fear of Temperature_ Stratified Lexical Expansion, Voice Mapping, and Semantic-Relational Pre-Valida.pdf</x:v>
      </x:c>
      <x:c r="Q352" s="31" t="str">
        <x:v>RECONSTRUCTED_FROM_REPORT</x:v>
      </x:c>
      <x:c r="R352" s="46" t="str">
        <x:v>New surrogate project ID assigned from the compact report table; never an original later-stage structured candidate ID.</x:v>
      </x:c>
    </x:row>
    <x:row r="353" ht="32" customHeight="1">
      <x:c r="A353" s="18" t="str">
        <x:v>FT-SEED-R1B-P-2022-23</x:v>
      </x:c>
      <x:c r="B353" s="19" t="str">
        <x:v>PRIORITY_180</x:v>
      </x:c>
      <x:c r="C353" s="31" t="str">
        <x:v>NOT_EXPOSED_IN_REPORT</x:v>
      </x:c>
      <x:c r="D353" s="19" t="str">
        <x:v>12</x:v>
      </x:c>
      <x:c r="E353" s="19" t="str">
        <x:v>FT-A2022</x:v>
      </x:c>
      <x:c r="F353" s="31" t="str">
        <x:v>heat-related mortality</x:v>
      </x:c>
      <x:c r="G353" s="19" t="str">
        <x:v>D</x:v>
      </x:c>
      <x:c r="H353" s="19" t="str">
        <x:v>V1</x:v>
      </x:c>
      <x:c r="I353" s="19" t="str">
        <x:v>S2022-IPCC</x:v>
      </x:c>
      <x:c r="J353" s="19" t="str">
        <x:v>NOT_EXPOSED_IN_REPORT</x:v>
      </x:c>
      <x:c r="K353" s="19" t="str">
        <x:v>PRIORITY_RANK=23;ORIGINAL_ROW_CONFIDENCE_NOT_EXPOSED</x:v>
      </x:c>
      <x:c r="L353" s="19" t="str">
        <x:v>NOT_EXPOSED_IN_REPORT</x:v>
      </x:c>
      <x:c r="M353" s="19" t="str">
        <x:v>PRIORITY_RANK_23</x:v>
      </x:c>
      <x:c r="N353" s="31" t="str">
        <x:v>RECONSTRUCTED_FROM_REPORT</x:v>
      </x:c>
      <x:c r="O353" s="31" t="str">
        <x:v>UNRESOLVED</x:v>
      </x:c>
      <x:c r="P353" s="19" t="str">
        <x:v>Fear of Temperature_ Stratified Lexical Expansion, Voice Mapping, and Semantic-Relational Pre-Valida.pdf</x:v>
      </x:c>
      <x:c r="Q353" s="31" t="str">
        <x:v>RECONSTRUCTED_FROM_REPORT</x:v>
      </x:c>
      <x:c r="R353" s="46" t="str">
        <x:v>New surrogate project ID assigned from the compact report table; never an original later-stage structured candidate ID.</x:v>
      </x:c>
    </x:row>
    <x:row r="354" ht="32" customHeight="1">
      <x:c r="A354" s="18" t="str">
        <x:v>FT-SEED-R1B-P-2022-24</x:v>
      </x:c>
      <x:c r="B354" s="19" t="str">
        <x:v>PRIORITY_180</x:v>
      </x:c>
      <x:c r="C354" s="31" t="str">
        <x:v>NOT_EXPOSED_IN_REPORT</x:v>
      </x:c>
      <x:c r="D354" s="19" t="str">
        <x:v>12</x:v>
      </x:c>
      <x:c r="E354" s="19" t="str">
        <x:v>FT-A2022</x:v>
      </x:c>
      <x:c r="F354" s="31" t="str">
        <x:v>mental health challenges</x:v>
      </x:c>
      <x:c r="G354" s="19" t="str">
        <x:v>D</x:v>
      </x:c>
      <x:c r="H354" s="19" t="str">
        <x:v>V1</x:v>
      </x:c>
      <x:c r="I354" s="19" t="str">
        <x:v>S2022-IPCC</x:v>
      </x:c>
      <x:c r="J354" s="19" t="str">
        <x:v>NOT_EXPOSED_IN_REPORT</x:v>
      </x:c>
      <x:c r="K354" s="19" t="str">
        <x:v>PRIORITY_RANK=24;ORIGINAL_ROW_CONFIDENCE_NOT_EXPOSED</x:v>
      </x:c>
      <x:c r="L354" s="19" t="str">
        <x:v>NOT_EXPOSED_IN_REPORT</x:v>
      </x:c>
      <x:c r="M354" s="19" t="str">
        <x:v>PRIORITY_RANK_24</x:v>
      </x:c>
      <x:c r="N354" s="31" t="str">
        <x:v>RECONSTRUCTED_FROM_REPORT</x:v>
      </x:c>
      <x:c r="O354" s="31" t="str">
        <x:v>UNRESOLVED</x:v>
      </x:c>
      <x:c r="P354" s="19" t="str">
        <x:v>Fear of Temperature_ Stratified Lexical Expansion, Voice Mapping, and Semantic-Relational Pre-Valida.pdf</x:v>
      </x:c>
      <x:c r="Q354" s="31" t="str">
        <x:v>RECONSTRUCTED_FROM_REPORT</x:v>
      </x:c>
      <x:c r="R354" s="46" t="str">
        <x:v>New surrogate project ID assigned from the compact report table; never an original later-stage structured candidate ID.</x:v>
      </x:c>
    </x:row>
    <x:row r="355" ht="32" customHeight="1">
      <x:c r="A355" s="18" t="str">
        <x:v>FT-SEED-R1B-P-2022-25</x:v>
      </x:c>
      <x:c r="B355" s="19" t="str">
        <x:v>PRIORITY_180</x:v>
      </x:c>
      <x:c r="C355" s="31" t="str">
        <x:v>NOT_EXPOSED_IN_REPORT</x:v>
      </x:c>
      <x:c r="D355" s="19" t="str">
        <x:v>12</x:v>
      </x:c>
      <x:c r="E355" s="19" t="str">
        <x:v>FT-A2022</x:v>
      </x:c>
      <x:c r="F355" s="31" t="str">
        <x:v>anxiety and stress</x:v>
      </x:c>
      <x:c r="G355" s="19" t="str">
        <x:v>C</x:v>
      </x:c>
      <x:c r="H355" s="19" t="str">
        <x:v>V1</x:v>
      </x:c>
      <x:c r="I355" s="19" t="str">
        <x:v>S2022-IPCC</x:v>
      </x:c>
      <x:c r="J355" s="19" t="str">
        <x:v>NOT_EXPOSED_IN_REPORT</x:v>
      </x:c>
      <x:c r="K355" s="19" t="str">
        <x:v>PRIORITY_RANK=25;ORIGINAL_ROW_CONFIDENCE_NOT_EXPOSED</x:v>
      </x:c>
      <x:c r="L355" s="19" t="str">
        <x:v>NOT_EXPOSED_IN_REPORT</x:v>
      </x:c>
      <x:c r="M355" s="19" t="str">
        <x:v>PRIORITY_RANK_25</x:v>
      </x:c>
      <x:c r="N355" s="31" t="str">
        <x:v>RECONSTRUCTED_FROM_REPORT</x:v>
      </x:c>
      <x:c r="O355" s="31" t="str">
        <x:v>UNRESOLVED</x:v>
      </x:c>
      <x:c r="P355" s="19" t="str">
        <x:v>Fear of Temperature_ Stratified Lexical Expansion, Voice Mapping, and Semantic-Relational Pre-Valida.pdf</x:v>
      </x:c>
      <x:c r="Q355" s="31" t="str">
        <x:v>RECONSTRUCTED_FROM_REPORT</x:v>
      </x:c>
      <x:c r="R355" s="46" t="str">
        <x:v>New surrogate project ID assigned from the compact report table; never an original later-stage structured candidate ID.</x:v>
      </x:c>
    </x:row>
    <x:row r="356" ht="32" customHeight="1">
      <x:c r="A356" s="18" t="str">
        <x:v>FT-SEED-R1B-P-2022-26</x:v>
      </x:c>
      <x:c r="B356" s="19" t="str">
        <x:v>PRIORITY_180</x:v>
      </x:c>
      <x:c r="C356" s="31" t="str">
        <x:v>NOT_EXPOSED_IN_REPORT</x:v>
      </x:c>
      <x:c r="D356" s="19" t="str">
        <x:v>12</x:v>
      </x:c>
      <x:c r="E356" s="19" t="str">
        <x:v>FT-A2022</x:v>
      </x:c>
      <x:c r="F356" s="31" t="str">
        <x:v>ill health</x:v>
      </x:c>
      <x:c r="G356" s="19" t="str">
        <x:v>D</x:v>
      </x:c>
      <x:c r="H356" s="19" t="str">
        <x:v>V1</x:v>
      </x:c>
      <x:c r="I356" s="19" t="str">
        <x:v>S2022-IPCC</x:v>
      </x:c>
      <x:c r="J356" s="19" t="str">
        <x:v>NOT_EXPOSED_IN_REPORT</x:v>
      </x:c>
      <x:c r="K356" s="19" t="str">
        <x:v>PRIORITY_RANK=26;ORIGINAL_ROW_CONFIDENCE_NOT_EXPOSED</x:v>
      </x:c>
      <x:c r="L356" s="19" t="str">
        <x:v>NOT_EXPOSED_IN_REPORT</x:v>
      </x:c>
      <x:c r="M356" s="19" t="str">
        <x:v>PRIORITY_RANK_26</x:v>
      </x:c>
      <x:c r="N356" s="31" t="str">
        <x:v>RECONSTRUCTED_FROM_REPORT</x:v>
      </x:c>
      <x:c r="O356" s="31" t="str">
        <x:v>UNRESOLVED</x:v>
      </x:c>
      <x:c r="P356" s="19" t="str">
        <x:v>Fear of Temperature_ Stratified Lexical Expansion, Voice Mapping, and Semantic-Relational Pre-Valida.pdf</x:v>
      </x:c>
      <x:c r="Q356" s="31" t="str">
        <x:v>RECONSTRUCTED_FROM_REPORT</x:v>
      </x:c>
      <x:c r="R356" s="46" t="str">
        <x:v>New surrogate project ID assigned from the compact report table; never an original later-stage structured candidate ID.</x:v>
      </x:c>
    </x:row>
    <x:row r="357" ht="32" customHeight="1">
      <x:c r="A357" s="18" t="str">
        <x:v>FT-SEED-R1B-P-2022-27</x:v>
      </x:c>
      <x:c r="B357" s="19" t="str">
        <x:v>PRIORITY_180</x:v>
      </x:c>
      <x:c r="C357" s="31" t="str">
        <x:v>NOT_EXPOSED_IN_REPORT</x:v>
      </x:c>
      <x:c r="D357" s="19" t="str">
        <x:v>12</x:v>
      </x:c>
      <x:c r="E357" s="19" t="str">
        <x:v>FT-A2022</x:v>
      </x:c>
      <x:c r="F357" s="31" t="str">
        <x:v>premature deaths</x:v>
      </x:c>
      <x:c r="G357" s="19" t="str">
        <x:v>D</x:v>
      </x:c>
      <x:c r="H357" s="19" t="str">
        <x:v>V1</x:v>
      </x:c>
      <x:c r="I357" s="19" t="str">
        <x:v>S2022-IPCC</x:v>
      </x:c>
      <x:c r="J357" s="19" t="str">
        <x:v>NOT_EXPOSED_IN_REPORT</x:v>
      </x:c>
      <x:c r="K357" s="19" t="str">
        <x:v>PRIORITY_RANK=27;ORIGINAL_ROW_CONFIDENCE_NOT_EXPOSED</x:v>
      </x:c>
      <x:c r="L357" s="19" t="str">
        <x:v>NOT_EXPOSED_IN_REPORT</x:v>
      </x:c>
      <x:c r="M357" s="19" t="str">
        <x:v>PRIORITY_RANK_27</x:v>
      </x:c>
      <x:c r="N357" s="31" t="str">
        <x:v>RECONSTRUCTED_FROM_REPORT</x:v>
      </x:c>
      <x:c r="O357" s="31" t="str">
        <x:v>UNRESOLVED</x:v>
      </x:c>
      <x:c r="P357" s="19" t="str">
        <x:v>Fear of Temperature_ Stratified Lexical Expansion, Voice Mapping, and Semantic-Relational Pre-Valida.pdf</x:v>
      </x:c>
      <x:c r="Q357" s="31" t="str">
        <x:v>RECONSTRUCTED_FROM_REPORT</x:v>
      </x:c>
      <x:c r="R357" s="46" t="str">
        <x:v>New surrogate project ID assigned from the compact report table; never an original later-stage structured candidate ID.</x:v>
      </x:c>
    </x:row>
    <x:row r="358" ht="32" customHeight="1">
      <x:c r="A358" s="18" t="str">
        <x:v>FT-SEED-R1B-P-2022-28</x:v>
      </x:c>
      <x:c r="B358" s="19" t="str">
        <x:v>PRIORITY_180</x:v>
      </x:c>
      <x:c r="C358" s="31" t="str">
        <x:v>NOT_EXPOSED_IN_REPORT</x:v>
      </x:c>
      <x:c r="D358" s="19" t="str">
        <x:v>12</x:v>
      </x:c>
      <x:c r="E358" s="19" t="str">
        <x:v>FT-A2022</x:v>
      </x:c>
      <x:c r="F358" s="31" t="str">
        <x:v>very serious threat</x:v>
      </x:c>
      <x:c r="G358" s="19" t="str">
        <x:v>D</x:v>
      </x:c>
      <x:c r="H358" s="19" t="str">
        <x:v>V5</x:v>
      </x:c>
      <x:c r="I358" s="19" t="str">
        <x:v>S2022-YALE-INT</x:v>
      </x:c>
      <x:c r="J358" s="19" t="str">
        <x:v>NOT_EXPOSED_IN_REPORT</x:v>
      </x:c>
      <x:c r="K358" s="19" t="str">
        <x:v>PRIORITY_RANK=28;ORIGINAL_ROW_CONFIDENCE_NOT_EXPOSED</x:v>
      </x:c>
      <x:c r="L358" s="19" t="str">
        <x:v>NOT_EXPOSED_IN_REPORT</x:v>
      </x:c>
      <x:c r="M358" s="19" t="str">
        <x:v>PRIORITY_RANK_28</x:v>
      </x:c>
      <x:c r="N358" s="31" t="str">
        <x:v>RECONSTRUCTED_FROM_REPORT</x:v>
      </x:c>
      <x:c r="O358" s="31" t="str">
        <x:v>UNRESOLVED</x:v>
      </x:c>
      <x:c r="P358" s="19" t="str">
        <x:v>Fear of Temperature_ Stratified Lexical Expansion, Voice Mapping, and Semantic-Relational Pre-Valida.pdf</x:v>
      </x:c>
      <x:c r="Q358" s="31" t="str">
        <x:v>RECONSTRUCTED_FROM_REPORT</x:v>
      </x:c>
      <x:c r="R358" s="46" t="str">
        <x:v>New surrogate project ID assigned from the compact report table; never an original later-stage structured candidate ID.</x:v>
      </x:c>
    </x:row>
    <x:row r="359" ht="32" customHeight="1">
      <x:c r="A359" s="18" t="str">
        <x:v>FT-SEED-R1B-P-2022-09</x:v>
      </x:c>
      <x:c r="B359" s="19" t="str">
        <x:v>PRIORITY_180</x:v>
      </x:c>
      <x:c r="C359" s="31" t="str">
        <x:v>NOT_EXPOSED_IN_REPORT</x:v>
      </x:c>
      <x:c r="D359" s="19" t="str">
        <x:v>13</x:v>
      </x:c>
      <x:c r="E359" s="19" t="str">
        <x:v>FT-A2022</x:v>
      </x:c>
      <x:c r="F359" s="31" t="str">
        <x:v>angry</x:v>
      </x:c>
      <x:c r="G359" s="19" t="str">
        <x:v>C</x:v>
      </x:c>
      <x:c r="H359" s="19" t="str">
        <x:v>V5</x:v>
      </x:c>
      <x:c r="I359" s="19" t="str">
        <x:v>S2022-YALE-US</x:v>
      </x:c>
      <x:c r="J359" s="19" t="str">
        <x:v>NOT_EXPOSED_IN_REPORT</x:v>
      </x:c>
      <x:c r="K359" s="19" t="str">
        <x:v>PRIORITY_RANK=9;ORIGINAL_ROW_CONFIDENCE_NOT_EXPOSED</x:v>
      </x:c>
      <x:c r="L359" s="19" t="str">
        <x:v>NOT_EXPOSED_IN_REPORT</x:v>
      </x:c>
      <x:c r="M359" s="19" t="str">
        <x:v>PRIORITY_RANK_09</x:v>
      </x:c>
      <x:c r="N359" s="31" t="str">
        <x:v>RECONSTRUCTED_FROM_REPORT</x:v>
      </x:c>
      <x:c r="O359" s="31" t="str">
        <x:v>UNRESOLVED</x:v>
      </x:c>
      <x:c r="P359" s="19" t="str">
        <x:v>Fear of Temperature_ Stratified Lexical Expansion, Voice Mapping, and Semantic-Relational Pre-Valida.pdf</x:v>
      </x:c>
      <x:c r="Q359" s="31" t="str">
        <x:v>RECONSTRUCTED_FROM_REPORT</x:v>
      </x:c>
      <x:c r="R359" s="46" t="str">
        <x:v>New surrogate project ID assigned from the compact report table; never an original later-stage structured candidate ID.</x:v>
      </x:c>
    </x:row>
    <x:row r="360" ht="32" customHeight="1">
      <x:c r="A360" s="18" t="str">
        <x:v>FT-SEED-R1B-P-2022-10</x:v>
      </x:c>
      <x:c r="B360" s="19" t="str">
        <x:v>PRIORITY_180</x:v>
      </x:c>
      <x:c r="C360" s="31" t="str">
        <x:v>NOT_EXPOSED_IN_REPORT</x:v>
      </x:c>
      <x:c r="D360" s="19" t="str">
        <x:v>13</x:v>
      </x:c>
      <x:c r="E360" s="19" t="str">
        <x:v>FT-A2022</x:v>
      </x:c>
      <x:c r="F360" s="31" t="str">
        <x:v>frustrated</x:v>
      </x:c>
      <x:c r="G360" s="19" t="str">
        <x:v>C</x:v>
      </x:c>
      <x:c r="H360" s="19" t="str">
        <x:v>V5</x:v>
      </x:c>
      <x:c r="I360" s="19" t="str">
        <x:v>S2022-YALE-US</x:v>
      </x:c>
      <x:c r="J360" s="19" t="str">
        <x:v>NOT_EXPOSED_IN_REPORT</x:v>
      </x:c>
      <x:c r="K360" s="19" t="str">
        <x:v>PRIORITY_RANK=10;ORIGINAL_ROW_CONFIDENCE_NOT_EXPOSED</x:v>
      </x:c>
      <x:c r="L360" s="19" t="str">
        <x:v>NOT_EXPOSED_IN_REPORT</x:v>
      </x:c>
      <x:c r="M360" s="19" t="str">
        <x:v>PRIORITY_RANK_10</x:v>
      </x:c>
      <x:c r="N360" s="31" t="str">
        <x:v>RECONSTRUCTED_FROM_REPORT</x:v>
      </x:c>
      <x:c r="O360" s="31" t="str">
        <x:v>UNRESOLVED</x:v>
      </x:c>
      <x:c r="P360" s="19" t="str">
        <x:v>Fear of Temperature_ Stratified Lexical Expansion, Voice Mapping, and Semantic-Relational Pre-Valida.pdf</x:v>
      </x:c>
      <x:c r="Q360" s="31" t="str">
        <x:v>RECONSTRUCTED_FROM_REPORT</x:v>
      </x:c>
      <x:c r="R360" s="46" t="str">
        <x:v>New surrogate project ID assigned from the compact report table; never an original later-stage structured candidate ID.</x:v>
      </x:c>
    </x:row>
    <x:row r="361" ht="32" customHeight="1">
      <x:c r="A361" s="18" t="str">
        <x:v>FT-SEED-R1B-P-2022-19</x:v>
      </x:c>
      <x:c r="B361" s="19" t="str">
        <x:v>PRIORITY_180</x:v>
      </x:c>
      <x:c r="C361" s="31" t="str">
        <x:v>NOT_EXPOSED_IN_REPORT</x:v>
      </x:c>
      <x:c r="D361" s="19" t="str">
        <x:v>13</x:v>
      </x:c>
      <x:c r="E361" s="19" t="str">
        <x:v>FT-A2022</x:v>
      </x:c>
      <x:c r="F361" s="31" t="str">
        <x:v>distress</x:v>
      </x:c>
      <x:c r="G361" s="19" t="str">
        <x:v>C</x:v>
      </x:c>
      <x:c r="H361" s="19" t="str">
        <x:v>V1</x:v>
      </x:c>
      <x:c r="I361" s="19" t="str">
        <x:v>S2022-REHLING</x:v>
      </x:c>
      <x:c r="J361" s="19" t="str">
        <x:v>NOT_EXPOSED_IN_REPORT</x:v>
      </x:c>
      <x:c r="K361" s="19" t="str">
        <x:v>PRIORITY_RANK=19;ORIGINAL_ROW_CONFIDENCE_NOT_EXPOSED</x:v>
      </x:c>
      <x:c r="L361" s="19" t="str">
        <x:v>NOT_EXPOSED_IN_REPORT</x:v>
      </x:c>
      <x:c r="M361" s="19" t="str">
        <x:v>PRIORITY_RANK_19</x:v>
      </x:c>
      <x:c r="N361" s="31" t="str">
        <x:v>RECONSTRUCTED_FROM_REPORT</x:v>
      </x:c>
      <x:c r="O361" s="31" t="str">
        <x:v>UNRESOLVED</x:v>
      </x:c>
      <x:c r="P361" s="19" t="str">
        <x:v>Fear of Temperature_ Stratified Lexical Expansion, Voice Mapping, and Semantic-Relational Pre-Valida.pdf</x:v>
      </x:c>
      <x:c r="Q361" s="31" t="str">
        <x:v>RECONSTRUCTED_FROM_REPORT</x:v>
      </x:c>
      <x:c r="R361" s="46" t="str">
        <x:v>New surrogate project ID assigned from the compact report table; never an original later-stage structured candidate ID.</x:v>
      </x:c>
    </x:row>
    <x:row r="362" ht="32" customHeight="1">
      <x:c r="A362" s="18" t="str">
        <x:v>FT-SEED-R1B-P-2022-20</x:v>
      </x:c>
      <x:c r="B362" s="19" t="str">
        <x:v>PRIORITY_180</x:v>
      </x:c>
      <x:c r="C362" s="31" t="str">
        <x:v>NOT_EXPOSED_IN_REPORT</x:v>
      </x:c>
      <x:c r="D362" s="19" t="str">
        <x:v>13</x:v>
      </x:c>
      <x:c r="E362" s="19" t="str">
        <x:v>FT-A2022</x:v>
      </x:c>
      <x:c r="F362" s="31" t="str">
        <x:v>powerlessness</x:v>
      </x:c>
      <x:c r="G362" s="19" t="str">
        <x:v>C</x:v>
      </x:c>
      <x:c r="H362" s="19" t="str">
        <x:v>V1</x:v>
      </x:c>
      <x:c r="I362" s="19" t="str">
        <x:v>S2022-REHLING</x:v>
      </x:c>
      <x:c r="J362" s="19" t="str">
        <x:v>NOT_EXPOSED_IN_REPORT</x:v>
      </x:c>
      <x:c r="K362" s="19" t="str">
        <x:v>PRIORITY_RANK=20;ORIGINAL_ROW_CONFIDENCE_NOT_EXPOSED</x:v>
      </x:c>
      <x:c r="L362" s="19" t="str">
        <x:v>NOT_EXPOSED_IN_REPORT</x:v>
      </x:c>
      <x:c r="M362" s="19" t="str">
        <x:v>PRIORITY_RANK_20</x:v>
      </x:c>
      <x:c r="N362" s="31" t="str">
        <x:v>RECONSTRUCTED_FROM_REPORT</x:v>
      </x:c>
      <x:c r="O362" s="31" t="str">
        <x:v>UNRESOLVED</x:v>
      </x:c>
      <x:c r="P362" s="19" t="str">
        <x:v>Fear of Temperature_ Stratified Lexical Expansion, Voice Mapping, and Semantic-Relational Pre-Valida.pdf</x:v>
      </x:c>
      <x:c r="Q362" s="31" t="str">
        <x:v>RECONSTRUCTED_FROM_REPORT</x:v>
      </x:c>
      <x:c r="R362" s="46" t="str">
        <x:v>New surrogate project ID assigned from the compact report table; never an original later-stage structured candidate ID.</x:v>
      </x:c>
    </x:row>
    <x:row r="363" ht="32" customHeight="1">
      <x:c r="A363" s="18" t="str">
        <x:v>FT-SEED-R1B-P-2022-29</x:v>
      </x:c>
      <x:c r="B363" s="19" t="str">
        <x:v>PRIORITY_180</x:v>
      </x:c>
      <x:c r="C363" s="31" t="str">
        <x:v>NOT_EXPOSED_IN_REPORT</x:v>
      </x:c>
      <x:c r="D363" s="19" t="str">
        <x:v>13</x:v>
      </x:c>
      <x:c r="E363" s="19" t="str">
        <x:v>FT-A2022</x:v>
      </x:c>
      <x:c r="F363" s="31" t="str">
        <x:v>harm future generations</x:v>
      </x:c>
      <x:c r="G363" s="19" t="str">
        <x:v>D</x:v>
      </x:c>
      <x:c r="H363" s="19" t="str">
        <x:v>V5</x:v>
      </x:c>
      <x:c r="I363" s="19" t="str">
        <x:v>S2022-YALE-INT</x:v>
      </x:c>
      <x:c r="J363" s="19" t="str">
        <x:v>NOT_EXPOSED_IN_REPORT</x:v>
      </x:c>
      <x:c r="K363" s="19" t="str">
        <x:v>PRIORITY_RANK=29;ORIGINAL_ROW_CONFIDENCE_NOT_EXPOSED</x:v>
      </x:c>
      <x:c r="L363" s="19" t="str">
        <x:v>NOT_EXPOSED_IN_REPORT</x:v>
      </x:c>
      <x:c r="M363" s="19" t="str">
        <x:v>PRIORITY_RANK_29</x:v>
      </x:c>
      <x:c r="N363" s="31" t="str">
        <x:v>RECONSTRUCTED_FROM_REPORT</x:v>
      </x:c>
      <x:c r="O363" s="31" t="str">
        <x:v>UNRESOLVED</x:v>
      </x:c>
      <x:c r="P363" s="19" t="str">
        <x:v>Fear of Temperature_ Stratified Lexical Expansion, Voice Mapping, and Semantic-Relational Pre-Valida.pdf</x:v>
      </x:c>
      <x:c r="Q363" s="31" t="str">
        <x:v>RECONSTRUCTED_FROM_REPORT</x:v>
      </x:c>
      <x:c r="R363" s="46" t="str">
        <x:v>New surrogate project ID assigned from the compact report table; never an original later-stage structured candidate ID.</x:v>
      </x:c>
    </x:row>
    <x:row r="364" ht="32" customHeight="1">
      <x:c r="A364" s="18" t="str">
        <x:v>FT-SEED-R1B-P-2022-30</x:v>
      </x:c>
      <x:c r="B364" s="19" t="str">
        <x:v>PRIORITY_180</x:v>
      </x:c>
      <x:c r="C364" s="31" t="str">
        <x:v>NOT_EXPOSED_IN_REPORT</x:v>
      </x:c>
      <x:c r="D364" s="19" t="str">
        <x:v>13</x:v>
      </x:c>
      <x:c r="E364" s="19" t="str">
        <x:v>FT-A2022</x:v>
      </x:c>
      <x:c r="F364" s="31" t="str">
        <x:v>climate crisis</x:v>
      </x:c>
      <x:c r="G364" s="19" t="str">
        <x:v>D</x:v>
      </x:c>
      <x:c r="H364" s="19" t="str">
        <x:v>V4</x:v>
      </x:c>
      <x:c r="I364" s="19" t="str">
        <x:v>S2022-XR</x:v>
      </x:c>
      <x:c r="J364" s="19" t="str">
        <x:v>NOT_EXPOSED_IN_REPORT</x:v>
      </x:c>
      <x:c r="K364" s="19" t="str">
        <x:v>PRIORITY_RANK=30;ORIGINAL_ROW_CONFIDENCE_NOT_EXPOSED</x:v>
      </x:c>
      <x:c r="L364" s="19" t="str">
        <x:v>NOT_EXPOSED_IN_REPORT</x:v>
      </x:c>
      <x:c r="M364" s="19" t="str">
        <x:v>PRIORITY_RANK_30</x:v>
      </x:c>
      <x:c r="N364" s="31" t="str">
        <x:v>RECONSTRUCTED_FROM_REPORT</x:v>
      </x:c>
      <x:c r="O364" s="31" t="str">
        <x:v>UNRESOLVED</x:v>
      </x:c>
      <x:c r="P364" s="19" t="str">
        <x:v>Fear of Temperature_ Stratified Lexical Expansion, Voice Mapping, and Semantic-Relational Pre-Valida.pdf</x:v>
      </x:c>
      <x:c r="Q364" s="31" t="str">
        <x:v>RECONSTRUCTED_FROM_REPORT</x:v>
      </x:c>
      <x:c r="R364" s="46" t="str">
        <x:v>New surrogate project ID assigned from the compact report table; never an original later-stage structured candidate ID.</x:v>
      </x:c>
    </x:row>
    <x:row r="365" ht="32" customHeight="1">
      <x:c r="A365" s="18" t="str">
        <x:v>FT-SEED-R1B-X-1842-01</x:v>
      </x:c>
      <x:c r="B365" s="19" t="str">
        <x:v>EXPANSION_36</x:v>
      </x:c>
      <x:c r="C365" s="31" t="str">
        <x:v>NOT_EXPOSED_IN_REPORT</x:v>
      </x:c>
      <x:c r="D365" s="19" t="str">
        <x:v>7</x:v>
      </x:c>
      <x:c r="E365" s="19" t="str">
        <x:v>FT-A1842</x:v>
      </x:c>
      <x:c r="F365" s="31" t="str">
        <x:v>the heat is remarkable</x:v>
      </x:c>
      <x:c r="G365" s="19" t="str">
        <x:v>A</x:v>
      </x:c>
      <x:c r="H365" s="19" t="str">
        <x:v>NOT_EXPOSED_IN_REPORT</x:v>
      </x:c>
      <x:c r="I365" s="19" t="str">
        <x:v>NOT_EXPOSED_IN_REPORT</x:v>
      </x:c>
      <x:c r="J365" s="19" t="str">
        <x:v>NOT_EXPOSED_IN_REPORT</x:v>
      </x:c>
      <x:c r="K365" s="19" t="str">
        <x:v>EXPANSION_ORDER=1;ORIGINAL_ROW_METADATA_NOT_EXPOSED</x:v>
      </x:c>
      <x:c r="L365" s="19" t="str">
        <x:v>NOT_EXPOSED_IN_REPORT</x:v>
      </x:c>
      <x:c r="M365" s="19" t="str">
        <x:v>EXPANSION_ORDER_01</x:v>
      </x:c>
      <x:c r="N365" s="31" t="str">
        <x:v>RECONSTRUCTED_FROM_REPORT</x:v>
      </x:c>
      <x:c r="O365" s="31" t="str">
        <x:v>UNRESOLVED</x:v>
      </x:c>
      <x:c r="P365" s="19" t="str">
        <x:v>Fear of Temperature_ Stratified Lexical Expansion, Voice Mapping, and Semantic-Relational Pre-Valida.pdf</x:v>
      </x:c>
      <x:c r="Q365" s="31" t="str">
        <x:v>RECONSTRUCTED_FROM_REPORT</x:v>
      </x:c>
      <x:c r="R365" s="46" t="str">
        <x:v>New surrogate project ID assigned from the report's narrative Expansion list; original structured row identity and per-row voice/source metadata were unavailable.</x:v>
      </x:c>
    </x:row>
    <x:row r="366" ht="32" customHeight="1">
      <x:c r="A366" s="18" t="str">
        <x:v>FT-SEED-R1B-X-1842-02</x:v>
      </x:c>
      <x:c r="B366" s="19" t="str">
        <x:v>EXPANSION_36</x:v>
      </x:c>
      <x:c r="C366" s="31" t="str">
        <x:v>NOT_EXPOSED_IN_REPORT</x:v>
      </x:c>
      <x:c r="D366" s="19" t="str">
        <x:v>7</x:v>
      </x:c>
      <x:c r="E366" s="19" t="str">
        <x:v>FT-A1842</x:v>
      </x:c>
      <x:c r="F366" s="31" t="str">
        <x:v>92° in the shade</x:v>
      </x:c>
      <x:c r="G366" s="19" t="str">
        <x:v>A</x:v>
      </x:c>
      <x:c r="H366" s="19" t="str">
        <x:v>NOT_EXPOSED_IN_REPORT</x:v>
      </x:c>
      <x:c r="I366" s="19" t="str">
        <x:v>NOT_EXPOSED_IN_REPORT</x:v>
      </x:c>
      <x:c r="J366" s="19" t="str">
        <x:v>NOT_EXPOSED_IN_REPORT</x:v>
      </x:c>
      <x:c r="K366" s="19" t="str">
        <x:v>EXPANSION_ORDER=2;ORIGINAL_ROW_METADATA_NOT_EXPOSED</x:v>
      </x:c>
      <x:c r="L366" s="19" t="str">
        <x:v>NOT_EXPOSED_IN_REPORT</x:v>
      </x:c>
      <x:c r="M366" s="19" t="str">
        <x:v>EXPANSION_ORDER_02</x:v>
      </x:c>
      <x:c r="N366" s="31" t="str">
        <x:v>RECONSTRUCTED_FROM_REPORT</x:v>
      </x:c>
      <x:c r="O366" s="31" t="str">
        <x:v>UNRESOLVED</x:v>
      </x:c>
      <x:c r="P366" s="19" t="str">
        <x:v>Fear of Temperature_ Stratified Lexical Expansion, Voice Mapping, and Semantic-Relational Pre-Valida.pdf</x:v>
      </x:c>
      <x:c r="Q366" s="31" t="str">
        <x:v>RECONSTRUCTED_FROM_REPORT</x:v>
      </x:c>
      <x:c r="R366" s="46" t="str">
        <x:v>New surrogate project ID assigned from the report's narrative Expansion list; original structured row identity and per-row voice/source metadata were unavailable.</x:v>
      </x:c>
    </x:row>
    <x:row r="367" ht="32" customHeight="1">
      <x:c r="A367" s="18" t="str">
        <x:v>FT-SEED-R1B-X-1842-03</x:v>
      </x:c>
      <x:c r="B367" s="19" t="str">
        <x:v>EXPANSION_36</x:v>
      </x:c>
      <x:c r="C367" s="31" t="str">
        <x:v>NOT_EXPOSED_IN_REPORT</x:v>
      </x:c>
      <x:c r="D367" s="19" t="str">
        <x:v>7</x:v>
      </x:c>
      <x:c r="E367" s="19" t="str">
        <x:v>FT-A1842</x:v>
      </x:c>
      <x:c r="F367" s="31" t="str">
        <x:v>80 yesterday in the shade</x:v>
      </x:c>
      <x:c r="G367" s="19" t="str">
        <x:v>A</x:v>
      </x:c>
      <x:c r="H367" s="19" t="str">
        <x:v>NOT_EXPOSED_IN_REPORT</x:v>
      </x:c>
      <x:c r="I367" s="19" t="str">
        <x:v>NOT_EXPOSED_IN_REPORT</x:v>
      </x:c>
      <x:c r="J367" s="19" t="str">
        <x:v>NOT_EXPOSED_IN_REPORT</x:v>
      </x:c>
      <x:c r="K367" s="19" t="str">
        <x:v>EXPANSION_ORDER=3;ORIGINAL_ROW_METADATA_NOT_EXPOSED</x:v>
      </x:c>
      <x:c r="L367" s="19" t="str">
        <x:v>NOT_EXPOSED_IN_REPORT</x:v>
      </x:c>
      <x:c r="M367" s="19" t="str">
        <x:v>EXPANSION_ORDER_03</x:v>
      </x:c>
      <x:c r="N367" s="31" t="str">
        <x:v>RECONSTRUCTED_FROM_REPORT</x:v>
      </x:c>
      <x:c r="O367" s="31" t="str">
        <x:v>UNRESOLVED</x:v>
      </x:c>
      <x:c r="P367" s="19" t="str">
        <x:v>Fear of Temperature_ Stratified Lexical Expansion, Voice Mapping, and Semantic-Relational Pre-Valida.pdf</x:v>
      </x:c>
      <x:c r="Q367" s="31" t="str">
        <x:v>RECONSTRUCTED_FROM_REPORT</x:v>
      </x:c>
      <x:c r="R367" s="46" t="str">
        <x:v>New surrogate project ID assigned from the report's narrative Expansion list; original structured row identity and per-row voice/source metadata were unavailable.</x:v>
      </x:c>
    </x:row>
    <x:row r="368" ht="32" customHeight="1">
      <x:c r="A368" s="18" t="str">
        <x:v>FT-SEED-R1B-X-1842-04</x:v>
      </x:c>
      <x:c r="B368" s="19" t="str">
        <x:v>EXPANSION_36</x:v>
      </x:c>
      <x:c r="C368" s="31" t="str">
        <x:v>NOT_EXPOSED_IN_REPORT</x:v>
      </x:c>
      <x:c r="D368" s="19" t="str">
        <x:v>7</x:v>
      </x:c>
      <x:c r="E368" s="19" t="str">
        <x:v>FT-A1842</x:v>
      </x:c>
      <x:c r="F368" s="31" t="str">
        <x:v>very depressing effect on the energies</x:v>
      </x:c>
      <x:c r="G368" s="19" t="str">
        <x:v>C</x:v>
      </x:c>
      <x:c r="H368" s="19" t="str">
        <x:v>NOT_EXPOSED_IN_REPORT</x:v>
      </x:c>
      <x:c r="I368" s="19" t="str">
        <x:v>NOT_EXPOSED_IN_REPORT</x:v>
      </x:c>
      <x:c r="J368" s="19" t="str">
        <x:v>NOT_EXPOSED_IN_REPORT</x:v>
      </x:c>
      <x:c r="K368" s="19" t="str">
        <x:v>EXPANSION_ORDER=4;ORIGINAL_ROW_METADATA_NOT_EXPOSED</x:v>
      </x:c>
      <x:c r="L368" s="19" t="str">
        <x:v>NOT_EXPOSED_IN_REPORT</x:v>
      </x:c>
      <x:c r="M368" s="19" t="str">
        <x:v>EXPANSION_ORDER_04</x:v>
      </x:c>
      <x:c r="N368" s="31" t="str">
        <x:v>RECONSTRUCTED_FROM_REPORT</x:v>
      </x:c>
      <x:c r="O368" s="31" t="str">
        <x:v>UNRESOLVED</x:v>
      </x:c>
      <x:c r="P368" s="19" t="str">
        <x:v>Fear of Temperature_ Stratified Lexical Expansion, Voice Mapping, and Semantic-Relational Pre-Valida.pdf</x:v>
      </x:c>
      <x:c r="Q368" s="31" t="str">
        <x:v>RECONSTRUCTED_FROM_REPORT</x:v>
      </x:c>
      <x:c r="R368" s="46" t="str">
        <x:v>New surrogate project ID assigned from the report's narrative Expansion list; original structured row identity and per-row voice/source metadata were unavailable.</x:v>
      </x:c>
    </x:row>
    <x:row r="369" ht="32" customHeight="1">
      <x:c r="A369" s="18" t="str">
        <x:v>FT-SEED-R1B-X-1842-05</x:v>
      </x:c>
      <x:c r="B369" s="19" t="str">
        <x:v>EXPANSION_36</x:v>
      </x:c>
      <x:c r="C369" s="31" t="str">
        <x:v>NOT_EXPOSED_IN_REPORT</x:v>
      </x:c>
      <x:c r="D369" s="19" t="str">
        <x:v>7</x:v>
      </x:c>
      <x:c r="E369" s="19" t="str">
        <x:v>FT-A1842</x:v>
      </x:c>
      <x:c r="F369" s="31" t="str">
        <x:v>fatal</x:v>
      </x:c>
      <x:c r="G369" s="19" t="str">
        <x:v>D</x:v>
      </x:c>
      <x:c r="H369" s="19" t="str">
        <x:v>NOT_EXPOSED_IN_REPORT</x:v>
      </x:c>
      <x:c r="I369" s="19" t="str">
        <x:v>NOT_EXPOSED_IN_REPORT</x:v>
      </x:c>
      <x:c r="J369" s="19" t="str">
        <x:v>NOT_EXPOSED_IN_REPORT</x:v>
      </x:c>
      <x:c r="K369" s="19" t="str">
        <x:v>EXPANSION_ORDER=5;ORIGINAL_ROW_METADATA_NOT_EXPOSED</x:v>
      </x:c>
      <x:c r="L369" s="19" t="str">
        <x:v>NOT_EXPOSED_IN_REPORT</x:v>
      </x:c>
      <x:c r="M369" s="19" t="str">
        <x:v>EXPANSION_ORDER_05</x:v>
      </x:c>
      <x:c r="N369" s="31" t="str">
        <x:v>RECONSTRUCTED_FROM_REPORT</x:v>
      </x:c>
      <x:c r="O369" s="31" t="str">
        <x:v>UNRESOLVED</x:v>
      </x:c>
      <x:c r="P369" s="19" t="str">
        <x:v>Fear of Temperature_ Stratified Lexical Expansion, Voice Mapping, and Semantic-Relational Pre-Valida.pdf</x:v>
      </x:c>
      <x:c r="Q369" s="31" t="str">
        <x:v>RECONSTRUCTED_FROM_REPORT</x:v>
      </x:c>
      <x:c r="R369" s="46" t="str">
        <x:v>New surrogate project ID assigned from the report's narrative Expansion list; original structured row identity and per-row voice/source metadata were unavailable.</x:v>
      </x:c>
    </x:row>
    <x:row r="370" ht="32" customHeight="1">
      <x:c r="A370" s="18" t="str">
        <x:v>FT-SEED-R1B-X-1842-06</x:v>
      </x:c>
      <x:c r="B370" s="19" t="str">
        <x:v>EXPANSION_36</x:v>
      </x:c>
      <x:c r="C370" s="31" t="str">
        <x:v>NOT_EXPOSED_IN_REPORT</x:v>
      </x:c>
      <x:c r="D370" s="19" t="str">
        <x:v>7</x:v>
      </x:c>
      <x:c r="E370" s="19" t="str">
        <x:v>FT-A1842</x:v>
      </x:c>
      <x:c r="F370" s="31" t="str">
        <x:v>mortality</x:v>
      </x:c>
      <x:c r="G370" s="19" t="str">
        <x:v>D</x:v>
      </x:c>
      <x:c r="H370" s="19" t="str">
        <x:v>NOT_EXPOSED_IN_REPORT</x:v>
      </x:c>
      <x:c r="I370" s="19" t="str">
        <x:v>NOT_EXPOSED_IN_REPORT</x:v>
      </x:c>
      <x:c r="J370" s="19" t="str">
        <x:v>NOT_EXPOSED_IN_REPORT</x:v>
      </x:c>
      <x:c r="K370" s="19" t="str">
        <x:v>EXPANSION_ORDER=6;ORIGINAL_ROW_METADATA_NOT_EXPOSED</x:v>
      </x:c>
      <x:c r="L370" s="19" t="str">
        <x:v>NOT_EXPOSED_IN_REPORT</x:v>
      </x:c>
      <x:c r="M370" s="19" t="str">
        <x:v>EXPANSION_ORDER_06</x:v>
      </x:c>
      <x:c r="N370" s="31" t="str">
        <x:v>RECONSTRUCTED_FROM_REPORT</x:v>
      </x:c>
      <x:c r="O370" s="31" t="str">
        <x:v>UNRESOLVED</x:v>
      </x:c>
      <x:c r="P370" s="19" t="str">
        <x:v>Fear of Temperature_ Stratified Lexical Expansion, Voice Mapping, and Semantic-Relational Pre-Valida.pdf</x:v>
      </x:c>
      <x:c r="Q370" s="31" t="str">
        <x:v>RECONSTRUCTED_FROM_REPORT</x:v>
      </x:c>
      <x:c r="R370" s="46" t="str">
        <x:v>New surrogate project ID assigned from the report's narrative Expansion list; original structured row identity and per-row voice/source metadata were unavailable.</x:v>
      </x:c>
    </x:row>
    <x:row r="371" ht="32" customHeight="1">
      <x:c r="A371" s="18" t="str">
        <x:v>FT-SEED-R1B-X-1938-01</x:v>
      </x:c>
      <x:c r="B371" s="19" t="str">
        <x:v>EXPANSION_36</x:v>
      </x:c>
      <x:c r="C371" s="31" t="str">
        <x:v>NOT_EXPOSED_IN_REPORT</x:v>
      </x:c>
      <x:c r="D371" s="19" t="str">
        <x:v>8</x:v>
      </x:c>
      <x:c r="E371" s="19" t="str">
        <x:v>FT-A1938</x:v>
      </x:c>
      <x:c r="F371" s="31" t="str">
        <x:v>blinding sun</x:v>
      </x:c>
      <x:c r="G371" s="19" t="str">
        <x:v>D</x:v>
      </x:c>
      <x:c r="H371" s="19" t="str">
        <x:v>NOT_EXPOSED_IN_REPORT</x:v>
      </x:c>
      <x:c r="I371" s="19" t="str">
        <x:v>NOT_EXPOSED_IN_REPORT</x:v>
      </x:c>
      <x:c r="J371" s="19" t="str">
        <x:v>NOT_EXPOSED_IN_REPORT</x:v>
      </x:c>
      <x:c r="K371" s="19" t="str">
        <x:v>EXPANSION_ORDER=1;ORIGINAL_ROW_METADATA_NOT_EXPOSED</x:v>
      </x:c>
      <x:c r="L371" s="19" t="str">
        <x:v>NOT_EXPOSED_IN_REPORT</x:v>
      </x:c>
      <x:c r="M371" s="19" t="str">
        <x:v>EXPANSION_ORDER_01</x:v>
      </x:c>
      <x:c r="N371" s="31" t="str">
        <x:v>RECONSTRUCTED_FROM_REPORT</x:v>
      </x:c>
      <x:c r="O371" s="31" t="str">
        <x:v>UNRESOLVED</x:v>
      </x:c>
      <x:c r="P371" s="19" t="str">
        <x:v>Fear of Temperature_ Stratified Lexical Expansion, Voice Mapping, and Semantic-Relational Pre-Valida.pdf</x:v>
      </x:c>
      <x:c r="Q371" s="31" t="str">
        <x:v>RECONSTRUCTED_FROM_REPORT</x:v>
      </x:c>
      <x:c r="R371" s="46" t="str">
        <x:v>New surrogate project ID assigned from the report's narrative Expansion list; original structured row identity and per-row voice/source metadata were unavailable.</x:v>
      </x:c>
    </x:row>
    <x:row r="372" ht="32" customHeight="1">
      <x:c r="A372" s="18" t="str">
        <x:v>FT-SEED-R1B-X-1938-02</x:v>
      </x:c>
      <x:c r="B372" s="19" t="str">
        <x:v>EXPANSION_36</x:v>
      </x:c>
      <x:c r="C372" s="31" t="str">
        <x:v>NOT_EXPOSED_IN_REPORT</x:v>
      </x:c>
      <x:c r="D372" s="19" t="str">
        <x:v>8</x:v>
      </x:c>
      <x:c r="E372" s="19" t="str">
        <x:v>FT-A1938</x:v>
      </x:c>
      <x:c r="F372" s="31" t="str">
        <x:v>choking death from thirst and starvation</x:v>
      </x:c>
      <x:c r="G372" s="19" t="str">
        <x:v>D</x:v>
      </x:c>
      <x:c r="H372" s="19" t="str">
        <x:v>NOT_EXPOSED_IN_REPORT</x:v>
      </x:c>
      <x:c r="I372" s="19" t="str">
        <x:v>NOT_EXPOSED_IN_REPORT</x:v>
      </x:c>
      <x:c r="J372" s="19" t="str">
        <x:v>NOT_EXPOSED_IN_REPORT</x:v>
      </x:c>
      <x:c r="K372" s="19" t="str">
        <x:v>EXPANSION_ORDER=2;ORIGINAL_ROW_METADATA_NOT_EXPOSED</x:v>
      </x:c>
      <x:c r="L372" s="19" t="str">
        <x:v>NOT_EXPOSED_IN_REPORT</x:v>
      </x:c>
      <x:c r="M372" s="19" t="str">
        <x:v>EXPANSION_ORDER_02</x:v>
      </x:c>
      <x:c r="N372" s="31" t="str">
        <x:v>RECONSTRUCTED_FROM_REPORT</x:v>
      </x:c>
      <x:c r="O372" s="31" t="str">
        <x:v>UNRESOLVED</x:v>
      </x:c>
      <x:c r="P372" s="19" t="str">
        <x:v>Fear of Temperature_ Stratified Lexical Expansion, Voice Mapping, and Semantic-Relational Pre-Valida.pdf</x:v>
      </x:c>
      <x:c r="Q372" s="31" t="str">
        <x:v>RECONSTRUCTED_FROM_REPORT</x:v>
      </x:c>
      <x:c r="R372" s="46" t="str">
        <x:v>New surrogate project ID assigned from the report's narrative Expansion list; original structured row identity and per-row voice/source metadata were unavailable.</x:v>
      </x:c>
    </x:row>
    <x:row r="373" ht="32" customHeight="1">
      <x:c r="A373" s="18" t="str">
        <x:v>FT-SEED-R1B-X-1938-03</x:v>
      </x:c>
      <x:c r="B373" s="19" t="str">
        <x:v>EXPANSION_36</x:v>
      </x:c>
      <x:c r="C373" s="31" t="str">
        <x:v>NOT_EXPOSED_IN_REPORT</x:v>
      </x:c>
      <x:c r="D373" s="19" t="str">
        <x:v>8</x:v>
      </x:c>
      <x:c r="E373" s="19" t="str">
        <x:v>FT-A1938</x:v>
      </x:c>
      <x:c r="F373" s="31" t="str">
        <x:v>birds dropped dead</x:v>
      </x:c>
      <x:c r="G373" s="19" t="str">
        <x:v>D</x:v>
      </x:c>
      <x:c r="H373" s="19" t="str">
        <x:v>NOT_EXPOSED_IN_REPORT</x:v>
      </x:c>
      <x:c r="I373" s="19" t="str">
        <x:v>NOT_EXPOSED_IN_REPORT</x:v>
      </x:c>
      <x:c r="J373" s="19" t="str">
        <x:v>NOT_EXPOSED_IN_REPORT</x:v>
      </x:c>
      <x:c r="K373" s="19" t="str">
        <x:v>EXPANSION_ORDER=3;ORIGINAL_ROW_METADATA_NOT_EXPOSED</x:v>
      </x:c>
      <x:c r="L373" s="19" t="str">
        <x:v>NOT_EXPOSED_IN_REPORT</x:v>
      </x:c>
      <x:c r="M373" s="19" t="str">
        <x:v>EXPANSION_ORDER_03</x:v>
      </x:c>
      <x:c r="N373" s="31" t="str">
        <x:v>RECONSTRUCTED_FROM_REPORT</x:v>
      </x:c>
      <x:c r="O373" s="31" t="str">
        <x:v>UNRESOLVED</x:v>
      </x:c>
      <x:c r="P373" s="19" t="str">
        <x:v>Fear of Temperature_ Stratified Lexical Expansion, Voice Mapping, and Semantic-Relational Pre-Valida.pdf</x:v>
      </x:c>
      <x:c r="Q373" s="31" t="str">
        <x:v>RECONSTRUCTED_FROM_REPORT</x:v>
      </x:c>
      <x:c r="R373" s="46" t="str">
        <x:v>New surrogate project ID assigned from the report's narrative Expansion list; original structured row identity and per-row voice/source metadata were unavailable.</x:v>
      </x:c>
    </x:row>
    <x:row r="374" ht="32" customHeight="1">
      <x:c r="A374" s="18" t="str">
        <x:v>FT-SEED-R1B-X-1938-04</x:v>
      </x:c>
      <x:c r="B374" s="19" t="str">
        <x:v>EXPANSION_36</x:v>
      </x:c>
      <x:c r="C374" s="31" t="str">
        <x:v>NOT_EXPOSED_IN_REPORT</x:v>
      </x:c>
      <x:c r="D374" s="19" t="str">
        <x:v>8</x:v>
      </x:c>
      <x:c r="E374" s="19" t="str">
        <x:v>FT-A1938</x:v>
      </x:c>
      <x:c r="F374" s="31" t="str">
        <x:v>thermometers burst</x:v>
      </x:c>
      <x:c r="G374" s="19" t="str">
        <x:v>A</x:v>
      </x:c>
      <x:c r="H374" s="19" t="str">
        <x:v>NOT_EXPOSED_IN_REPORT</x:v>
      </x:c>
      <x:c r="I374" s="19" t="str">
        <x:v>NOT_EXPOSED_IN_REPORT</x:v>
      </x:c>
      <x:c r="J374" s="19" t="str">
        <x:v>NOT_EXPOSED_IN_REPORT</x:v>
      </x:c>
      <x:c r="K374" s="19" t="str">
        <x:v>EXPANSION_ORDER=4;ORIGINAL_ROW_METADATA_NOT_EXPOSED</x:v>
      </x:c>
      <x:c r="L374" s="19" t="str">
        <x:v>NOT_EXPOSED_IN_REPORT</x:v>
      </x:c>
      <x:c r="M374" s="19" t="str">
        <x:v>EXPANSION_ORDER_04</x:v>
      </x:c>
      <x:c r="N374" s="31" t="str">
        <x:v>RECONSTRUCTED_FROM_REPORT</x:v>
      </x:c>
      <x:c r="O374" s="31" t="str">
        <x:v>UNRESOLVED</x:v>
      </x:c>
      <x:c r="P374" s="19" t="str">
        <x:v>Fear of Temperature_ Stratified Lexical Expansion, Voice Mapping, and Semantic-Relational Pre-Valida.pdf</x:v>
      </x:c>
      <x:c r="Q374" s="31" t="str">
        <x:v>RECONSTRUCTED_FROM_REPORT</x:v>
      </x:c>
      <x:c r="R374" s="46" t="str">
        <x:v>New surrogate project ID assigned from the report's narrative Expansion list; original structured row identity and per-row voice/source metadata were unavailable.</x:v>
      </x:c>
    </x:row>
    <x:row r="375" ht="32" customHeight="1">
      <x:c r="A375" s="18" t="str">
        <x:v>FT-SEED-R1B-X-1938-05</x:v>
      </x:c>
      <x:c r="B375" s="19" t="str">
        <x:v>EXPANSION_36</x:v>
      </x:c>
      <x:c r="C375" s="31" t="str">
        <x:v>NOT_EXPOSED_IN_REPORT</x:v>
      </x:c>
      <x:c r="D375" s="19" t="str">
        <x:v>8</x:v>
      </x:c>
      <x:c r="E375" s="19" t="str">
        <x:v>FT-A1938</x:v>
      </x:c>
      <x:c r="F375" s="31" t="str">
        <x:v>heat-related illness</x:v>
      </x:c>
      <x:c r="G375" s="19" t="str">
        <x:v>D</x:v>
      </x:c>
      <x:c r="H375" s="19" t="str">
        <x:v>NOT_EXPOSED_IN_REPORT</x:v>
      </x:c>
      <x:c r="I375" s="19" t="str">
        <x:v>NOT_EXPOSED_IN_REPORT</x:v>
      </x:c>
      <x:c r="J375" s="19" t="str">
        <x:v>NOT_EXPOSED_IN_REPORT</x:v>
      </x:c>
      <x:c r="K375" s="19" t="str">
        <x:v>EXPANSION_ORDER=5;ORIGINAL_ROW_METADATA_NOT_EXPOSED</x:v>
      </x:c>
      <x:c r="L375" s="19" t="str">
        <x:v>NOT_EXPOSED_IN_REPORT</x:v>
      </x:c>
      <x:c r="M375" s="19" t="str">
        <x:v>EXPANSION_ORDER_05</x:v>
      </x:c>
      <x:c r="N375" s="31" t="str">
        <x:v>RECONSTRUCTED_FROM_REPORT</x:v>
      </x:c>
      <x:c r="O375" s="31" t="str">
        <x:v>UNRESOLVED</x:v>
      </x:c>
      <x:c r="P375" s="19" t="str">
        <x:v>Fear of Temperature_ Stratified Lexical Expansion, Voice Mapping, and Semantic-Relational Pre-Valida.pdf</x:v>
      </x:c>
      <x:c r="Q375" s="31" t="str">
        <x:v>RECONSTRUCTED_FROM_REPORT</x:v>
      </x:c>
      <x:c r="R375" s="46" t="str">
        <x:v>New surrogate project ID assigned from the report's narrative Expansion list; original structured row identity and per-row voice/source metadata were unavailable.</x:v>
      </x:c>
    </x:row>
    <x:row r="376" ht="32" customHeight="1">
      <x:c r="A376" s="18" t="str">
        <x:v>FT-SEED-R1B-X-1938-06</x:v>
      </x:c>
      <x:c r="B376" s="19" t="str">
        <x:v>EXPANSION_36</x:v>
      </x:c>
      <x:c r="C376" s="31" t="str">
        <x:v>NOT_EXPOSED_IN_REPORT</x:v>
      </x:c>
      <x:c r="D376" s="19" t="str">
        <x:v>8</x:v>
      </x:c>
      <x:c r="E376" s="19" t="str">
        <x:v>FT-A1938</x:v>
      </x:c>
      <x:c r="F376" s="31" t="str">
        <x:v>warming trend</x:v>
      </x:c>
      <x:c r="G376" s="19" t="str">
        <x:v>A</x:v>
      </x:c>
      <x:c r="H376" s="19" t="str">
        <x:v>NOT_EXPOSED_IN_REPORT</x:v>
      </x:c>
      <x:c r="I376" s="19" t="str">
        <x:v>NOT_EXPOSED_IN_REPORT</x:v>
      </x:c>
      <x:c r="J376" s="19" t="str">
        <x:v>NOT_EXPOSED_IN_REPORT</x:v>
      </x:c>
      <x:c r="K376" s="19" t="str">
        <x:v>EXPANSION_ORDER=6;ORIGINAL_ROW_METADATA_NOT_EXPOSED</x:v>
      </x:c>
      <x:c r="L376" s="19" t="str">
        <x:v>NOT_EXPOSED_IN_REPORT</x:v>
      </x:c>
      <x:c r="M376" s="19" t="str">
        <x:v>EXPANSION_ORDER_06</x:v>
      </x:c>
      <x:c r="N376" s="31" t="str">
        <x:v>RECONSTRUCTED_FROM_REPORT</x:v>
      </x:c>
      <x:c r="O376" s="31" t="str">
        <x:v>UNRESOLVED</x:v>
      </x:c>
      <x:c r="P376" s="19" t="str">
        <x:v>Fear of Temperature_ Stratified Lexical Expansion, Voice Mapping, and Semantic-Relational Pre-Valida.pdf</x:v>
      </x:c>
      <x:c r="Q376" s="31" t="str">
        <x:v>RECONSTRUCTED_FROM_REPORT</x:v>
      </x:c>
      <x:c r="R376" s="46" t="str">
        <x:v>New surrogate project ID assigned from the report's narrative Expansion list; original structured row identity and per-row voice/source metadata were unavailable.</x:v>
      </x:c>
    </x:row>
    <x:row r="377" ht="32" customHeight="1">
      <x:c r="A377" s="18" t="str">
        <x:v>FT-SEED-R1B-X-1988-01</x:v>
      </x:c>
      <x:c r="B377" s="19" t="str">
        <x:v>EXPANSION_36</x:v>
      </x:c>
      <x:c r="C377" s="31" t="str">
        <x:v>NOT_EXPOSED_IN_REPORT</x:v>
      </x:c>
      <x:c r="D377" s="19" t="str">
        <x:v>9</x:v>
      </x:c>
      <x:c r="E377" s="19" t="str">
        <x:v>FT-A1988</x:v>
      </x:c>
      <x:c r="F377" s="31" t="str">
        <x:v>enemy is invisible but deadly</x:v>
      </x:c>
      <x:c r="G377" s="19" t="str">
        <x:v>D</x:v>
      </x:c>
      <x:c r="H377" s="19" t="str">
        <x:v>NOT_EXPOSED_IN_REPORT</x:v>
      </x:c>
      <x:c r="I377" s="19" t="str">
        <x:v>NOT_EXPOSED_IN_REPORT</x:v>
      </x:c>
      <x:c r="J377" s="19" t="str">
        <x:v>NOT_EXPOSED_IN_REPORT</x:v>
      </x:c>
      <x:c r="K377" s="19" t="str">
        <x:v>EXPANSION_ORDER=1;ORIGINAL_ROW_METADATA_NOT_EXPOSED</x:v>
      </x:c>
      <x:c r="L377" s="19" t="str">
        <x:v>NOT_EXPOSED_IN_REPORT</x:v>
      </x:c>
      <x:c r="M377" s="19" t="str">
        <x:v>EXPANSION_ORDER_01</x:v>
      </x:c>
      <x:c r="N377" s="31" t="str">
        <x:v>RECONSTRUCTED_FROM_REPORT</x:v>
      </x:c>
      <x:c r="O377" s="31" t="str">
        <x:v>UNRESOLVED</x:v>
      </x:c>
      <x:c r="P377" s="19" t="str">
        <x:v>Fear of Temperature_ Stratified Lexical Expansion, Voice Mapping, and Semantic-Relational Pre-Valida.pdf</x:v>
      </x:c>
      <x:c r="Q377" s="31" t="str">
        <x:v>RECONSTRUCTED_FROM_REPORT</x:v>
      </x:c>
      <x:c r="R377" s="46" t="str">
        <x:v>New surrogate project ID assigned from the report's narrative Expansion list; original structured row identity and per-row voice/source metadata were unavailable.</x:v>
      </x:c>
    </x:row>
    <x:row r="378" ht="32" customHeight="1">
      <x:c r="A378" s="18" t="str">
        <x:v>FT-SEED-R1B-X-1988-02</x:v>
      </x:c>
      <x:c r="B378" s="19" t="str">
        <x:v>EXPANSION_36</x:v>
      </x:c>
      <x:c r="C378" s="31" t="str">
        <x:v>NOT_EXPOSED_IN_REPORT</x:v>
      </x:c>
      <x:c r="D378" s="19" t="str">
        <x:v>9</x:v>
      </x:c>
      <x:c r="E378" s="19" t="str">
        <x:v>FT-A1988</x:v>
      </x:c>
      <x:c r="F378" s="31" t="str">
        <x:v>traps heat from the sun</x:v>
      </x:c>
      <x:c r="G378" s="19" t="str">
        <x:v>B</x:v>
      </x:c>
      <x:c r="H378" s="19" t="str">
        <x:v>NOT_EXPOSED_IN_REPORT</x:v>
      </x:c>
      <x:c r="I378" s="19" t="str">
        <x:v>NOT_EXPOSED_IN_REPORT</x:v>
      </x:c>
      <x:c r="J378" s="19" t="str">
        <x:v>NOT_EXPOSED_IN_REPORT</x:v>
      </x:c>
      <x:c r="K378" s="19" t="str">
        <x:v>EXPANSION_ORDER=2;ORIGINAL_ROW_METADATA_NOT_EXPOSED</x:v>
      </x:c>
      <x:c r="L378" s="19" t="str">
        <x:v>NOT_EXPOSED_IN_REPORT</x:v>
      </x:c>
      <x:c r="M378" s="19" t="str">
        <x:v>EXPANSION_ORDER_02</x:v>
      </x:c>
      <x:c r="N378" s="31" t="str">
        <x:v>RECONSTRUCTED_FROM_REPORT</x:v>
      </x:c>
      <x:c r="O378" s="31" t="str">
        <x:v>UNRESOLVED</x:v>
      </x:c>
      <x:c r="P378" s="19" t="str">
        <x:v>Fear of Temperature_ Stratified Lexical Expansion, Voice Mapping, and Semantic-Relational Pre-Valida.pdf</x:v>
      </x:c>
      <x:c r="Q378" s="31" t="str">
        <x:v>RECONSTRUCTED_FROM_REPORT</x:v>
      </x:c>
      <x:c r="R378" s="46" t="str">
        <x:v>New surrogate project ID assigned from the report's narrative Expansion list; original structured row identity and per-row voice/source metadata were unavailable.</x:v>
      </x:c>
    </x:row>
    <x:row r="379" ht="32" customHeight="1">
      <x:c r="A379" s="18" t="str">
        <x:v>FT-SEED-R1B-X-1988-03</x:v>
      </x:c>
      <x:c r="B379" s="19" t="str">
        <x:v>EXPANSION_36</x:v>
      </x:c>
      <x:c r="C379" s="31" t="str">
        <x:v>NOT_EXPOSED_IN_REPORT</x:v>
      </x:c>
      <x:c r="D379" s="19" t="str">
        <x:v>9</x:v>
      </x:c>
      <x:c r="E379" s="19" t="str">
        <x:v>FT-A1988</x:v>
      </x:c>
      <x:c r="F379" s="31" t="str">
        <x:v>global nuclear war</x:v>
      </x:c>
      <x:c r="G379" s="19" t="str">
        <x:v>D</x:v>
      </x:c>
      <x:c r="H379" s="19" t="str">
        <x:v>NOT_EXPOSED_IN_REPORT</x:v>
      </x:c>
      <x:c r="I379" s="19" t="str">
        <x:v>NOT_EXPOSED_IN_REPORT</x:v>
      </x:c>
      <x:c r="J379" s="19" t="str">
        <x:v>NOT_EXPOSED_IN_REPORT</x:v>
      </x:c>
      <x:c r="K379" s="19" t="str">
        <x:v>EXPANSION_ORDER=3;ORIGINAL_ROW_METADATA_NOT_EXPOSED</x:v>
      </x:c>
      <x:c r="L379" s="19" t="str">
        <x:v>NOT_EXPOSED_IN_REPORT</x:v>
      </x:c>
      <x:c r="M379" s="19" t="str">
        <x:v>EXPANSION_ORDER_03</x:v>
      </x:c>
      <x:c r="N379" s="31" t="str">
        <x:v>RECONSTRUCTED_FROM_REPORT</x:v>
      </x:c>
      <x:c r="O379" s="31" t="str">
        <x:v>UNRESOLVED</x:v>
      </x:c>
      <x:c r="P379" s="19" t="str">
        <x:v>Fear of Temperature_ Stratified Lexical Expansion, Voice Mapping, and Semantic-Relational Pre-Valida.pdf</x:v>
      </x:c>
      <x:c r="Q379" s="31" t="str">
        <x:v>RECONSTRUCTED_FROM_REPORT</x:v>
      </x:c>
      <x:c r="R379" s="46" t="str">
        <x:v>New surrogate project ID assigned from the report's narrative Expansion list; original structured row identity and per-row voice/source metadata were unavailable.</x:v>
      </x:c>
    </x:row>
    <x:row r="380" ht="32" customHeight="1">
      <x:c r="A380" s="18" t="str">
        <x:v>FT-SEED-R1B-X-1988-04</x:v>
      </x:c>
      <x:c r="B380" s="19" t="str">
        <x:v>EXPANSION_36</x:v>
      </x:c>
      <x:c r="C380" s="31" t="str">
        <x:v>NOT_EXPOSED_IN_REPORT</x:v>
      </x:c>
      <x:c r="D380" s="19" t="str">
        <x:v>9</x:v>
      </x:c>
      <x:c r="E380" s="19" t="str">
        <x:v>FT-A1988</x:v>
      </x:c>
      <x:c r="F380" s="31" t="str">
        <x:v>high degree of confidence</x:v>
      </x:c>
      <x:c r="G380" s="19" t="str">
        <x:v>C</x:v>
      </x:c>
      <x:c r="H380" s="19" t="str">
        <x:v>NOT_EXPOSED_IN_REPORT</x:v>
      </x:c>
      <x:c r="I380" s="19" t="str">
        <x:v>NOT_EXPOSED_IN_REPORT</x:v>
      </x:c>
      <x:c r="J380" s="19" t="str">
        <x:v>NOT_EXPOSED_IN_REPORT</x:v>
      </x:c>
      <x:c r="K380" s="19" t="str">
        <x:v>EXPANSION_ORDER=4;ORIGINAL_ROW_METADATA_NOT_EXPOSED</x:v>
      </x:c>
      <x:c r="L380" s="19" t="str">
        <x:v>NOT_EXPOSED_IN_REPORT</x:v>
      </x:c>
      <x:c r="M380" s="19" t="str">
        <x:v>EXPANSION_ORDER_04</x:v>
      </x:c>
      <x:c r="N380" s="31" t="str">
        <x:v>RECONSTRUCTED_FROM_REPORT</x:v>
      </x:c>
      <x:c r="O380" s="31" t="str">
        <x:v>UNRESOLVED</x:v>
      </x:c>
      <x:c r="P380" s="19" t="str">
        <x:v>Fear of Temperature_ Stratified Lexical Expansion, Voice Mapping, and Semantic-Relational Pre-Valida.pdf</x:v>
      </x:c>
      <x:c r="Q380" s="31" t="str">
        <x:v>RECONSTRUCTED_FROM_REPORT</x:v>
      </x:c>
      <x:c r="R380" s="46" t="str">
        <x:v>New surrogate project ID assigned from the report's narrative Expansion list; original structured row identity and per-row voice/source metadata were unavailable.</x:v>
      </x:c>
    </x:row>
    <x:row r="381" ht="32" customHeight="1">
      <x:c r="A381" s="18" t="str">
        <x:v>FT-SEED-R1B-X-1988-05</x:v>
      </x:c>
      <x:c r="B381" s="19" t="str">
        <x:v>EXPANSION_36</x:v>
      </x:c>
      <x:c r="C381" s="31" t="str">
        <x:v>NOT_EXPOSED_IN_REPORT</x:v>
      </x:c>
      <x:c r="D381" s="19" t="str">
        <x:v>9</x:v>
      </x:c>
      <x:c r="E381" s="19" t="str">
        <x:v>FT-A1988</x:v>
      </x:c>
      <x:c r="F381" s="31" t="str">
        <x:v>probability of occurrence</x:v>
      </x:c>
      <x:c r="G381" s="19" t="str">
        <x:v>D</x:v>
      </x:c>
      <x:c r="H381" s="19" t="str">
        <x:v>NOT_EXPOSED_IN_REPORT</x:v>
      </x:c>
      <x:c r="I381" s="19" t="str">
        <x:v>NOT_EXPOSED_IN_REPORT</x:v>
      </x:c>
      <x:c r="J381" s="19" t="str">
        <x:v>NOT_EXPOSED_IN_REPORT</x:v>
      </x:c>
      <x:c r="K381" s="19" t="str">
        <x:v>EXPANSION_ORDER=5;ORIGINAL_ROW_METADATA_NOT_EXPOSED</x:v>
      </x:c>
      <x:c r="L381" s="19" t="str">
        <x:v>NOT_EXPOSED_IN_REPORT</x:v>
      </x:c>
      <x:c r="M381" s="19" t="str">
        <x:v>EXPANSION_ORDER_05</x:v>
      </x:c>
      <x:c r="N381" s="31" t="str">
        <x:v>RECONSTRUCTED_FROM_REPORT</x:v>
      </x:c>
      <x:c r="O381" s="31" t="str">
        <x:v>UNRESOLVED</x:v>
      </x:c>
      <x:c r="P381" s="19" t="str">
        <x:v>Fear of Temperature_ Stratified Lexical Expansion, Voice Mapping, and Semantic-Relational Pre-Valida.pdf</x:v>
      </x:c>
      <x:c r="Q381" s="31" t="str">
        <x:v>RECONSTRUCTED_FROM_REPORT</x:v>
      </x:c>
      <x:c r="R381" s="46" t="str">
        <x:v>New surrogate project ID assigned from the report's narrative Expansion list; original structured row identity and per-row voice/source metadata were unavailable.</x:v>
      </x:c>
    </x:row>
    <x:row r="382" ht="32" customHeight="1">
      <x:c r="A382" s="18" t="str">
        <x:v>FT-SEED-R1B-X-1988-06</x:v>
      </x:c>
      <x:c r="B382" s="19" t="str">
        <x:v>EXPANSION_36</x:v>
      </x:c>
      <x:c r="C382" s="31" t="str">
        <x:v>NOT_EXPOSED_IN_REPORT</x:v>
      </x:c>
      <x:c r="D382" s="19" t="str">
        <x:v>9</x:v>
      </x:c>
      <x:c r="E382" s="19" t="str">
        <x:v>FT-A1988</x:v>
      </x:c>
      <x:c r="F382" s="31" t="str">
        <x:v>more frequent</x:v>
      </x:c>
      <x:c r="G382" s="19" t="str">
        <x:v>A</x:v>
      </x:c>
      <x:c r="H382" s="19" t="str">
        <x:v>NOT_EXPOSED_IN_REPORT</x:v>
      </x:c>
      <x:c r="I382" s="19" t="str">
        <x:v>NOT_EXPOSED_IN_REPORT</x:v>
      </x:c>
      <x:c r="J382" s="19" t="str">
        <x:v>NOT_EXPOSED_IN_REPORT</x:v>
      </x:c>
      <x:c r="K382" s="19" t="str">
        <x:v>EXPANSION_ORDER=6;ORIGINAL_ROW_METADATA_NOT_EXPOSED</x:v>
      </x:c>
      <x:c r="L382" s="19" t="str">
        <x:v>NOT_EXPOSED_IN_REPORT</x:v>
      </x:c>
      <x:c r="M382" s="19" t="str">
        <x:v>EXPANSION_ORDER_06</x:v>
      </x:c>
      <x:c r="N382" s="31" t="str">
        <x:v>RECONSTRUCTED_FROM_REPORT</x:v>
      </x:c>
      <x:c r="O382" s="31" t="str">
        <x:v>UNRESOLVED</x:v>
      </x:c>
      <x:c r="P382" s="19" t="str">
        <x:v>Fear of Temperature_ Stratified Lexical Expansion, Voice Mapping, and Semantic-Relational Pre-Valida.pdf</x:v>
      </x:c>
      <x:c r="Q382" s="31" t="str">
        <x:v>RECONSTRUCTED_FROM_REPORT</x:v>
      </x:c>
      <x:c r="R382" s="46" t="str">
        <x:v>New surrogate project ID assigned from the report's narrative Expansion list; original structured row identity and per-row voice/source metadata were unavailable.</x:v>
      </x:c>
    </x:row>
    <x:row r="383" ht="32" customHeight="1">
      <x:c r="A383" s="18" t="str">
        <x:v>FT-SEED-R1B-X-0607-01</x:v>
      </x:c>
      <x:c r="B383" s="19" t="str">
        <x:v>EXPANSION_36</x:v>
      </x:c>
      <x:c r="C383" s="31" t="str">
        <x:v>NOT_EXPOSED_IN_REPORT</x:v>
      </x:c>
      <x:c r="D383" s="19" t="str">
        <x:v>10</x:v>
      </x:c>
      <x:c r="E383" s="19" t="str">
        <x:v>FT-A0607</x:v>
      </x:c>
      <x:c r="F383" s="31" t="str">
        <x:v>effects already begun</x:v>
      </x:c>
      <x:c r="G383" s="19" t="str">
        <x:v>D</x:v>
      </x:c>
      <x:c r="H383" s="19" t="str">
        <x:v>NOT_EXPOSED_IN_REPORT</x:v>
      </x:c>
      <x:c r="I383" s="19" t="str">
        <x:v>NOT_EXPOSED_IN_REPORT</x:v>
      </x:c>
      <x:c r="J383" s="19" t="str">
        <x:v>NOT_EXPOSED_IN_REPORT</x:v>
      </x:c>
      <x:c r="K383" s="19" t="str">
        <x:v>EXPANSION_ORDER=1;ORIGINAL_ROW_METADATA_NOT_EXPOSED</x:v>
      </x:c>
      <x:c r="L383" s="19" t="str">
        <x:v>NOT_EXPOSED_IN_REPORT</x:v>
      </x:c>
      <x:c r="M383" s="19" t="str">
        <x:v>EXPANSION_ORDER_01</x:v>
      </x:c>
      <x:c r="N383" s="31" t="str">
        <x:v>RECONSTRUCTED_FROM_REPORT</x:v>
      </x:c>
      <x:c r="O383" s="31" t="str">
        <x:v>UNRESOLVED</x:v>
      </x:c>
      <x:c r="P383" s="19" t="str">
        <x:v>Fear of Temperature_ Stratified Lexical Expansion, Voice Mapping, and Semantic-Relational Pre-Valida.pdf</x:v>
      </x:c>
      <x:c r="Q383" s="31" t="str">
        <x:v>RECONSTRUCTED_FROM_REPORT</x:v>
      </x:c>
      <x:c r="R383" s="46" t="str">
        <x:v>New surrogate project ID assigned from the report's narrative Expansion list; original structured row identity and per-row voice/source metadata were unavailable.</x:v>
      </x:c>
    </x:row>
    <x:row r="384" ht="32" customHeight="1">
      <x:c r="A384" s="18" t="str">
        <x:v>FT-SEED-R1B-X-0607-02</x:v>
      </x:c>
      <x:c r="B384" s="19" t="str">
        <x:v>EXPANSION_36</x:v>
      </x:c>
      <x:c r="C384" s="31" t="str">
        <x:v>NOT_EXPOSED_IN_REPORT</x:v>
      </x:c>
      <x:c r="D384" s="19" t="str">
        <x:v>10</x:v>
      </x:c>
      <x:c r="E384" s="19" t="str">
        <x:v>FT-A0607</x:v>
      </x:c>
      <x:c r="F384" s="31" t="str">
        <x:v>human activities</x:v>
      </x:c>
      <x:c r="G384" s="19" t="str">
        <x:v>B</x:v>
      </x:c>
      <x:c r="H384" s="19" t="str">
        <x:v>NOT_EXPOSED_IN_REPORT</x:v>
      </x:c>
      <x:c r="I384" s="19" t="str">
        <x:v>NOT_EXPOSED_IN_REPORT</x:v>
      </x:c>
      <x:c r="J384" s="19" t="str">
        <x:v>NOT_EXPOSED_IN_REPORT</x:v>
      </x:c>
      <x:c r="K384" s="19" t="str">
        <x:v>EXPANSION_ORDER=2;ORIGINAL_ROW_METADATA_NOT_EXPOSED</x:v>
      </x:c>
      <x:c r="L384" s="19" t="str">
        <x:v>NOT_EXPOSED_IN_REPORT</x:v>
      </x:c>
      <x:c r="M384" s="19" t="str">
        <x:v>EXPANSION_ORDER_02</x:v>
      </x:c>
      <x:c r="N384" s="31" t="str">
        <x:v>RECONSTRUCTED_FROM_REPORT</x:v>
      </x:c>
      <x:c r="O384" s="31" t="str">
        <x:v>UNRESOLVED</x:v>
      </x:c>
      <x:c r="P384" s="19" t="str">
        <x:v>Fear of Temperature_ Stratified Lexical Expansion, Voice Mapping, and Semantic-Relational Pre-Valida.pdf</x:v>
      </x:c>
      <x:c r="Q384" s="31" t="str">
        <x:v>RECONSTRUCTED_FROM_REPORT</x:v>
      </x:c>
      <x:c r="R384" s="46" t="str">
        <x:v>New surrogate project ID assigned from the report's narrative Expansion list; original structured row identity and per-row voice/source metadata were unavailable.</x:v>
      </x:c>
    </x:row>
    <x:row r="385" ht="32" customHeight="1">
      <x:c r="A385" s="18" t="str">
        <x:v>FT-SEED-R1B-X-0607-03</x:v>
      </x:c>
      <x:c r="B385" s="19" t="str">
        <x:v>EXPANSION_36</x:v>
      </x:c>
      <x:c r="C385" s="31" t="str">
        <x:v>NOT_EXPOSED_IN_REPORT</x:v>
      </x:c>
      <x:c r="D385" s="19" t="str">
        <x:v>10</x:v>
      </x:c>
      <x:c r="E385" s="19" t="str">
        <x:v>FT-A0607</x:v>
      </x:c>
      <x:c r="F385" s="31" t="str">
        <x:v>media underestimates problem</x:v>
      </x:c>
      <x:c r="G385" s="19" t="str">
        <x:v>C</x:v>
      </x:c>
      <x:c r="H385" s="19" t="str">
        <x:v>NOT_EXPOSED_IN_REPORT</x:v>
      </x:c>
      <x:c r="I385" s="19" t="str">
        <x:v>NOT_EXPOSED_IN_REPORT</x:v>
      </x:c>
      <x:c r="J385" s="19" t="str">
        <x:v>NOT_EXPOSED_IN_REPORT</x:v>
      </x:c>
      <x:c r="K385" s="19" t="str">
        <x:v>EXPANSION_ORDER=3;ORIGINAL_ROW_METADATA_NOT_EXPOSED</x:v>
      </x:c>
      <x:c r="L385" s="19" t="str">
        <x:v>NOT_EXPOSED_IN_REPORT</x:v>
      </x:c>
      <x:c r="M385" s="19" t="str">
        <x:v>EXPANSION_ORDER_03</x:v>
      </x:c>
      <x:c r="N385" s="31" t="str">
        <x:v>RECONSTRUCTED_FROM_REPORT</x:v>
      </x:c>
      <x:c r="O385" s="31" t="str">
        <x:v>UNRESOLVED</x:v>
      </x:c>
      <x:c r="P385" s="19" t="str">
        <x:v>Fear of Temperature_ Stratified Lexical Expansion, Voice Mapping, and Semantic-Relational Pre-Valida.pdf</x:v>
      </x:c>
      <x:c r="Q385" s="31" t="str">
        <x:v>RECONSTRUCTED_FROM_REPORT</x:v>
      </x:c>
      <x:c r="R385" s="46" t="str">
        <x:v>New surrogate project ID assigned from the report's narrative Expansion list; original structured row identity and per-row voice/source metadata were unavailable.</x:v>
      </x:c>
    </x:row>
    <x:row r="386" ht="32" customHeight="1">
      <x:c r="A386" s="18" t="str">
        <x:v>FT-SEED-R1B-X-0607-04</x:v>
      </x:c>
      <x:c r="B386" s="19" t="str">
        <x:v>EXPANSION_36</x:v>
      </x:c>
      <x:c r="C386" s="31" t="str">
        <x:v>NOT_EXPOSED_IN_REPORT</x:v>
      </x:c>
      <x:c r="D386" s="19" t="str">
        <x:v>10</x:v>
      </x:c>
      <x:c r="E386" s="19" t="str">
        <x:v>FT-A0607</x:v>
      </x:c>
      <x:c r="F386" s="31" t="str">
        <x:v>very serious concern</x:v>
      </x:c>
      <x:c r="G386" s="19" t="str">
        <x:v>C</x:v>
      </x:c>
      <x:c r="H386" s="19" t="str">
        <x:v>NOT_EXPOSED_IN_REPORT</x:v>
      </x:c>
      <x:c r="I386" s="19" t="str">
        <x:v>NOT_EXPOSED_IN_REPORT</x:v>
      </x:c>
      <x:c r="J386" s="19" t="str">
        <x:v>NOT_EXPOSED_IN_REPORT</x:v>
      </x:c>
      <x:c r="K386" s="19" t="str">
        <x:v>EXPANSION_ORDER=4;ORIGINAL_ROW_METADATA_NOT_EXPOSED</x:v>
      </x:c>
      <x:c r="L386" s="19" t="str">
        <x:v>NOT_EXPOSED_IN_REPORT</x:v>
      </x:c>
      <x:c r="M386" s="19" t="str">
        <x:v>EXPANSION_ORDER_04</x:v>
      </x:c>
      <x:c r="N386" s="31" t="str">
        <x:v>RECONSTRUCTED_FROM_REPORT</x:v>
      </x:c>
      <x:c r="O386" s="31" t="str">
        <x:v>UNRESOLVED</x:v>
      </x:c>
      <x:c r="P386" s="19" t="str">
        <x:v>Fear of Temperature_ Stratified Lexical Expansion, Voice Mapping, and Semantic-Relational Pre-Valida.pdf</x:v>
      </x:c>
      <x:c r="Q386" s="31" t="str">
        <x:v>RECONSTRUCTED_FROM_REPORT</x:v>
      </x:c>
      <x:c r="R386" s="46" t="str">
        <x:v>New surrogate project ID assigned from the report's narrative Expansion list; original structured row identity and per-row voice/source metadata were unavailable.</x:v>
      </x:c>
    </x:row>
    <x:row r="387" ht="32" customHeight="1">
      <x:c r="A387" s="18" t="str">
        <x:v>FT-SEED-R1B-X-0607-05</x:v>
      </x:c>
      <x:c r="B387" s="19" t="str">
        <x:v>EXPANSION_36</x:v>
      </x:c>
      <x:c r="C387" s="31" t="str">
        <x:v>NOT_EXPOSED_IN_REPORT</x:v>
      </x:c>
      <x:c r="D387" s="19" t="str">
        <x:v>10</x:v>
      </x:c>
      <x:c r="E387" s="19" t="str">
        <x:v>FT-A0607</x:v>
      </x:c>
      <x:c r="F387" s="31" t="str">
        <x:v>religious duty</x:v>
      </x:c>
      <x:c r="G387" s="19" t="str">
        <x:v>C</x:v>
      </x:c>
      <x:c r="H387" s="19" t="str">
        <x:v>NOT_EXPOSED_IN_REPORT</x:v>
      </x:c>
      <x:c r="I387" s="19" t="str">
        <x:v>NOT_EXPOSED_IN_REPORT</x:v>
      </x:c>
      <x:c r="J387" s="19" t="str">
        <x:v>NOT_EXPOSED_IN_REPORT</x:v>
      </x:c>
      <x:c r="K387" s="19" t="str">
        <x:v>EXPANSION_ORDER=5;ORIGINAL_ROW_METADATA_NOT_EXPOSED</x:v>
      </x:c>
      <x:c r="L387" s="19" t="str">
        <x:v>NOT_EXPOSED_IN_REPORT</x:v>
      </x:c>
      <x:c r="M387" s="19" t="str">
        <x:v>EXPANSION_ORDER_05</x:v>
      </x:c>
      <x:c r="N387" s="31" t="str">
        <x:v>RECONSTRUCTED_FROM_REPORT</x:v>
      </x:c>
      <x:c r="O387" s="31" t="str">
        <x:v>UNRESOLVED</x:v>
      </x:c>
      <x:c r="P387" s="19" t="str">
        <x:v>Fear of Temperature_ Stratified Lexical Expansion, Voice Mapping, and Semantic-Relational Pre-Valida.pdf</x:v>
      </x:c>
      <x:c r="Q387" s="31" t="str">
        <x:v>RECONSTRUCTED_FROM_REPORT</x:v>
      </x:c>
      <x:c r="R387" s="46" t="str">
        <x:v>New surrogate project ID assigned from the report's narrative Expansion list; original structured row identity and per-row voice/source metadata were unavailable.</x:v>
      </x:c>
    </x:row>
    <x:row r="388" ht="32" customHeight="1">
      <x:c r="A388" s="18" t="str">
        <x:v>FT-SEED-R1B-X-0607-06</x:v>
      </x:c>
      <x:c r="B388" s="19" t="str">
        <x:v>EXPANSION_36</x:v>
      </x:c>
      <x:c r="C388" s="31" t="str">
        <x:v>NOT_EXPOSED_IN_REPORT</x:v>
      </x:c>
      <x:c r="D388" s="19" t="str">
        <x:v>10</x:v>
      </x:c>
      <x:c r="E388" s="19" t="str">
        <x:v>FT-A0607</x:v>
      </x:c>
      <x:c r="F388" s="31" t="str">
        <x:v>serious challenge of global climate change</x:v>
      </x:c>
      <x:c r="G388" s="19" t="str">
        <x:v>D</x:v>
      </x:c>
      <x:c r="H388" s="19" t="str">
        <x:v>NOT_EXPOSED_IN_REPORT</x:v>
      </x:c>
      <x:c r="I388" s="19" t="str">
        <x:v>NOT_EXPOSED_IN_REPORT</x:v>
      </x:c>
      <x:c r="J388" s="19" t="str">
        <x:v>NOT_EXPOSED_IN_REPORT</x:v>
      </x:c>
      <x:c r="K388" s="19" t="str">
        <x:v>EXPANSION_ORDER=6;ORIGINAL_ROW_METADATA_NOT_EXPOSED</x:v>
      </x:c>
      <x:c r="L388" s="19" t="str">
        <x:v>NOT_EXPOSED_IN_REPORT</x:v>
      </x:c>
      <x:c r="M388" s="19" t="str">
        <x:v>EXPANSION_ORDER_06</x:v>
      </x:c>
      <x:c r="N388" s="31" t="str">
        <x:v>RECONSTRUCTED_FROM_REPORT</x:v>
      </x:c>
      <x:c r="O388" s="31" t="str">
        <x:v>UNRESOLVED</x:v>
      </x:c>
      <x:c r="P388" s="19" t="str">
        <x:v>Fear of Temperature_ Stratified Lexical Expansion, Voice Mapping, and Semantic-Relational Pre-Valida.pdf</x:v>
      </x:c>
      <x:c r="Q388" s="31" t="str">
        <x:v>RECONSTRUCTED_FROM_REPORT</x:v>
      </x:c>
      <x:c r="R388" s="46" t="str">
        <x:v>New surrogate project ID assigned from the report's narrative Expansion list; original structured row identity and per-row voice/source metadata were unavailable.</x:v>
      </x:c>
    </x:row>
    <x:row r="389" ht="32" customHeight="1">
      <x:c r="A389" s="18" t="str">
        <x:v>FT-SEED-R1B-X-2015-01</x:v>
      </x:c>
      <x:c r="B389" s="19" t="str">
        <x:v>EXPANSION_36</x:v>
      </x:c>
      <x:c r="C389" s="31" t="str">
        <x:v>NOT_EXPOSED_IN_REPORT</x:v>
      </x:c>
      <x:c r="D389" s="19" t="str">
        <x:v>12</x:v>
      </x:c>
      <x:c r="E389" s="19" t="str">
        <x:v>FT-A2015</x:v>
      </x:c>
      <x:c r="F389" s="31" t="str">
        <x:v>severe weather</x:v>
      </x:c>
      <x:c r="G389" s="19" t="str">
        <x:v>D</x:v>
      </x:c>
      <x:c r="H389" s="19" t="str">
        <x:v>NOT_EXPOSED_IN_REPORT</x:v>
      </x:c>
      <x:c r="I389" s="19" t="str">
        <x:v>NOT_EXPOSED_IN_REPORT</x:v>
      </x:c>
      <x:c r="J389" s="19" t="str">
        <x:v>NOT_EXPOSED_IN_REPORT</x:v>
      </x:c>
      <x:c r="K389" s="19" t="str">
        <x:v>EXPANSION_ORDER=1;ORIGINAL_ROW_METADATA_NOT_EXPOSED</x:v>
      </x:c>
      <x:c r="L389" s="19" t="str">
        <x:v>NOT_EXPOSED_IN_REPORT</x:v>
      </x:c>
      <x:c r="M389" s="19" t="str">
        <x:v>EXPANSION_ORDER_01</x:v>
      </x:c>
      <x:c r="N389" s="31" t="str">
        <x:v>RECONSTRUCTED_FROM_REPORT</x:v>
      </x:c>
      <x:c r="O389" s="31" t="str">
        <x:v>UNRESOLVED</x:v>
      </x:c>
      <x:c r="P389" s="19" t="str">
        <x:v>Fear of Temperature_ Stratified Lexical Expansion, Voice Mapping, and Semantic-Relational Pre-Valida.pdf</x:v>
      </x:c>
      <x:c r="Q389" s="31" t="str">
        <x:v>RECONSTRUCTED_FROM_REPORT</x:v>
      </x:c>
      <x:c r="R389" s="46" t="str">
        <x:v>New surrogate project ID assigned from the report's narrative Expansion list; original structured row identity and per-row voice/source metadata were unavailable.</x:v>
      </x:c>
    </x:row>
    <x:row r="390" ht="32" customHeight="1">
      <x:c r="A390" s="18" t="str">
        <x:v>FT-SEED-R1B-X-2015-02</x:v>
      </x:c>
      <x:c r="B390" s="19" t="str">
        <x:v>EXPANSION_36</x:v>
      </x:c>
      <x:c r="C390" s="31" t="str">
        <x:v>NOT_EXPOSED_IN_REPORT</x:v>
      </x:c>
      <x:c r="D390" s="19" t="str">
        <x:v>12</x:v>
      </x:c>
      <x:c r="E390" s="19" t="str">
        <x:v>FT-A2015</x:v>
      </x:c>
      <x:c r="F390" s="31" t="str">
        <x:v>long periods of unusually hot weather</x:v>
      </x:c>
      <x:c r="G390" s="19" t="str">
        <x:v>A</x:v>
      </x:c>
      <x:c r="H390" s="19" t="str">
        <x:v>NOT_EXPOSED_IN_REPORT</x:v>
      </x:c>
      <x:c r="I390" s="19" t="str">
        <x:v>NOT_EXPOSED_IN_REPORT</x:v>
      </x:c>
      <x:c r="J390" s="19" t="str">
        <x:v>NOT_EXPOSED_IN_REPORT</x:v>
      </x:c>
      <x:c r="K390" s="19" t="str">
        <x:v>EXPANSION_ORDER=2;ORIGINAL_ROW_METADATA_NOT_EXPOSED</x:v>
      </x:c>
      <x:c r="L390" s="19" t="str">
        <x:v>NOT_EXPOSED_IN_REPORT</x:v>
      </x:c>
      <x:c r="M390" s="19" t="str">
        <x:v>EXPANSION_ORDER_02</x:v>
      </x:c>
      <x:c r="N390" s="31" t="str">
        <x:v>RECONSTRUCTED_FROM_REPORT</x:v>
      </x:c>
      <x:c r="O390" s="31" t="str">
        <x:v>UNRESOLVED</x:v>
      </x:c>
      <x:c r="P390" s="19" t="str">
        <x:v>Fear of Temperature_ Stratified Lexical Expansion, Voice Mapping, and Semantic-Relational Pre-Valida.pdf</x:v>
      </x:c>
      <x:c r="Q390" s="31" t="str">
        <x:v>RECONSTRUCTED_FROM_REPORT</x:v>
      </x:c>
      <x:c r="R390" s="46" t="str">
        <x:v>New surrogate project ID assigned from the report's narrative Expansion list; original structured row identity and per-row voice/source metadata were unavailable.</x:v>
      </x:c>
    </x:row>
    <x:row r="391" ht="32" customHeight="1">
      <x:c r="A391" s="18" t="str">
        <x:v>FT-SEED-R1B-X-2015-03</x:v>
      </x:c>
      <x:c r="B391" s="19" t="str">
        <x:v>EXPANSION_36</x:v>
      </x:c>
      <x:c r="C391" s="31" t="str">
        <x:v>NOT_EXPOSED_IN_REPORT</x:v>
      </x:c>
      <x:c r="D391" s="19" t="str">
        <x:v>12</x:v>
      </x:c>
      <x:c r="E391" s="19" t="str">
        <x:v>FT-A2015</x:v>
      </x:c>
      <x:c r="F391" s="31" t="str">
        <x:v>red line</x:v>
      </x:c>
      <x:c r="G391" s="19" t="str">
        <x:v>D</x:v>
      </x:c>
      <x:c r="H391" s="19" t="str">
        <x:v>NOT_EXPOSED_IN_REPORT</x:v>
      </x:c>
      <x:c r="I391" s="19" t="str">
        <x:v>NOT_EXPOSED_IN_REPORT</x:v>
      </x:c>
      <x:c r="J391" s="19" t="str">
        <x:v>NOT_EXPOSED_IN_REPORT</x:v>
      </x:c>
      <x:c r="K391" s="19" t="str">
        <x:v>EXPANSION_ORDER=3;ORIGINAL_ROW_METADATA_NOT_EXPOSED</x:v>
      </x:c>
      <x:c r="L391" s="19" t="str">
        <x:v>NOT_EXPOSED_IN_REPORT</x:v>
      </x:c>
      <x:c r="M391" s="19" t="str">
        <x:v>EXPANSION_ORDER_03</x:v>
      </x:c>
      <x:c r="N391" s="31" t="str">
        <x:v>RECONSTRUCTED_FROM_REPORT</x:v>
      </x:c>
      <x:c r="O391" s="31" t="str">
        <x:v>UNRESOLVED</x:v>
      </x:c>
      <x:c r="P391" s="19" t="str">
        <x:v>Fear of Temperature_ Stratified Lexical Expansion, Voice Mapping, and Semantic-Relational Pre-Valida.pdf</x:v>
      </x:c>
      <x:c r="Q391" s="31" t="str">
        <x:v>RECONSTRUCTED_FROM_REPORT</x:v>
      </x:c>
      <x:c r="R391" s="46" t="str">
        <x:v>New surrogate project ID assigned from the report's narrative Expansion list; original structured row identity and per-row voice/source metadata were unavailable.</x:v>
      </x:c>
    </x:row>
    <x:row r="392" ht="32" customHeight="1">
      <x:c r="A392" s="18" t="str">
        <x:v>FT-SEED-R1B-X-2015-04</x:v>
      </x:c>
      <x:c r="B392" s="19" t="str">
        <x:v>EXPANSION_36</x:v>
      </x:c>
      <x:c r="C392" s="31" t="str">
        <x:v>NOT_EXPOSED_IN_REPORT</x:v>
      </x:c>
      <x:c r="D392" s="19" t="str">
        <x:v>12</x:v>
      </x:c>
      <x:c r="E392" s="19" t="str">
        <x:v>FT-A2015</x:v>
      </x:c>
      <x:c r="F392" s="31" t="str">
        <x:v>at risk from climate change</x:v>
      </x:c>
      <x:c r="G392" s="19" t="str">
        <x:v>D</x:v>
      </x:c>
      <x:c r="H392" s="19" t="str">
        <x:v>NOT_EXPOSED_IN_REPORT</x:v>
      </x:c>
      <x:c r="I392" s="19" t="str">
        <x:v>NOT_EXPOSED_IN_REPORT</x:v>
      </x:c>
      <x:c r="J392" s="19" t="str">
        <x:v>NOT_EXPOSED_IN_REPORT</x:v>
      </x:c>
      <x:c r="K392" s="19" t="str">
        <x:v>EXPANSION_ORDER=4;ORIGINAL_ROW_METADATA_NOT_EXPOSED</x:v>
      </x:c>
      <x:c r="L392" s="19" t="str">
        <x:v>NOT_EXPOSED_IN_REPORT</x:v>
      </x:c>
      <x:c r="M392" s="19" t="str">
        <x:v>EXPANSION_ORDER_04</x:v>
      </x:c>
      <x:c r="N392" s="31" t="str">
        <x:v>RECONSTRUCTED_FROM_REPORT</x:v>
      </x:c>
      <x:c r="O392" s="31" t="str">
        <x:v>UNRESOLVED</x:v>
      </x:c>
      <x:c r="P392" s="19" t="str">
        <x:v>Fear of Temperature_ Stratified Lexical Expansion, Voice Mapping, and Semantic-Relational Pre-Valida.pdf</x:v>
      </x:c>
      <x:c r="Q392" s="31" t="str">
        <x:v>RECONSTRUCTED_FROM_REPORT</x:v>
      </x:c>
      <x:c r="R392" s="46" t="str">
        <x:v>New surrogate project ID assigned from the report's narrative Expansion list; original structured row identity and per-row voice/source metadata were unavailable.</x:v>
      </x:c>
    </x:row>
    <x:row r="393" ht="32" customHeight="1">
      <x:c r="A393" s="18" t="str">
        <x:v>FT-SEED-R1B-X-2015-05</x:v>
      </x:c>
      <x:c r="B393" s="19" t="str">
        <x:v>EXPANSION_36</x:v>
      </x:c>
      <x:c r="C393" s="31" t="str">
        <x:v>NOT_EXPOSED_IN_REPORT</x:v>
      </x:c>
      <x:c r="D393" s="19" t="str">
        <x:v>12</x:v>
      </x:c>
      <x:c r="E393" s="19" t="str">
        <x:v>FT-A2015</x:v>
      </x:c>
      <x:c r="F393" s="31" t="str">
        <x:v>for the planet</x:v>
      </x:c>
      <x:c r="G393" s="19" t="str">
        <x:v>D</x:v>
      </x:c>
      <x:c r="H393" s="19" t="str">
        <x:v>NOT_EXPOSED_IN_REPORT</x:v>
      </x:c>
      <x:c r="I393" s="19" t="str">
        <x:v>NOT_EXPOSED_IN_REPORT</x:v>
      </x:c>
      <x:c r="J393" s="19" t="str">
        <x:v>NOT_EXPOSED_IN_REPORT</x:v>
      </x:c>
      <x:c r="K393" s="19" t="str">
        <x:v>EXPANSION_ORDER=5;ORIGINAL_ROW_METADATA_NOT_EXPOSED</x:v>
      </x:c>
      <x:c r="L393" s="19" t="str">
        <x:v>NOT_EXPOSED_IN_REPORT</x:v>
      </x:c>
      <x:c r="M393" s="19" t="str">
        <x:v>EXPANSION_ORDER_05</x:v>
      </x:c>
      <x:c r="N393" s="31" t="str">
        <x:v>RECONSTRUCTED_FROM_REPORT</x:v>
      </x:c>
      <x:c r="O393" s="31" t="str">
        <x:v>UNRESOLVED</x:v>
      </x:c>
      <x:c r="P393" s="19" t="str">
        <x:v>Fear of Temperature_ Stratified Lexical Expansion, Voice Mapping, and Semantic-Relational Pre-Valida.pdf</x:v>
      </x:c>
      <x:c r="Q393" s="31" t="str">
        <x:v>RECONSTRUCTED_FROM_REPORT</x:v>
      </x:c>
      <x:c r="R393" s="46" t="str">
        <x:v>New surrogate project ID assigned from the report's narrative Expansion list; original structured row identity and per-row voice/source metadata were unavailable.</x:v>
      </x:c>
    </x:row>
    <x:row r="394" ht="32" customHeight="1">
      <x:c r="A394" s="18" t="str">
        <x:v>FT-SEED-R1B-X-2015-06</x:v>
      </x:c>
      <x:c r="B394" s="19" t="str">
        <x:v>EXPANSION_36</x:v>
      </x:c>
      <x:c r="C394" s="31" t="str">
        <x:v>NOT_EXPOSED_IN_REPORT</x:v>
      </x:c>
      <x:c r="D394" s="19" t="str">
        <x:v>12</x:v>
      </x:c>
      <x:c r="E394" s="19" t="str">
        <x:v>FT-A2015</x:v>
      </x:c>
      <x:c r="F394" s="31" t="str">
        <x:v>future generations</x:v>
      </x:c>
      <x:c r="G394" s="19" t="str">
        <x:v>D</x:v>
      </x:c>
      <x:c r="H394" s="19" t="str">
        <x:v>NOT_EXPOSED_IN_REPORT</x:v>
      </x:c>
      <x:c r="I394" s="19" t="str">
        <x:v>NOT_EXPOSED_IN_REPORT</x:v>
      </x:c>
      <x:c r="J394" s="19" t="str">
        <x:v>NOT_EXPOSED_IN_REPORT</x:v>
      </x:c>
      <x:c r="K394" s="19" t="str">
        <x:v>EXPANSION_ORDER=6;ORIGINAL_ROW_METADATA_NOT_EXPOSED</x:v>
      </x:c>
      <x:c r="L394" s="19" t="str">
        <x:v>NOT_EXPOSED_IN_REPORT</x:v>
      </x:c>
      <x:c r="M394" s="19" t="str">
        <x:v>EXPANSION_ORDER_06</x:v>
      </x:c>
      <x:c r="N394" s="31" t="str">
        <x:v>RECONSTRUCTED_FROM_REPORT</x:v>
      </x:c>
      <x:c r="O394" s="31" t="str">
        <x:v>UNRESOLVED</x:v>
      </x:c>
      <x:c r="P394" s="19" t="str">
        <x:v>Fear of Temperature_ Stratified Lexical Expansion, Voice Mapping, and Semantic-Relational Pre-Valida.pdf</x:v>
      </x:c>
      <x:c r="Q394" s="31" t="str">
        <x:v>RECONSTRUCTED_FROM_REPORT</x:v>
      </x:c>
      <x:c r="R394" s="46" t="str">
        <x:v>New surrogate project ID assigned from the report's narrative Expansion list; original structured row identity and per-row voice/source metadata were unavailable.</x:v>
      </x:c>
    </x:row>
    <x:row r="395" ht="32" customHeight="1">
      <x:c r="A395" s="18" t="str">
        <x:v>FT-SEED-R1B-X-2022-01</x:v>
      </x:c>
      <x:c r="B395" s="19" t="str">
        <x:v>EXPANSION_36</x:v>
      </x:c>
      <x:c r="C395" s="31" t="str">
        <x:v>NOT_EXPOSED_IN_REPORT</x:v>
      </x:c>
      <x:c r="D395" s="19" t="str">
        <x:v>13</x:v>
      </x:c>
      <x:c r="E395" s="19" t="str">
        <x:v>FT-A2022</x:v>
      </x:c>
      <x:c r="F395" s="31" t="str">
        <x:v>climate worry</x:v>
      </x:c>
      <x:c r="G395" s="19" t="str">
        <x:v>C</x:v>
      </x:c>
      <x:c r="H395" s="19" t="str">
        <x:v>NOT_EXPOSED_IN_REPORT</x:v>
      </x:c>
      <x:c r="I395" s="19" t="str">
        <x:v>NOT_EXPOSED_IN_REPORT</x:v>
      </x:c>
      <x:c r="J395" s="19" t="str">
        <x:v>NOT_EXPOSED_IN_REPORT</x:v>
      </x:c>
      <x:c r="K395" s="19" t="str">
        <x:v>EXPANSION_ORDER=1;ORIGINAL_ROW_METADATA_NOT_EXPOSED</x:v>
      </x:c>
      <x:c r="L395" s="19" t="str">
        <x:v>NOT_EXPOSED_IN_REPORT</x:v>
      </x:c>
      <x:c r="M395" s="19" t="str">
        <x:v>EXPANSION_ORDER_01</x:v>
      </x:c>
      <x:c r="N395" s="31" t="str">
        <x:v>RECONSTRUCTED_FROM_REPORT</x:v>
      </x:c>
      <x:c r="O395" s="31" t="str">
        <x:v>UNRESOLVED</x:v>
      </x:c>
      <x:c r="P395" s="19" t="str">
        <x:v>Fear of Temperature_ Stratified Lexical Expansion, Voice Mapping, and Semantic-Relational Pre-Valida.pdf</x:v>
      </x:c>
      <x:c r="Q395" s="31" t="str">
        <x:v>RECONSTRUCTED_FROM_REPORT</x:v>
      </x:c>
      <x:c r="R395" s="46" t="str">
        <x:v>New surrogate project ID assigned from the report's narrative Expansion list; original structured row identity and per-row voice/source metadata were unavailable.</x:v>
      </x:c>
    </x:row>
    <x:row r="396" ht="32" customHeight="1">
      <x:c r="A396" s="18" t="str">
        <x:v>FT-SEED-R1B-X-2022-02</x:v>
      </x:c>
      <x:c r="B396" s="19" t="str">
        <x:v>EXPANSION_36</x:v>
      </x:c>
      <x:c r="C396" s="31" t="str">
        <x:v>NOT_EXPOSED_IN_REPORT</x:v>
      </x:c>
      <x:c r="D396" s="19" t="str">
        <x:v>13</x:v>
      </x:c>
      <x:c r="E396" s="19" t="str">
        <x:v>FT-A2022</x:v>
      </x:c>
      <x:c r="F396" s="31" t="str">
        <x:v>chronic uncertainty</x:v>
      </x:c>
      <x:c r="G396" s="19" t="str">
        <x:v>C</x:v>
      </x:c>
      <x:c r="H396" s="19" t="str">
        <x:v>NOT_EXPOSED_IN_REPORT</x:v>
      </x:c>
      <x:c r="I396" s="19" t="str">
        <x:v>NOT_EXPOSED_IN_REPORT</x:v>
      </x:c>
      <x:c r="J396" s="19" t="str">
        <x:v>NOT_EXPOSED_IN_REPORT</x:v>
      </x:c>
      <x:c r="K396" s="19" t="str">
        <x:v>EXPANSION_ORDER=2;ORIGINAL_ROW_METADATA_NOT_EXPOSED</x:v>
      </x:c>
      <x:c r="L396" s="19" t="str">
        <x:v>NOT_EXPOSED_IN_REPORT</x:v>
      </x:c>
      <x:c r="M396" s="19" t="str">
        <x:v>EXPANSION_ORDER_02</x:v>
      </x:c>
      <x:c r="N396" s="31" t="str">
        <x:v>RECONSTRUCTED_FROM_REPORT</x:v>
      </x:c>
      <x:c r="O396" s="31" t="str">
        <x:v>UNRESOLVED</x:v>
      </x:c>
      <x:c r="P396" s="19" t="str">
        <x:v>Fear of Temperature_ Stratified Lexical Expansion, Voice Mapping, and Semantic-Relational Pre-Valida.pdf</x:v>
      </x:c>
      <x:c r="Q396" s="31" t="str">
        <x:v>RECONSTRUCTED_FROM_REPORT</x:v>
      </x:c>
      <x:c r="R396" s="46" t="str">
        <x:v>New surrogate project ID assigned from the report's narrative Expansion list; original structured row identity and per-row voice/source metadata were unavailable.</x:v>
      </x:c>
    </x:row>
    <x:row r="397" ht="32" customHeight="1">
      <x:c r="A397" s="18" t="str">
        <x:v>FT-SEED-R1B-X-2022-03</x:v>
      </x:c>
      <x:c r="B397" s="19" t="str">
        <x:v>EXPANSION_36</x:v>
      </x:c>
      <x:c r="C397" s="31" t="str">
        <x:v>NOT_EXPOSED_IN_REPORT</x:v>
      </x:c>
      <x:c r="D397" s="19" t="str">
        <x:v>13</x:v>
      </x:c>
      <x:c r="E397" s="19" t="str">
        <x:v>FT-A2022</x:v>
      </x:c>
      <x:c r="F397" s="31" t="str">
        <x:v>isolation</x:v>
      </x:c>
      <x:c r="G397" s="19" t="str">
        <x:v>C</x:v>
      </x:c>
      <x:c r="H397" s="19" t="str">
        <x:v>NOT_EXPOSED_IN_REPORT</x:v>
      </x:c>
      <x:c r="I397" s="19" t="str">
        <x:v>NOT_EXPOSED_IN_REPORT</x:v>
      </x:c>
      <x:c r="J397" s="19" t="str">
        <x:v>NOT_EXPOSED_IN_REPORT</x:v>
      </x:c>
      <x:c r="K397" s="19" t="str">
        <x:v>EXPANSION_ORDER=3;ORIGINAL_ROW_METADATA_NOT_EXPOSED</x:v>
      </x:c>
      <x:c r="L397" s="19" t="str">
        <x:v>NOT_EXPOSED_IN_REPORT</x:v>
      </x:c>
      <x:c r="M397" s="19" t="str">
        <x:v>EXPANSION_ORDER_03</x:v>
      </x:c>
      <x:c r="N397" s="31" t="str">
        <x:v>RECONSTRUCTED_FROM_REPORT</x:v>
      </x:c>
      <x:c r="O397" s="31" t="str">
        <x:v>UNRESOLVED</x:v>
      </x:c>
      <x:c r="P397" s="19" t="str">
        <x:v>Fear of Temperature_ Stratified Lexical Expansion, Voice Mapping, and Semantic-Relational Pre-Valida.pdf</x:v>
      </x:c>
      <x:c r="Q397" s="31" t="str">
        <x:v>RECONSTRUCTED_FROM_REPORT</x:v>
      </x:c>
      <x:c r="R397" s="46" t="str">
        <x:v>New surrogate project ID assigned from the report's narrative Expansion list; original structured row identity and per-row voice/source metadata were unavailable.</x:v>
      </x:c>
    </x:row>
    <x:row r="398" ht="32" customHeight="1">
      <x:c r="A398" s="18" t="str">
        <x:v>FT-SEED-R1B-X-2022-04</x:v>
      </x:c>
      <x:c r="B398" s="19" t="str">
        <x:v>EXPANSION_36</x:v>
      </x:c>
      <x:c r="C398" s="31" t="str">
        <x:v>NOT_EXPOSED_IN_REPORT</x:v>
      </x:c>
      <x:c r="D398" s="19" t="str">
        <x:v>13</x:v>
      </x:c>
      <x:c r="E398" s="19" t="str">
        <x:v>FT-A2022</x:v>
      </x:c>
      <x:c r="F398" s="31" t="str">
        <x:v>climate emergency</x:v>
      </x:c>
      <x:c r="G398" s="19" t="str">
        <x:v>D</x:v>
      </x:c>
      <x:c r="H398" s="19" t="str">
        <x:v>NOT_EXPOSED_IN_REPORT</x:v>
      </x:c>
      <x:c r="I398" s="19" t="str">
        <x:v>NOT_EXPOSED_IN_REPORT</x:v>
      </x:c>
      <x:c r="J398" s="19" t="str">
        <x:v>NOT_EXPOSED_IN_REPORT</x:v>
      </x:c>
      <x:c r="K398" s="19" t="str">
        <x:v>EXPANSION_ORDER=4;ORIGINAL_ROW_METADATA_NOT_EXPOSED</x:v>
      </x:c>
      <x:c r="L398" s="19" t="str">
        <x:v>NOT_EXPOSED_IN_REPORT</x:v>
      </x:c>
      <x:c r="M398" s="19" t="str">
        <x:v>EXPANSION_ORDER_04</x:v>
      </x:c>
      <x:c r="N398" s="31" t="str">
        <x:v>RECONSTRUCTED_FROM_REPORT</x:v>
      </x:c>
      <x:c r="O398" s="31" t="str">
        <x:v>UNRESOLVED</x:v>
      </x:c>
      <x:c r="P398" s="19" t="str">
        <x:v>Fear of Temperature_ Stratified Lexical Expansion, Voice Mapping, and Semantic-Relational Pre-Valida.pdf</x:v>
      </x:c>
      <x:c r="Q398" s="31" t="str">
        <x:v>RECONSTRUCTED_FROM_REPORT</x:v>
      </x:c>
      <x:c r="R398" s="46" t="str">
        <x:v>New surrogate project ID assigned from the report's narrative Expansion list; original structured row identity and per-row voice/source metadata were unavailable.</x:v>
      </x:c>
    </x:row>
    <x:row r="399" ht="32" customHeight="1">
      <x:c r="A399" s="18" t="str">
        <x:v>FT-SEED-R1B-X-2022-05</x:v>
      </x:c>
      <x:c r="B399" s="19" t="str">
        <x:v>EXPANSION_36</x:v>
      </x:c>
      <x:c r="C399" s="31" t="str">
        <x:v>NOT_EXPOSED_IN_REPORT</x:v>
      </x:c>
      <x:c r="D399" s="19" t="str">
        <x:v>13</x:v>
      </x:c>
      <x:c r="E399" s="19" t="str">
        <x:v>FT-A2022</x:v>
      </x:c>
      <x:c r="F399" s="31" t="str">
        <x:v>chronic fear of environmental doom</x:v>
      </x:c>
      <x:c r="G399" s="19" t="str">
        <x:v>C</x:v>
      </x:c>
      <x:c r="H399" s="19" t="str">
        <x:v>NOT_EXPOSED_IN_REPORT</x:v>
      </x:c>
      <x:c r="I399" s="19" t="str">
        <x:v>NOT_EXPOSED_IN_REPORT</x:v>
      </x:c>
      <x:c r="J399" s="19" t="str">
        <x:v>NOT_EXPOSED_IN_REPORT</x:v>
      </x:c>
      <x:c r="K399" s="19" t="str">
        <x:v>EXPANSION_ORDER=5;ORIGINAL_ROW_METADATA_NOT_EXPOSED</x:v>
      </x:c>
      <x:c r="L399" s="19" t="str">
        <x:v>NOT_EXPOSED_IN_REPORT</x:v>
      </x:c>
      <x:c r="M399" s="19" t="str">
        <x:v>EXPANSION_ORDER_05</x:v>
      </x:c>
      <x:c r="N399" s="31" t="str">
        <x:v>RECONSTRUCTED_FROM_REPORT</x:v>
      </x:c>
      <x:c r="O399" s="31" t="str">
        <x:v>UNRESOLVED</x:v>
      </x:c>
      <x:c r="P399" s="19" t="str">
        <x:v>Fear of Temperature_ Stratified Lexical Expansion, Voice Mapping, and Semantic-Relational Pre-Valida.pdf</x:v>
      </x:c>
      <x:c r="Q399" s="31" t="str">
        <x:v>RECONSTRUCTED_FROM_REPORT</x:v>
      </x:c>
      <x:c r="R399" s="46" t="str">
        <x:v>New surrogate project ID assigned from the report's narrative Expansion list; original structured row identity and per-row voice/source metadata were unavailable.</x:v>
      </x:c>
    </x:row>
    <x:row r="400" ht="32" customHeight="1">
      <x:c r="A400" s="21" t="str">
        <x:v>FT-SEED-R1B-X-2022-06</x:v>
      </x:c>
      <x:c r="B400" s="22" t="str">
        <x:v>EXPANSION_36</x:v>
      </x:c>
      <x:c r="C400" s="32" t="str">
        <x:v>NOT_EXPOSED_IN_REPORT</x:v>
      </x:c>
      <x:c r="D400" s="22" t="str">
        <x:v>13</x:v>
      </x:c>
      <x:c r="E400" s="22" t="str">
        <x:v>FT-A2022</x:v>
      </x:c>
      <x:c r="F400" s="32" t="str">
        <x:v>fear of a degraded Earth</x:v>
      </x:c>
      <x:c r="G400" s="22" t="str">
        <x:v>C</x:v>
      </x:c>
      <x:c r="H400" s="22" t="str">
        <x:v>NOT_EXPOSED_IN_REPORT</x:v>
      </x:c>
      <x:c r="I400" s="22" t="str">
        <x:v>NOT_EXPOSED_IN_REPORT</x:v>
      </x:c>
      <x:c r="J400" s="22" t="str">
        <x:v>NOT_EXPOSED_IN_REPORT</x:v>
      </x:c>
      <x:c r="K400" s="22" t="str">
        <x:v>EXPANSION_ORDER=6;ORIGINAL_ROW_METADATA_NOT_EXPOSED</x:v>
      </x:c>
      <x:c r="L400" s="22" t="str">
        <x:v>NOT_EXPOSED_IN_REPORT</x:v>
      </x:c>
      <x:c r="M400" s="22" t="str">
        <x:v>EXPANSION_ORDER_06</x:v>
      </x:c>
      <x:c r="N400" s="32" t="str">
        <x:v>RECONSTRUCTED_FROM_REPORT</x:v>
      </x:c>
      <x:c r="O400" s="32" t="str">
        <x:v>UNRESOLVED</x:v>
      </x:c>
      <x:c r="P400" s="22" t="str">
        <x:v>Fear of Temperature_ Stratified Lexical Expansion, Voice Mapping, and Semantic-Relational Pre-Valida.pdf</x:v>
      </x:c>
      <x:c r="Q400" s="32" t="str">
        <x:v>RECONSTRUCTED_FROM_REPORT</x:v>
      </x:c>
      <x:c r="R400" s="47" t="str">
        <x:v>New surrogate project ID assigned from the report's narrative Expansion list; original structured row identity and per-row voice/source metadata were unavailable.</x:v>
      </x:c>
    </x:row>
  </x:sheetData>
  <x:mergeCells>
    <x:mergeCell ref="A1:R1"/>
    <x:mergeCell ref="A2:R2"/>
  </x:mergeCells>
  <x:conditionalFormatting sqref="N5:N400">
    <x:cfRule type="containsText" dxfId="176" priority="1" operator="containsText" text="FULLY"/>
    <x:cfRule type="containsText" dxfId="177" priority="2" operator="containsText" text="SUCCESS"/>
    <x:cfRule type="containsText" dxfId="178" priority="3" operator="containsText" text="DIRECT_HEADWORD"/>
    <x:cfRule type="containsText" dxfId="179" priority="4" operator="containsText" text="TECHNICAL_GLOSSARY"/>
    <x:cfRule type="containsText" dxfId="180" priority="5" operator="containsText" text="ZERO"/>
    <x:cfRule type="containsText" dxfId="181" priority="6" operator="containsText" text="UNRESOLVED"/>
    <x:cfRule type="containsText" dxfId="182" priority="7" operator="containsText" text="PENDING"/>
    <x:cfRule type="containsText" dxfId="183" priority="8" operator="containsText" text="NOT_EXPOSED"/>
    <x:cfRule type="containsText" dxfId="184" priority="9" operator="containsText" text="NOT_ANNOTATED"/>
    <x:cfRule type="containsText" dxfId="185" priority="10" operator="containsText" text="NOT_LOCATED"/>
    <x:cfRule type="containsText" dxfId="186" priority="11" operator="containsText" text="NOT_APPLICABLE"/>
  </x:conditionalFormatting>
  <x:conditionalFormatting sqref="O5:O400">
    <x:cfRule type="containsText" dxfId="187" priority="12" operator="containsText" text="FULLY"/>
    <x:cfRule type="containsText" dxfId="188" priority="13" operator="containsText" text="SUCCESS"/>
    <x:cfRule type="containsText" dxfId="189" priority="14" operator="containsText" text="DIRECT_HEADWORD"/>
    <x:cfRule type="containsText" dxfId="190" priority="15" operator="containsText" text="TECHNICAL_GLOSSARY"/>
    <x:cfRule type="containsText" dxfId="191" priority="16" operator="containsText" text="ZERO"/>
    <x:cfRule type="containsText" dxfId="192" priority="17" operator="containsText" text="UNRESOLVED"/>
    <x:cfRule type="containsText" dxfId="193" priority="18" operator="containsText" text="PENDING"/>
    <x:cfRule type="containsText" dxfId="194" priority="19" operator="containsText" text="NOT_EXPOSED"/>
    <x:cfRule type="containsText" dxfId="195" priority="20" operator="containsText" text="NOT_ANNOTATED"/>
    <x:cfRule type="containsText" dxfId="196" priority="21" operator="containsText" text="NOT_LOCATED"/>
    <x:cfRule type="containsText" dxfId="197" priority="22" operator="containsText" text="NOT_APPLICABLE"/>
  </x:conditionalFormatting>
  <x:conditionalFormatting sqref="Q5:Q400">
    <x:cfRule type="containsText" dxfId="198" priority="23" operator="containsText" text="FULLY"/>
    <x:cfRule type="containsText" dxfId="199" priority="24" operator="containsText" text="SUCCESS"/>
    <x:cfRule type="containsText" dxfId="200" priority="25" operator="containsText" text="DIRECT_HEADWORD"/>
    <x:cfRule type="containsText" dxfId="201" priority="26" operator="containsText" text="TECHNICAL_GLOSSARY"/>
    <x:cfRule type="containsText" dxfId="202" priority="27" operator="containsText" text="ZERO"/>
    <x:cfRule type="containsText" dxfId="203" priority="28" operator="containsText" text="UNRESOLVED"/>
    <x:cfRule type="containsText" dxfId="204" priority="29" operator="containsText" text="PENDING"/>
    <x:cfRule type="containsText" dxfId="205" priority="30" operator="containsText" text="NOT_EXPOSED"/>
    <x:cfRule type="containsText" dxfId="206" priority="31" operator="containsText" text="NOT_ANNOTATED"/>
    <x:cfRule type="containsText" dxfId="207" priority="32" operator="containsText" text="NOT_LOCATED"/>
    <x:cfRule type="containsText" dxfId="208" priority="33" operator="containsText" text="NOT_APPLICABLE"/>
  </x:conditionalFormatting>
  <x:pageMargins left="0.7" right="0.7" top="0.75" bottom="0.75" header="0.3" footer="0.3"/>
  <x:tableParts count="1">
    <x:tablePart xmlns:r="http://schemas.openxmlformats.org/officeDocument/2006/relationships" r:id="R3783cb3b020d4d1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16" hidden="0" customWidth="1"/>
    <x:col min="4" max="4" width="16" hidden="0" customWidth="1"/>
    <x:col min="5" max="5" width="16" hidden="0" customWidth="1"/>
    <x:col min="6" max="6" width="23" hidden="0" customWidth="1"/>
    <x:col min="7" max="7" width="16" hidden="0" customWidth="1"/>
    <x:col min="8" max="8" width="16" hidden="0" customWidth="1"/>
    <x:col min="9" max="9" width="16" hidden="0" customWidth="1"/>
    <x:col min="10" max="10" width="16" hidden="0" customWidth="1"/>
    <x:col min="11" max="11" width="16"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6" hidden="0" customWidth="1"/>
    <x:col min="28" max="28" width="16" hidden="0" customWidth="1"/>
    <x:col min="29" max="29" width="42" hidden="0" customWidth="1"/>
  </x:cols>
  <x:sheetData>
    <x:row r="1" ht="38" customHeight="1">
      <x:c r="A1" s="3" t="str">
        <x:v>Keyword Frequency Master Table</x:v>
      </x:c>
      <x:c r="B1" s="3" t="str">
        <x:v>Keyword Frequency Master Table</x:v>
      </x:c>
      <x:c r="C1" s="3" t="str">
        <x:v>Keyword Frequency Master Table</x:v>
      </x:c>
      <x:c r="D1" s="3" t="str">
        <x:v>Keyword Frequency Master Table</x:v>
      </x:c>
      <x:c r="E1" s="3" t="str">
        <x:v>Keyword Frequency Master Table</x:v>
      </x:c>
      <x:c r="F1" s="3" t="str">
        <x:v>Keyword Frequency Master Table</x:v>
      </x:c>
      <x:c r="G1" s="3" t="str">
        <x:v>Keyword Frequency Master Table</x:v>
      </x:c>
      <x:c r="H1" s="3" t="str">
        <x:v>Keyword Frequency Master Table</x:v>
      </x:c>
      <x:c r="I1" s="3" t="str">
        <x:v>Keyword Frequency Master Table</x:v>
      </x:c>
      <x:c r="J1" s="3" t="str">
        <x:v>Keyword Frequency Master Table</x:v>
      </x:c>
      <x:c r="K1" s="3" t="str">
        <x:v>Keyword Frequency Master Table</x:v>
      </x:c>
      <x:c r="L1" s="3" t="str">
        <x:v>Keyword Frequency Master Table</x:v>
      </x:c>
      <x:c r="M1" s="3" t="str">
        <x:v>Keyword Frequency Master Table</x:v>
      </x:c>
      <x:c r="N1" s="3" t="str">
        <x:v>Keyword Frequency Master Table</x:v>
      </x:c>
      <x:c r="O1" s="3" t="str">
        <x:v>Keyword Frequency Master Table</x:v>
      </x:c>
      <x:c r="P1" s="3" t="str">
        <x:v>Keyword Frequency Master Table</x:v>
      </x:c>
      <x:c r="Q1" s="3" t="str">
        <x:v>Keyword Frequency Master Table</x:v>
      </x:c>
      <x:c r="R1" s="3" t="str">
        <x:v>Keyword Frequency Master Table</x:v>
      </x:c>
      <x:c r="S1" s="3" t="str">
        <x:v>Keyword Frequency Master Table</x:v>
      </x:c>
      <x:c r="T1" s="3" t="str">
        <x:v>Keyword Frequency Master Table</x:v>
      </x:c>
      <x:c r="U1" s="3" t="str">
        <x:v>Keyword Frequency Master Table</x:v>
      </x:c>
      <x:c r="V1" s="3" t="str">
        <x:v>Keyword Frequency Master Table</x:v>
      </x:c>
      <x:c r="W1" s="3" t="str">
        <x:v>Keyword Frequency Master Table</x:v>
      </x:c>
      <x:c r="X1" s="3" t="str">
        <x:v>Keyword Frequency Master Table</x:v>
      </x:c>
      <x:c r="Y1" s="3" t="str">
        <x:v>Keyword Frequency Master Table</x:v>
      </x:c>
      <x:c r="Z1" s="3" t="str">
        <x:v>Keyword Frequency Master Table</x:v>
      </x:c>
      <x:c r="AA1" s="3" t="str">
        <x:v>Keyword Frequency Master Table</x:v>
      </x:c>
      <x:c r="AB1" s="3" t="str">
        <x:v>Keyword Frequency Master Table</x:v>
      </x:c>
      <x:c r="AC1" s="3" t="str">
        <x:v>Keyword Frequency Master Table</x:v>
      </x:c>
    </x:row>
    <x:row r="2" ht="31" customHeight="1">
      <x:c r="A2" s="7" t="str">
        <x:v>Annual normalized Google Books Ngram values and descriptive statistics. Generic forms remain semantically ambiguous; family members are never summed.</x:v>
      </x:c>
      <x:c r="B2" s="7" t="str">
        <x:v>Annual normalized Google Books Ngram values and descriptive statistics. Generic forms remain semantically ambiguous; family members are never summed.</x:v>
      </x:c>
      <x:c r="C2" s="7" t="str">
        <x:v>Annual normalized Google Books Ngram values and descriptive statistics. Generic forms remain semantically ambiguous; family members are never summed.</x:v>
      </x:c>
      <x:c r="D2" s="7" t="str">
        <x:v>Annual normalized Google Books Ngram values and descriptive statistics. Generic forms remain semantically ambiguous; family members are never summed.</x:v>
      </x:c>
      <x:c r="E2" s="7" t="str">
        <x:v>Annual normalized Google Books Ngram values and descriptive statistics. Generic forms remain semantically ambiguous; family members are never summed.</x:v>
      </x:c>
      <x:c r="F2" s="7" t="str">
        <x:v>Annual normalized Google Books Ngram values and descriptive statistics. Generic forms remain semantically ambiguous; family members are never summed.</x:v>
      </x:c>
      <x:c r="G2" s="7" t="str">
        <x:v>Annual normalized Google Books Ngram values and descriptive statistics. Generic forms remain semantically ambiguous; family members are never summed.</x:v>
      </x:c>
      <x:c r="H2" s="7" t="str">
        <x:v>Annual normalized Google Books Ngram values and descriptive statistics. Generic forms remain semantically ambiguous; family members are never summed.</x:v>
      </x:c>
      <x:c r="I2" s="7" t="str">
        <x:v>Annual normalized Google Books Ngram values and descriptive statistics. Generic forms remain semantically ambiguous; family members are never summed.</x:v>
      </x:c>
      <x:c r="J2" s="7" t="str">
        <x:v>Annual normalized Google Books Ngram values and descriptive statistics. Generic forms remain semantically ambiguous; family members are never summed.</x:v>
      </x:c>
      <x:c r="K2" s="7" t="str">
        <x:v>Annual normalized Google Books Ngram values and descriptive statistics. Generic forms remain semantically ambiguous; family members are never summed.</x:v>
      </x:c>
      <x:c r="L2" s="7" t="str">
        <x:v>Annual normalized Google Books Ngram values and descriptive statistics. Generic forms remain semantically ambiguous; family members are never summed.</x:v>
      </x:c>
      <x:c r="M2" s="7" t="str">
        <x:v>Annual normalized Google Books Ngram values and descriptive statistics. Generic forms remain semantically ambiguous; family members are never summed.</x:v>
      </x:c>
      <x:c r="N2" s="7" t="str">
        <x:v>Annual normalized Google Books Ngram values and descriptive statistics. Generic forms remain semantically ambiguous; family members are never summed.</x:v>
      </x:c>
      <x:c r="O2" s="7" t="str">
        <x:v>Annual normalized Google Books Ngram values and descriptive statistics. Generic forms remain semantically ambiguous; family members are never summed.</x:v>
      </x:c>
      <x:c r="P2" s="7" t="str">
        <x:v>Annual normalized Google Books Ngram values and descriptive statistics. Generic forms remain semantically ambiguous; family members are never summed.</x:v>
      </x:c>
      <x:c r="Q2" s="7" t="str">
        <x:v>Annual normalized Google Books Ngram values and descriptive statistics. Generic forms remain semantically ambiguous; family members are never summed.</x:v>
      </x:c>
      <x:c r="R2" s="7" t="str">
        <x:v>Annual normalized Google Books Ngram values and descriptive statistics. Generic forms remain semantically ambiguous; family members are never summed.</x:v>
      </x:c>
      <x:c r="S2" s="7" t="str">
        <x:v>Annual normalized Google Books Ngram values and descriptive statistics. Generic forms remain semantically ambiguous; family members are never summed.</x:v>
      </x:c>
      <x:c r="T2" s="7" t="str">
        <x:v>Annual normalized Google Books Ngram values and descriptive statistics. Generic forms remain semantically ambiguous; family members are never summed.</x:v>
      </x:c>
      <x:c r="U2" s="7" t="str">
        <x:v>Annual normalized Google Books Ngram values and descriptive statistics. Generic forms remain semantically ambiguous; family members are never summed.</x:v>
      </x:c>
      <x:c r="V2" s="7" t="str">
        <x:v>Annual normalized Google Books Ngram values and descriptive statistics. Generic forms remain semantically ambiguous; family members are never summed.</x:v>
      </x:c>
      <x:c r="W2" s="7" t="str">
        <x:v>Annual normalized Google Books Ngram values and descriptive statistics. Generic forms remain semantically ambiguous; family members are never summed.</x:v>
      </x:c>
      <x:c r="X2" s="7" t="str">
        <x:v>Annual normalized Google Books Ngram values and descriptive statistics. Generic forms remain semantically ambiguous; family members are never summed.</x:v>
      </x:c>
      <x:c r="Y2" s="7" t="str">
        <x:v>Annual normalized Google Books Ngram values and descriptive statistics. Generic forms remain semantically ambiguous; family members are never summed.</x:v>
      </x:c>
      <x:c r="Z2" s="7" t="str">
        <x:v>Annual normalized Google Books Ngram values and descriptive statistics. Generic forms remain semantically ambiguous; family members are never summed.</x:v>
      </x:c>
      <x:c r="AA2" s="7" t="str">
        <x:v>Annual normalized Google Books Ngram values and descriptive statistics. Generic forms remain semantically ambiguous; family members are never summed.</x:v>
      </x:c>
      <x:c r="AB2" s="7" t="str">
        <x:v>Annual normalized Google Books Ngram values and descriptive statistics. Generic forms remain semantically ambiguous; family members are never summed.</x:v>
      </x:c>
      <x:c r="AC2" s="7" t="str">
        <x:v>Annual normalized Google Books Ngram values and descriptive statistics. Generic forms remain semantically ambiguous; family members are never summed.</x:v>
      </x:c>
    </x:row>
    <x:row r="4" ht="42" customHeight="1">
      <x:c r="A4" s="14" t="str">
        <x:v>query_id</x:v>
      </x:c>
      <x:c r="B4" s="14" t="str">
        <x:v>surface_form</x:v>
      </x:c>
      <x:c r="C4" s="14" t="str">
        <x:v>canonical_concept</x:v>
      </x:c>
      <x:c r="D4" s="14" t="str">
        <x:v>lexical_family</x:v>
      </x:c>
      <x:c r="E4" s="14" t="str">
        <x:v>primary_layer</x:v>
      </x:c>
      <x:c r="F4" s="14" t="str">
        <x:v>query_classification</x:v>
      </x:c>
      <x:c r="G4" s="14" t="str">
        <x:v>ambiguity_class</x:v>
      </x:c>
      <x:c r="H4" s="14" t="str">
        <x:v>corpus</x:v>
      </x:c>
      <x:c r="I4" s="14" t="str">
        <x:v>corpus_version</x:v>
      </x:c>
      <x:c r="J4" s="14" t="str">
        <x:v>year_start</x:v>
      </x:c>
      <x:c r="K4" s="14" t="str">
        <x:v>year_end</x:v>
      </x:c>
      <x:c r="L4" s="14" t="str">
        <x:v>first_nonzero_year</x:v>
      </x:c>
      <x:c r="M4" s="14" t="str">
        <x:v>nonzero_year_count</x:v>
      </x:c>
      <x:c r="N4" s="14" t="str">
        <x:v>peak_year</x:v>
      </x:c>
      <x:c r="O4" s="14" t="str">
        <x:v>peak_frequency</x:v>
      </x:c>
      <x:c r="P4" s="14" t="str">
        <x:v>latest_year_value</x:v>
      </x:c>
      <x:c r="Q4" s="14" t="str">
        <x:v>1842_value</x:v>
      </x:c>
      <x:c r="R4" s="14" t="str">
        <x:v>1938_value</x:v>
      </x:c>
      <x:c r="S4" s="14" t="str">
        <x:v>1988_value</x:v>
      </x:c>
      <x:c r="T4" s="14" t="str">
        <x:v>2006_value</x:v>
      </x:c>
      <x:c r="U4" s="14" t="str">
        <x:v>2007_value</x:v>
      </x:c>
      <x:c r="V4" s="14" t="str">
        <x:v>2006_07_mean</x:v>
      </x:c>
      <x:c r="W4" s="14" t="str">
        <x:v>2015_value</x:v>
      </x:c>
      <x:c r="X4" s="14" t="str">
        <x:v>2022_value</x:v>
      </x:c>
      <x:c r="Y4" s="14" t="str">
        <x:v>2022_or_latest_value</x:v>
      </x:c>
      <x:c r="Z4" s="14" t="str">
        <x:v>latest_supported_year</x:v>
      </x:c>
      <x:c r="AA4" s="14" t="str">
        <x:v>zero_sparse_flag</x:v>
      </x:c>
      <x:c r="AB4" s="14" t="str">
        <x:v>trajectory_availability</x:v>
      </x:c>
      <x:c r="AC4" s="14" t="str">
        <x:v>interpretation_note</x:v>
      </x:c>
    </x:row>
    <x:row r="5" ht="23" customHeight="1">
      <x:c r="A5" s="15" t="str">
        <x:v>FT-Q-V01-001</x:v>
      </x:c>
      <x:c r="B5" s="30" t="str">
        <x:v>temperature</x:v>
      </x:c>
      <x:c r="C5" s="16" t="str">
        <x:v>local / instrumental temperature</x:v>
      </x:c>
      <x:c r="D5" s="16" t="str">
        <x:v>temperature_threshold</x:v>
      </x:c>
      <x:c r="E5" s="16" t="str">
        <x:v>A</x:v>
      </x:c>
      <x:c r="F5" s="30" t="str">
        <x:v>BACKGROUND_AMBIGUOUS</x:v>
      </x:c>
      <x:c r="G5" s="16" t="str">
        <x:v>BACKGROUND_AMBIGUOUS</x:v>
      </x:c>
      <x:c r="H5" s="16" t="str">
        <x:v>eng</x:v>
      </x:c>
      <x:c r="I5" s="16" t="str">
        <x:v>current English corpus (July 2024 dataset; public shorthand eng; mutable current corpus)</x:v>
      </x:c>
      <x:c r="J5" s="16" t="str">
        <x:v>1842</x:v>
      </x:c>
      <x:c r="K5" s="16" t="str">
        <x:v>2022</x:v>
      </x:c>
      <x:c r="L5" s="27" t="n">
        <x:v>1842</x:v>
      </x:c>
      <x:c r="M5" s="27" t="n">
        <x:v>181</x:v>
      </x:c>
      <x:c r="N5" s="27" t="n">
        <x:v>1962</x:v>
      </x:c>
      <x:c r="O5" s="33" t="n">
        <x:v>0.0001827782312213422</x:v>
      </x:c>
      <x:c r="P5" s="27" t="n">
        <x:v>0.00009003187850510977</x:v>
      </x:c>
      <x:c r="Q5" s="33" t="n">
        <x:v>0.00003817854639009965</x:v>
      </x:c>
      <x:c r="R5" s="33" t="n">
        <x:v>0.0001075987250857835</x:v>
      </x:c>
      <x:c r="S5" s="33" t="n">
        <x:v>0.0001381082131784381</x:v>
      </x:c>
      <x:c r="T5" s="33" t="n">
        <x:v>0.00009349962672342699</x:v>
      </x:c>
      <x:c r="U5" s="33" t="n">
        <x:v>0.00009569523659125334</x:v>
      </x:c>
      <x:c r="V5" s="33" t="n">
        <x:v>0.00009459743165734016</x:v>
      </x:c>
      <x:c r="W5" s="33" t="n">
        <x:v>0.00007593630839236587</x:v>
      </x:c>
      <x:c r="X5" s="33" t="n">
        <x:v>0.00009003187850510977</x:v>
      </x:c>
      <x:c r="Y5" s="33" t="n">
        <x:v>0.00009003187850510977</x:v>
      </x:c>
      <x:c r="Z5" s="27" t="n">
        <x:v>2022</x:v>
      </x:c>
      <x:c r="AA5" s="16" t="str">
        <x:v>AVAILABLE</x:v>
      </x:c>
      <x:c r="AB5" s="16" t="str">
        <x:v>AVAILABLE</x:v>
      </x:c>
      <x:c r="AC5" s="45" t="str">
        <x:v>Generic corpus string frequency; not climate-specific semantic frequency.</x:v>
      </x:c>
    </x:row>
    <x:row r="6" ht="23" customHeight="1">
      <x:c r="A6" s="18" t="str">
        <x:v>FT-Q-V01-002</x:v>
      </x:c>
      <x:c r="B6" s="31" t="str">
        <x:v>mean temperature</x:v>
      </x:c>
      <x:c r="C6" s="19" t="str">
        <x:v>mean temperature</x:v>
      </x:c>
      <x:c r="D6" s="19" t="str">
        <x:v>temperature_threshold</x:v>
      </x:c>
      <x:c r="E6" s="19" t="str">
        <x:v>A</x:v>
      </x:c>
      <x:c r="F6" s="31" t="str">
        <x:v>EXECUTABLE_NGRAM</x:v>
      </x:c>
      <x:c r="G6" s="19" t="str">
        <x:v>CONTEXT_REQUIRED</x:v>
      </x:c>
      <x:c r="H6" s="19" t="str">
        <x:v>eng</x:v>
      </x:c>
      <x:c r="I6" s="19" t="str">
        <x:v>current English corpus (July 2024 dataset; public shorthand eng; mutable current corpus)</x:v>
      </x:c>
      <x:c r="J6" s="19" t="str">
        <x:v>1842</x:v>
      </x:c>
      <x:c r="K6" s="19" t="str">
        <x:v>2022</x:v>
      </x:c>
      <x:c r="L6" s="28" t="n">
        <x:v>1842</x:v>
      </x:c>
      <x:c r="M6" s="28" t="n">
        <x:v>181</x:v>
      </x:c>
      <x:c r="N6" s="28" t="n">
        <x:v>1858</x:v>
      </x:c>
      <x:c r="O6" s="34" t="n">
        <x:v>0.000003219442511692705</x:v>
      </x:c>
      <x:c r="P6" s="28" t="n">
        <x:v>3.990877988080399e-7</x:v>
      </x:c>
      <x:c r="Q6" s="34" t="n">
        <x:v>0.000002365172290907935</x:v>
      </x:c>
      <x:c r="R6" s="34" t="n">
        <x:v>0.00000106460447896195</x:v>
      </x:c>
      <x:c r="S6" s="34" t="n">
        <x:v>5.396020415979197e-7</x:v>
      </x:c>
      <x:c r="T6" s="34" t="n">
        <x:v>4.059007448348195e-7</x:v>
      </x:c>
      <x:c r="U6" s="34" t="n">
        <x:v>4.200255244168893e-7</x:v>
      </x:c>
      <x:c r="V6" s="34" t="n">
        <x:v>4.129631346258544e-7</x:v>
      </x:c>
      <x:c r="W6" s="34" t="n">
        <x:v>3.047325316460348e-7</x:v>
      </x:c>
      <x:c r="X6" s="34" t="n">
        <x:v>3.990877988080399e-7</x:v>
      </x:c>
      <x:c r="Y6" s="34" t="n">
        <x:v>3.990877988080399e-7</x:v>
      </x:c>
      <x:c r="Z6" s="28" t="n">
        <x:v>2022</x:v>
      </x:c>
      <x:c r="AA6" s="19" t="str">
        <x:v>AVAILABLE</x:v>
      </x:c>
      <x:c r="AB6" s="19" t="str">
        <x:v>AVAILABLE</x:v>
      </x:c>
      <x:c r="AC6" s="46" t="str">
        <x:v>Climate/temperature-linked lexical frequency; still not evidence of reception, voice, or affect without passage review.</x:v>
      </x:c>
    </x:row>
    <x:row r="7" ht="23" customHeight="1">
      <x:c r="A7" s="18" t="str">
        <x:v>FT-Q-V01-003</x:v>
      </x:c>
      <x:c r="B7" s="31" t="str">
        <x:v>temperature of the air in shade</x:v>
      </x:c>
      <x:c r="C7" s="19" t="str">
        <x:v>local / instrumental temperature</x:v>
      </x:c>
      <x:c r="D7" s="19" t="str">
        <x:v>temperature_threshold</x:v>
      </x:c>
      <x:c r="E7" s="19" t="str">
        <x:v>A</x:v>
      </x:c>
      <x:c r="F7" s="31" t="str">
        <x:v>EXECUTABLE_NGRAM</x:v>
      </x:c>
      <x:c r="G7" s="19" t="str">
        <x:v>CONTEXT_REQUIRED</x:v>
      </x:c>
      <x:c r="H7" s="19" t="str">
        <x:v>eng</x:v>
      </x:c>
      <x:c r="I7" s="19" t="str">
        <x:v>current English corpus (July 2024 dataset; public shorthand eng; mutable current corpus)</x:v>
      </x:c>
      <x:c r="J7" s="19" t="str">
        <x:v>1842</x:v>
      </x:c>
      <x:c r="K7" s="19" t="str">
        <x:v>2022</x:v>
      </x:c>
      <x:c r="L7" s="28" t="n">
        <x:v>1846</x:v>
      </x:c>
      <x:c r="M7" s="28" t="n">
        <x:v>79</x:v>
      </x:c>
      <x:c r="N7" s="28" t="n">
        <x:v>1858</x:v>
      </x:c>
      <x:c r="O7" s="34" t="n">
        <x:v>1.437969920914384e-8</x:v>
      </x:c>
      <x:c r="P7" s="28" t="n">
        <x:v>5.812207659605662e-11</x:v>
      </x:c>
      <x:c r="Q7" s="34" t="n">
        <x:v>0</x:v>
      </x:c>
      <x:c r="R7" s="34" t="n">
        <x:v>0</x:v>
      </x:c>
      <x:c r="S7" s="34" t="n">
        <x:v>0</x:v>
      </x:c>
      <x:c r="T7" s="34" t="n">
        <x:v>0</x:v>
      </x:c>
      <x:c r="U7" s="34" t="n">
        <x:v>0</x:v>
      </x:c>
      <x:c r="V7" s="34" t="n">
        <x:v>0</x:v>
      </x:c>
      <x:c r="W7" s="34" t="n">
        <x:v>6.163167892703214e-11</x:v>
      </x:c>
      <x:c r="X7" s="34" t="n">
        <x:v>5.812207659605662e-11</x:v>
      </x:c>
      <x:c r="Y7" s="34" t="n">
        <x:v>5.812207659605662e-11</x:v>
      </x:c>
      <x:c r="Z7" s="28" t="n">
        <x:v>2022</x:v>
      </x:c>
      <x:c r="AA7" s="19" t="str">
        <x:v>AVAILABLE</x:v>
      </x:c>
      <x:c r="AB7" s="19" t="str">
        <x:v>AVAILABLE</x:v>
      </x:c>
      <x:c r="AC7" s="46" t="str">
        <x:v>Climate/temperature-linked lexical frequency; still not evidence of reception, voice, or affect without passage review.</x:v>
      </x:c>
    </x:row>
    <x:row r="8" ht="23" customHeight="1">
      <x:c r="A8" s="18" t="str">
        <x:v>FT-Q-V01-004</x:v>
      </x:c>
      <x:c r="B8" s="31" t="str">
        <x:v>maximum temperature</x:v>
      </x:c>
      <x:c r="C8" s="19" t="str">
        <x:v>local / instrumental temperature</x:v>
      </x:c>
      <x:c r="D8" s="19" t="str">
        <x:v>temperature_threshold</x:v>
      </x:c>
      <x:c r="E8" s="19" t="str">
        <x:v>A</x:v>
      </x:c>
      <x:c r="F8" s="31" t="str">
        <x:v>EXECUTABLE_NGRAM</x:v>
      </x:c>
      <x:c r="G8" s="19" t="str">
        <x:v>CONTEXT_REQUIRED</x:v>
      </x:c>
      <x:c r="H8" s="19" t="str">
        <x:v>eng</x:v>
      </x:c>
      <x:c r="I8" s="19" t="str">
        <x:v>current English corpus (July 2024 dataset; public shorthand eng; mutable current corpus)</x:v>
      </x:c>
      <x:c r="J8" s="19" t="str">
        <x:v>1842</x:v>
      </x:c>
      <x:c r="K8" s="19" t="str">
        <x:v>2022</x:v>
      </x:c>
      <x:c r="L8" s="28" t="n">
        <x:v>1842</x:v>
      </x:c>
      <x:c r="M8" s="28" t="n">
        <x:v>181</x:v>
      </x:c>
      <x:c r="N8" s="28" t="n">
        <x:v>1958</x:v>
      </x:c>
      <x:c r="O8" s="34" t="n">
        <x:v>0.000001041604742735291</x:v>
      </x:c>
      <x:c r="P8" s="28" t="n">
        <x:v>4.573516876604788e-7</x:v>
      </x:c>
      <x:c r="Q8" s="34" t="n">
        <x:v>3.882829831547419e-7</x:v>
      </x:c>
      <x:c r="R8" s="34" t="n">
        <x:v>7.694687983172965e-7</x:v>
      </x:c>
      <x:c r="S8" s="34" t="n">
        <x:v>6.011975100389533e-7</x:v>
      </x:c>
      <x:c r="T8" s="34" t="n">
        <x:v>5.097794715247517e-7</x:v>
      </x:c>
      <x:c r="U8" s="34" t="n">
        <x:v>4.458864027237497e-7</x:v>
      </x:c>
      <x:c r="V8" s="34" t="n">
        <x:v>4.778329371242507e-7</x:v>
      </x:c>
      <x:c r="W8" s="34" t="n">
        <x:v>3.236936924611022e-7</x:v>
      </x:c>
      <x:c r="X8" s="34" t="n">
        <x:v>4.573516876604788e-7</x:v>
      </x:c>
      <x:c r="Y8" s="34" t="n">
        <x:v>4.573516876604788e-7</x:v>
      </x:c>
      <x:c r="Z8" s="28" t="n">
        <x:v>2022</x:v>
      </x:c>
      <x:c r="AA8" s="19" t="str">
        <x:v>AVAILABLE</x:v>
      </x:c>
      <x:c r="AB8" s="19" t="str">
        <x:v>AVAILABLE</x:v>
      </x:c>
      <x:c r="AC8" s="46" t="str">
        <x:v>Climate/temperature-linked lexical frequency; still not evidence of reception, voice, or affect without passage review.</x:v>
      </x:c>
    </x:row>
    <x:row r="9" ht="23" customHeight="1">
      <x:c r="A9" s="18" t="str">
        <x:v>FT-Q-V01-005</x:v>
      </x:c>
      <x:c r="B9" s="31" t="str">
        <x:v>minimum temperature</x:v>
      </x:c>
      <x:c r="C9" s="19" t="str">
        <x:v>local / instrumental temperature</x:v>
      </x:c>
      <x:c r="D9" s="19" t="str">
        <x:v>temperature_threshold</x:v>
      </x:c>
      <x:c r="E9" s="19" t="str">
        <x:v>A</x:v>
      </x:c>
      <x:c r="F9" s="31" t="str">
        <x:v>EXECUTABLE_NGRAM</x:v>
      </x:c>
      <x:c r="G9" s="19" t="str">
        <x:v>CONTEXT_REQUIRED</x:v>
      </x:c>
      <x:c r="H9" s="19" t="str">
        <x:v>eng</x:v>
      </x:c>
      <x:c r="I9" s="19" t="str">
        <x:v>current English corpus (July 2024 dataset; public shorthand eng; mutable current corpus)</x:v>
      </x:c>
      <x:c r="J9" s="19" t="str">
        <x:v>1842</x:v>
      </x:c>
      <x:c r="K9" s="19" t="str">
        <x:v>2022</x:v>
      </x:c>
      <x:c r="L9" s="28" t="n">
        <x:v>1842</x:v>
      </x:c>
      <x:c r="M9" s="28" t="n">
        <x:v>181</x:v>
      </x:c>
      <x:c r="N9" s="28" t="n">
        <x:v>1985</x:v>
      </x:c>
      <x:c r="O9" s="34" t="n">
        <x:v>5.244083450678394e-7</x:v>
      </x:c>
      <x:c r="P9" s="28" t="n">
        <x:v>2.218629117367588e-7</x:v>
      </x:c>
      <x:c r="Q9" s="34" t="n">
        <x:v>2.334857803210078e-7</x:v>
      </x:c>
      <x:c r="R9" s="34" t="n">
        <x:v>4.141922915756879e-7</x:v>
      </x:c>
      <x:c r="S9" s="34" t="n">
        <x:v>3.655257283935454e-7</x:v>
      </x:c>
      <x:c r="T9" s="34" t="n">
        <x:v>2.540885604349064e-7</x:v>
      </x:c>
      <x:c r="U9" s="34" t="n">
        <x:v>2.430921979997003e-7</x:v>
      </x:c>
      <x:c r="V9" s="34" t="n">
        <x:v>2.485903792173033e-7</x:v>
      </x:c>
      <x:c r="W9" s="34" t="n">
        <x:v>1.545846264848494e-7</x:v>
      </x:c>
      <x:c r="X9" s="34" t="n">
        <x:v>2.218629117367588e-7</x:v>
      </x:c>
      <x:c r="Y9" s="34" t="n">
        <x:v>2.218629117367588e-7</x:v>
      </x:c>
      <x:c r="Z9" s="28" t="n">
        <x:v>2022</x:v>
      </x:c>
      <x:c r="AA9" s="19" t="str">
        <x:v>AVAILABLE</x:v>
      </x:c>
      <x:c r="AB9" s="19" t="str">
        <x:v>AVAILABLE</x:v>
      </x:c>
      <x:c r="AC9" s="46" t="str">
        <x:v>Climate/temperature-linked lexical frequency; still not evidence of reception, voice, or affect without passage review.</x:v>
      </x:c>
    </x:row>
    <x:row r="10" ht="23" customHeight="1">
      <x:c r="A10" s="18" t="str">
        <x:v>FT-Q-V01-006</x:v>
      </x:c>
      <x:c r="B10" s="31" t="str">
        <x:v>mean temperature of sea at surface</x:v>
      </x:c>
      <x:c r="C10" s="19" t="str">
        <x:v>mean temperature</x:v>
      </x:c>
      <x:c r="D10" s="19" t="str">
        <x:v>temperature_threshold</x:v>
      </x:c>
      <x:c r="E10" s="19" t="str">
        <x:v>A</x:v>
      </x:c>
      <x:c r="F10" s="31" t="str">
        <x:v>EXECUTABLE_NGRAM</x:v>
      </x:c>
      <x:c r="G10" s="19" t="str">
        <x:v>CONTEXT_REQUIRED</x:v>
      </x:c>
      <x:c r="H10" s="19" t="str">
        <x:v>eng</x:v>
      </x:c>
      <x:c r="I10" s="19" t="str">
        <x:v>current English corpus (July 2024 dataset; public shorthand eng; mutable current corpus)</x:v>
      </x:c>
      <x:c r="J10" s="19" t="str">
        <x:v>1842</x:v>
      </x:c>
      <x:c r="K10" s="19" t="str">
        <x:v>2022</x:v>
      </x:c>
      <x:c r="L10" s="28" t="str"/>
      <x:c r="M10" s="28" t="n">
        <x:v>0</x:v>
      </x:c>
      <x:c r="N10" s="28" t="str"/>
      <x:c r="O10" s="34" t="str"/>
      <x:c r="P10" s="28" t="str"/>
      <x:c r="Q10" s="34" t="str"/>
      <x:c r="R10" s="34" t="str"/>
      <x:c r="S10" s="34" t="str"/>
      <x:c r="T10" s="34" t="str"/>
      <x:c r="U10" s="34" t="str"/>
      <x:c r="V10" s="34" t="str"/>
      <x:c r="W10" s="34" t="str"/>
      <x:c r="X10" s="34" t="str"/>
      <x:c r="Y10" s="34" t="str"/>
      <x:c r="Z10" s="28" t="n">
        <x:v>2022</x:v>
      </x:c>
      <x:c r="AA10" s="19" t="str">
        <x:v>NO_SERIES</x:v>
      </x:c>
      <x:c r="AB10" s="19" t="str">
        <x:v>NOT_AVAILABLE</x:v>
      </x:c>
      <x:c r="AC10" s="46" t="str">
        <x:v>Climate/temperature-linked lexical frequency; still not evidence of reception, voice, or affect without passage review.</x:v>
      </x:c>
    </x:row>
    <x:row r="11" ht="23" customHeight="1">
      <x:c r="A11" s="18" t="str">
        <x:v>FT-Q-V01-007</x:v>
      </x:c>
      <x:c r="B11" s="31" t="str">
        <x:v>dew point</x:v>
      </x:c>
      <x:c r="C11" s="19" t="str">
        <x:v>local / instrumental temperature</x:v>
      </x:c>
      <x:c r="D11" s="19" t="str">
        <x:v>temperature_threshold</x:v>
      </x:c>
      <x:c r="E11" s="19" t="str">
        <x:v>A</x:v>
      </x:c>
      <x:c r="F11" s="31" t="str">
        <x:v>EXECUTABLE_NGRAM</x:v>
      </x:c>
      <x:c r="G11" s="19" t="str">
        <x:v>CONTEXT_REQUIRED</x:v>
      </x:c>
      <x:c r="H11" s="19" t="str">
        <x:v>eng</x:v>
      </x:c>
      <x:c r="I11" s="19" t="str">
        <x:v>current English corpus (July 2024 dataset; public shorthand eng; mutable current corpus)</x:v>
      </x:c>
      <x:c r="J11" s="19" t="str">
        <x:v>1842</x:v>
      </x:c>
      <x:c r="K11" s="19" t="str">
        <x:v>2022</x:v>
      </x:c>
      <x:c r="L11" s="28" t="n">
        <x:v>1842</x:v>
      </x:c>
      <x:c r="M11" s="28" t="n">
        <x:v>181</x:v>
      </x:c>
      <x:c r="N11" s="28" t="n">
        <x:v>1844</x:v>
      </x:c>
      <x:c r="O11" s="34" t="n">
        <x:v>0.00000128604265636767</x:v>
      </x:c>
      <x:c r="P11" s="28" t="n">
        <x:v>2.297376025528486e-7</x:v>
      </x:c>
      <x:c r="Q11" s="34" t="n">
        <x:v>5.02445909766891e-7</x:v>
      </x:c>
      <x:c r="R11" s="34" t="n">
        <x:v>5.571938874737725e-7</x:v>
      </x:c>
      <x:c r="S11" s="34" t="n">
        <x:v>3.645386200609724e-7</x:v>
      </x:c>
      <x:c r="T11" s="34" t="n">
        <x:v>2.918584796063328e-7</x:v>
      </x:c>
      <x:c r="U11" s="34" t="n">
        <x:v>2.695827225132619e-7</x:v>
      </x:c>
      <x:c r="V11" s="34" t="n">
        <x:v>2.807206010597973e-7</x:v>
      </x:c>
      <x:c r="W11" s="34" t="n">
        <x:v>2.239375508326924e-7</x:v>
      </x:c>
      <x:c r="X11" s="34" t="n">
        <x:v>2.297376025528486e-7</x:v>
      </x:c>
      <x:c r="Y11" s="34" t="n">
        <x:v>2.297376025528486e-7</x:v>
      </x:c>
      <x:c r="Z11" s="28" t="n">
        <x:v>2022</x:v>
      </x:c>
      <x:c r="AA11" s="19" t="str">
        <x:v>AVAILABLE</x:v>
      </x:c>
      <x:c r="AB11" s="19" t="str">
        <x:v>AVAILABLE</x:v>
      </x:c>
      <x:c r="AC11" s="46" t="str">
        <x:v>Climate/temperature-linked lexical frequency; still not evidence of reception, voice, or affect without passage review.</x:v>
      </x:c>
    </x:row>
    <x:row r="12" ht="23" customHeight="1">
      <x:c r="A12" s="18" t="str">
        <x:v>FT-Q-V01-008</x:v>
      </x:c>
      <x:c r="B12" s="31" t="str">
        <x:v>standard thermometer</x:v>
      </x:c>
      <x:c r="C12" s="19" t="str">
        <x:v>local / instrumental temperature</x:v>
      </x:c>
      <x:c r="D12" s="19" t="str">
        <x:v>temperature_threshold</x:v>
      </x:c>
      <x:c r="E12" s="19" t="str">
        <x:v>A</x:v>
      </x:c>
      <x:c r="F12" s="31" t="str">
        <x:v>EXECUTABLE_NGRAM</x:v>
      </x:c>
      <x:c r="G12" s="19" t="str">
        <x:v>CONTEXT_REQUIRED</x:v>
      </x:c>
      <x:c r="H12" s="19" t="str">
        <x:v>eng</x:v>
      </x:c>
      <x:c r="I12" s="19" t="str">
        <x:v>current English corpus (July 2024 dataset; public shorthand eng; mutable current corpus)</x:v>
      </x:c>
      <x:c r="J12" s="19" t="str">
        <x:v>1842</x:v>
      </x:c>
      <x:c r="K12" s="19" t="str">
        <x:v>2022</x:v>
      </x:c>
      <x:c r="L12" s="28" t="n">
        <x:v>1842</x:v>
      </x:c>
      <x:c r="M12" s="28" t="n">
        <x:v>181</x:v>
      </x:c>
      <x:c r="N12" s="28" t="n">
        <x:v>1875</x:v>
      </x:c>
      <x:c r="O12" s="34" t="n">
        <x:v>2.04969970774016e-7</x:v>
      </x:c>
      <x:c r="P12" s="28" t="n">
        <x:v>2.610151789150805e-9</x:v>
      </x:c>
      <x:c r="Q12" s="34" t="n">
        <x:v>8.384848482201335e-9</x:v>
      </x:c>
      <x:c r="R12" s="34" t="n">
        <x:v>3.541628268433072e-8</x:v>
      </x:c>
      <x:c r="S12" s="34" t="n">
        <x:v>5.922642067751616e-9</x:v>
      </x:c>
      <x:c r="T12" s="34" t="n">
        <x:v>2.975811957961483e-9</x:v>
      </x:c>
      <x:c r="U12" s="34" t="n">
        <x:v>4.857346223158254e-9</x:v>
      </x:c>
      <x:c r="V12" s="34" t="n">
        <x:v>3.916579090559869e-9</x:v>
      </x:c>
      <x:c r="W12" s="34" t="n">
        <x:v>2.335115319856973e-9</x:v>
      </x:c>
      <x:c r="X12" s="34" t="n">
        <x:v>2.610151789150805e-9</x:v>
      </x:c>
      <x:c r="Y12" s="34" t="n">
        <x:v>2.610151789150805e-9</x:v>
      </x:c>
      <x:c r="Z12" s="28" t="n">
        <x:v>2022</x:v>
      </x:c>
      <x:c r="AA12" s="19" t="str">
        <x:v>AVAILABLE</x:v>
      </x:c>
      <x:c r="AB12" s="19" t="str">
        <x:v>AVAILABLE</x:v>
      </x:c>
      <x:c r="AC12" s="46" t="str">
        <x:v>Climate/temperature-linked lexical frequency; still not evidence of reception, voice, or affect without passage review.</x:v>
      </x:c>
    </x:row>
    <x:row r="13" ht="23" customHeight="1">
      <x:c r="A13" s="18" t="str">
        <x:v>FT-Q-V01-009</x:v>
      </x:c>
      <x:c r="B13" s="31" t="str">
        <x:v>attached thermometer</x:v>
      </x:c>
      <x:c r="C13" s="19" t="str">
        <x:v>local / instrumental temperature</x:v>
      </x:c>
      <x:c r="D13" s="19" t="str">
        <x:v>temperature_threshold</x:v>
      </x:c>
      <x:c r="E13" s="19" t="str">
        <x:v>A</x:v>
      </x:c>
      <x:c r="F13" s="31" t="str">
        <x:v>EXECUTABLE_NGRAM</x:v>
      </x:c>
      <x:c r="G13" s="19" t="str">
        <x:v>CONTEXT_REQUIRED</x:v>
      </x:c>
      <x:c r="H13" s="19" t="str">
        <x:v>eng</x:v>
      </x:c>
      <x:c r="I13" s="19" t="str">
        <x:v>current English corpus (July 2024 dataset; public shorthand eng; mutable current corpus)</x:v>
      </x:c>
      <x:c r="J13" s="19" t="str">
        <x:v>1842</x:v>
      </x:c>
      <x:c r="K13" s="19" t="str">
        <x:v>2022</x:v>
      </x:c>
      <x:c r="L13" s="28" t="n">
        <x:v>1842</x:v>
      </x:c>
      <x:c r="M13" s="28" t="n">
        <x:v>181</x:v>
      </x:c>
      <x:c r="N13" s="28" t="n">
        <x:v>1844</x:v>
      </x:c>
      <x:c r="O13" s="34" t="n">
        <x:v>2.328426112474524e-7</x:v>
      </x:c>
      <x:c r="P13" s="28" t="n">
        <x:v>3.406469412103874e-9</x:v>
      </x:c>
      <x:c r="Q13" s="34" t="n">
        <x:v>6.901375293466572e-8</x:v>
      </x:c>
      <x:c r="R13" s="34" t="n">
        <x:v>6.23682937239689e-9</x:v>
      </x:c>
      <x:c r="S13" s="34" t="n">
        <x:v>1.085817696172553e-9</x:v>
      </x:c>
      <x:c r="T13" s="34" t="n">
        <x:v>1.281888230980632e-9</x:v>
      </x:c>
      <x:c r="U13" s="34" t="n">
        <x:v>1.619115414658312e-9</x:v>
      </x:c>
      <x:c r="V13" s="34" t="n">
        <x:v>1.450501822819472e-9</x:v>
      </x:c>
      <x:c r="W13" s="34" t="n">
        <x:v>6.538322626370441e-10</x:v>
      </x:c>
      <x:c r="X13" s="34" t="n">
        <x:v>3.406469412103874e-9</x:v>
      </x:c>
      <x:c r="Y13" s="34" t="n">
        <x:v>3.406469412103874e-9</x:v>
      </x:c>
      <x:c r="Z13" s="28" t="n">
        <x:v>2022</x:v>
      </x:c>
      <x:c r="AA13" s="19" t="str">
        <x:v>AVAILABLE</x:v>
      </x:c>
      <x:c r="AB13" s="19" t="str">
        <x:v>AVAILABLE</x:v>
      </x:c>
      <x:c r="AC13" s="46" t="str">
        <x:v>Climate/temperature-linked lexical frequency; still not evidence of reception, voice, or affect without passage review.</x:v>
      </x:c>
    </x:row>
    <x:row r="14" ht="23" customHeight="1">
      <x:c r="A14" s="18" t="str">
        <x:v>FT-Q-V01-010</x:v>
      </x:c>
      <x:c r="B14" s="31" t="str">
        <x:v>dry bulb thermometer</x:v>
      </x:c>
      <x:c r="C14" s="19" t="str">
        <x:v>local / instrumental temperature</x:v>
      </x:c>
      <x:c r="D14" s="19" t="str">
        <x:v>temperature_threshold</x:v>
      </x:c>
      <x:c r="E14" s="19" t="str">
        <x:v>A</x:v>
      </x:c>
      <x:c r="F14" s="31" t="str">
        <x:v>EXECUTABLE_NGRAM</x:v>
      </x:c>
      <x:c r="G14" s="19" t="str">
        <x:v>CONTEXT_REQUIRED</x:v>
      </x:c>
      <x:c r="H14" s="19" t="str">
        <x:v>eng</x:v>
      </x:c>
      <x:c r="I14" s="19" t="str">
        <x:v>current English corpus (July 2024 dataset; public shorthand eng; mutable current corpus)</x:v>
      </x:c>
      <x:c r="J14" s="19" t="str">
        <x:v>1842</x:v>
      </x:c>
      <x:c r="K14" s="19" t="str">
        <x:v>2022</x:v>
      </x:c>
      <x:c r="L14" s="28" t="n">
        <x:v>1842</x:v>
      </x:c>
      <x:c r="M14" s="28" t="n">
        <x:v>181</x:v>
      </x:c>
      <x:c r="N14" s="28" t="n">
        <x:v>1869</x:v>
      </x:c>
      <x:c r="O14" s="34" t="n">
        <x:v>2.647877378469943e-7</x:v>
      </x:c>
      <x:c r="P14" s="28" t="n">
        <x:v>8.466447189159343e-9</x:v>
      </x:c>
      <x:c r="Q14" s="34" t="n">
        <x:v>8.854272692815357e-8</x:v>
      </x:c>
      <x:c r="R14" s="34" t="n">
        <x:v>2.359136080931634e-8</x:v>
      </x:c>
      <x:c r="S14" s="34" t="n">
        <x:v>5.081662771133644e-9</x:v>
      </x:c>
      <x:c r="T14" s="34" t="n">
        <x:v>4.013041593475819e-9</x:v>
      </x:c>
      <x:c r="U14" s="34" t="n">
        <x:v>4.081663229626997e-9</x:v>
      </x:c>
      <x:c r="V14" s="34" t="n">
        <x:v>4.047352411551408e-9</x:v>
      </x:c>
      <x:c r="W14" s="34" t="n">
        <x:v>3.149171701188891e-9</x:v>
      </x:c>
      <x:c r="X14" s="34" t="n">
        <x:v>8.466447189159343e-9</x:v>
      </x:c>
      <x:c r="Y14" s="34" t="n">
        <x:v>8.466447189159343e-9</x:v>
      </x:c>
      <x:c r="Z14" s="28" t="n">
        <x:v>2022</x:v>
      </x:c>
      <x:c r="AA14" s="19" t="str">
        <x:v>AVAILABLE</x:v>
      </x:c>
      <x:c r="AB14" s="19" t="str">
        <x:v>AVAILABLE</x:v>
      </x:c>
      <x:c r="AC14" s="46" t="str">
        <x:v>Climate/temperature-linked lexical frequency; still not evidence of reception, voice, or affect without passage review.</x:v>
      </x:c>
    </x:row>
    <x:row r="15" ht="23" customHeight="1">
      <x:c r="A15" s="18" t="str">
        <x:v>FT-Q-V01-011</x:v>
      </x:c>
      <x:c r="B15" s="31" t="str">
        <x:v>wet bulb thermometer</x:v>
      </x:c>
      <x:c r="C15" s="19" t="str">
        <x:v>local / instrumental temperature</x:v>
      </x:c>
      <x:c r="D15" s="19" t="str">
        <x:v>temperature_threshold</x:v>
      </x:c>
      <x:c r="E15" s="19" t="str">
        <x:v>A</x:v>
      </x:c>
      <x:c r="F15" s="31" t="str">
        <x:v>EXECUTABLE_NGRAM</x:v>
      </x:c>
      <x:c r="G15" s="19" t="str">
        <x:v>CONTEXT_REQUIRED</x:v>
      </x:c>
      <x:c r="H15" s="19" t="str">
        <x:v>eng</x:v>
      </x:c>
      <x:c r="I15" s="19" t="str">
        <x:v>current English corpus (July 2024 dataset; public shorthand eng; mutable current corpus)</x:v>
      </x:c>
      <x:c r="J15" s="19" t="str">
        <x:v>1842</x:v>
      </x:c>
      <x:c r="K15" s="19" t="str">
        <x:v>2022</x:v>
      </x:c>
      <x:c r="L15" s="28" t="n">
        <x:v>1842</x:v>
      </x:c>
      <x:c r="M15" s="28" t="n">
        <x:v>181</x:v>
      </x:c>
      <x:c r="N15" s="28" t="n">
        <x:v>1869</x:v>
      </x:c>
      <x:c r="O15" s="34" t="n">
        <x:v>1.703290762877785e-7</x:v>
      </x:c>
      <x:c r="P15" s="28" t="n">
        <x:v>7.142087012079745e-9</x:v>
      </x:c>
      <x:c r="Q15" s="34" t="n">
        <x:v>7.550155167734829e-9</x:v>
      </x:c>
      <x:c r="R15" s="34" t="n">
        <x:v>2.579159086302241e-8</x:v>
      </x:c>
      <x:c r="S15" s="34" t="n">
        <x:v>5.406024211618288e-9</x:v>
      </x:c>
      <x:c r="T15" s="34" t="n">
        <x:v>5.350721948849113e-9</x:v>
      </x:c>
      <x:c r="U15" s="34" t="n">
        <x:v>4.421801869103348e-9</x:v>
      </x:c>
      <x:c r="V15" s="34" t="n">
        <x:v>4.88626190897623e-9</x:v>
      </x:c>
      <x:c r="W15" s="34" t="n">
        <x:v>2.749276847846538e-9</x:v>
      </x:c>
      <x:c r="X15" s="34" t="n">
        <x:v>7.142087012079745e-9</x:v>
      </x:c>
      <x:c r="Y15" s="34" t="n">
        <x:v>7.142087012079745e-9</x:v>
      </x:c>
      <x:c r="Z15" s="28" t="n">
        <x:v>2022</x:v>
      </x:c>
      <x:c r="AA15" s="19" t="str">
        <x:v>AVAILABLE</x:v>
      </x:c>
      <x:c r="AB15" s="19" t="str">
        <x:v>AVAILABLE</x:v>
      </x:c>
      <x:c r="AC15" s="46" t="str">
        <x:v>Climate/temperature-linked lexical frequency; still not evidence of reception, voice, or affect without passage review.</x:v>
      </x:c>
    </x:row>
    <x:row r="16" ht="23" customHeight="1">
      <x:c r="A16" s="18" t="str">
        <x:v>FT-Q-V01-012</x:v>
      </x:c>
      <x:c r="B16" s="31" t="str">
        <x:v>meteorological observations</x:v>
      </x:c>
      <x:c r="C16" s="19" t="str">
        <x:v>historical climate / climatological condition</x:v>
      </x:c>
      <x:c r="D16" s="19" t="str">
        <x:v>climate</x:v>
      </x:c>
      <x:c r="E16" s="19" t="str">
        <x:v>B</x:v>
      </x:c>
      <x:c r="F16" s="31" t="str">
        <x:v>EXECUTABLE_NGRAM</x:v>
      </x:c>
      <x:c r="G16" s="19" t="str">
        <x:v>CONTEXT_REQUIRED</x:v>
      </x:c>
      <x:c r="H16" s="19" t="str">
        <x:v>eng</x:v>
      </x:c>
      <x:c r="I16" s="19" t="str">
        <x:v>current English corpus (July 2024 dataset; public shorthand eng; mutable current corpus)</x:v>
      </x:c>
      <x:c r="J16" s="19" t="str">
        <x:v>1842</x:v>
      </x:c>
      <x:c r="K16" s="19" t="str">
        <x:v>2022</x:v>
      </x:c>
      <x:c r="L16" s="28" t="n">
        <x:v>1842</x:v>
      </x:c>
      <x:c r="M16" s="28" t="n">
        <x:v>181</x:v>
      </x:c>
      <x:c r="N16" s="28" t="n">
        <x:v>1875</x:v>
      </x:c>
      <x:c r="O16" s="34" t="n">
        <x:v>0.000001790050660449571</x:v>
      </x:c>
      <x:c r="P16" s="28" t="n">
        <x:v>6.520955656008631e-8</x:v>
      </x:c>
      <x:c r="Q16" s="34" t="n">
        <x:v>9.468428674996865e-7</x:v>
      </x:c>
      <x:c r="R16" s="34" t="n">
        <x:v>1.848774440205148e-7</x:v>
      </x:c>
      <x:c r="S16" s="34" t="n">
        <x:v>1.338023542483968e-7</x:v>
      </x:c>
      <x:c r="T16" s="34" t="n">
        <x:v>5.699824457902625e-8</x:v>
      </x:c>
      <x:c r="U16" s="34" t="n">
        <x:v>5.293608024148355e-8</x:v>
      </x:c>
      <x:c r="V16" s="34" t="n">
        <x:v>5.49671624102549e-8</x:v>
      </x:c>
      <x:c r="W16" s="34" t="n">
        <x:v>3.44663013546187e-8</x:v>
      </x:c>
      <x:c r="X16" s="34" t="n">
        <x:v>6.520955656008631e-8</x:v>
      </x:c>
      <x:c r="Y16" s="34" t="n">
        <x:v>6.520955656008631e-8</x:v>
      </x:c>
      <x:c r="Z16" s="28" t="n">
        <x:v>2022</x:v>
      </x:c>
      <x:c r="AA16" s="19" t="str">
        <x:v>AVAILABLE</x:v>
      </x:c>
      <x:c r="AB16" s="19" t="str">
        <x:v>AVAILABLE</x:v>
      </x:c>
      <x:c r="AC16" s="46" t="str">
        <x:v>Climate/temperature-linked lexical frequency; still not evidence of reception, voice, or affect without passage review.</x:v>
      </x:c>
    </x:row>
    <x:row r="17" ht="23" customHeight="1">
      <x:c r="A17" s="18" t="str">
        <x:v>FT-Q-V01-013</x:v>
      </x:c>
      <x:c r="B17" s="31" t="str">
        <x:v>meteorological journal</x:v>
      </x:c>
      <x:c r="C17" s="19" t="str">
        <x:v>historical climate / climatological condition</x:v>
      </x:c>
      <x:c r="D17" s="19" t="str">
        <x:v>climate</x:v>
      </x:c>
      <x:c r="E17" s="19" t="str">
        <x:v>B</x:v>
      </x:c>
      <x:c r="F17" s="31" t="str">
        <x:v>EXECUTABLE_NGRAM</x:v>
      </x:c>
      <x:c r="G17" s="19" t="str">
        <x:v>CONTEXT_REQUIRED</x:v>
      </x:c>
      <x:c r="H17" s="19" t="str">
        <x:v>eng</x:v>
      </x:c>
      <x:c r="I17" s="19" t="str">
        <x:v>current English corpus (July 2024 dataset; public shorthand eng; mutable current corpus)</x:v>
      </x:c>
      <x:c r="J17" s="19" t="str">
        <x:v>1842</x:v>
      </x:c>
      <x:c r="K17" s="19" t="str">
        <x:v>2022</x:v>
      </x:c>
      <x:c r="L17" s="28" t="n">
        <x:v>1842</x:v>
      </x:c>
      <x:c r="M17" s="28" t="n">
        <x:v>181</x:v>
      </x:c>
      <x:c r="N17" s="28" t="n">
        <x:v>1842</x:v>
      </x:c>
      <x:c r="O17" s="34" t="n">
        <x:v>5.256654992402687e-7</x:v>
      </x:c>
      <x:c r="P17" s="28" t="n">
        <x:v>2.964070766608984e-9</x:v>
      </x:c>
      <x:c r="Q17" s="34" t="n">
        <x:v>5.256654992402687e-7</x:v>
      </x:c>
      <x:c r="R17" s="34" t="n">
        <x:v>4.900366015747615e-9</x:v>
      </x:c>
      <x:c r="S17" s="34" t="n">
        <x:v>2.023569350279031e-9</x:v>
      </x:c>
      <x:c r="T17" s="34" t="n">
        <x:v>2.472213010695778e-9</x:v>
      </x:c>
      <x:c r="U17" s="34" t="n">
        <x:v>3.598034273299966e-9</x:v>
      </x:c>
      <x:c r="V17" s="34" t="n">
        <x:v>3.035123641997872e-9</x:v>
      </x:c>
      <x:c r="W17" s="34" t="n">
        <x:v>3.782886774661431e-9</x:v>
      </x:c>
      <x:c r="X17" s="34" t="n">
        <x:v>2.964070766608984e-9</x:v>
      </x:c>
      <x:c r="Y17" s="34" t="n">
        <x:v>2.964070766608984e-9</x:v>
      </x:c>
      <x:c r="Z17" s="28" t="n">
        <x:v>2022</x:v>
      </x:c>
      <x:c r="AA17" s="19" t="str">
        <x:v>AVAILABLE</x:v>
      </x:c>
      <x:c r="AB17" s="19" t="str">
        <x:v>AVAILABLE</x:v>
      </x:c>
      <x:c r="AC17" s="46" t="str">
        <x:v>Climate/temperature-linked lexical frequency; still not evidence of reception, voice, or affect without passage review.</x:v>
      </x:c>
    </x:row>
    <x:row r="18" ht="23" customHeight="1">
      <x:c r="A18" s="18" t="str">
        <x:v>FT-Q-V01-014</x:v>
      </x:c>
      <x:c r="B18" s="31" t="str">
        <x:v>weather</x:v>
      </x:c>
      <x:c r="C18" s="19" t="str">
        <x:v>historical climate / climatological condition</x:v>
      </x:c>
      <x:c r="D18" s="19" t="str">
        <x:v>climate</x:v>
      </x:c>
      <x:c r="E18" s="19" t="str">
        <x:v>B</x:v>
      </x:c>
      <x:c r="F18" s="31" t="str">
        <x:v>BACKGROUND_AMBIGUOUS</x:v>
      </x:c>
      <x:c r="G18" s="19" t="str">
        <x:v>BACKGROUND_AMBIGUOUS</x:v>
      </x:c>
      <x:c r="H18" s="19" t="str">
        <x:v>eng</x:v>
      </x:c>
      <x:c r="I18" s="19" t="str">
        <x:v>current English corpus (July 2024 dataset; public shorthand eng; mutable current corpus)</x:v>
      </x:c>
      <x:c r="J18" s="19" t="str">
        <x:v>1842</x:v>
      </x:c>
      <x:c r="K18" s="19" t="str">
        <x:v>2022</x:v>
      </x:c>
      <x:c r="L18" s="28" t="n">
        <x:v>1842</x:v>
      </x:c>
      <x:c r="M18" s="28" t="n">
        <x:v>181</x:v>
      </x:c>
      <x:c r="N18" s="28" t="n">
        <x:v>1928</x:v>
      </x:c>
      <x:c r="O18" s="34" t="n">
        <x:v>0.00006017915046766659</x:v>
      </x:c>
      <x:c r="P18" s="28" t="n">
        <x:v>0.00003185808739692569</x:v>
      </x:c>
      <x:c r="Q18" s="34" t="n">
        <x:v>0.00004329318915097247</x:v>
      </x:c>
      <x:c r="R18" s="34" t="n">
        <x:v>0.00005426566421712353</x:v>
      </x:c>
      <x:c r="S18" s="34" t="n">
        <x:v>0.00002997015501321476</x:v>
      </x:c>
      <x:c r="T18" s="34" t="n">
        <x:v>0.00002847566345511032</x:v>
      </x:c>
      <x:c r="U18" s="34" t="n">
        <x:v>0.00002852544831488668</x:v>
      </x:c>
      <x:c r="V18" s="34" t="n">
        <x:v>0.0000285005558849985</x:v>
      </x:c>
      <x:c r="W18" s="34" t="n">
        <x:v>0.00003181802008718482</x:v>
      </x:c>
      <x:c r="X18" s="34" t="n">
        <x:v>0.00003185808739692569</x:v>
      </x:c>
      <x:c r="Y18" s="34" t="n">
        <x:v>0.00003185808739692569</x:v>
      </x:c>
      <x:c r="Z18" s="28" t="n">
        <x:v>2022</x:v>
      </x:c>
      <x:c r="AA18" s="19" t="str">
        <x:v>AVAILABLE</x:v>
      </x:c>
      <x:c r="AB18" s="19" t="str">
        <x:v>AVAILABLE</x:v>
      </x:c>
      <x:c r="AC18" s="46" t="str">
        <x:v>Generic corpus string frequency; not climate-specific semantic frequency.</x:v>
      </x:c>
    </x:row>
    <x:row r="19" ht="23" customHeight="1">
      <x:c r="A19" s="18" t="str">
        <x:v>FT-Q-V01-015</x:v>
      </x:c>
      <x:c r="B19" s="31" t="str">
        <x:v>climate</x:v>
      </x:c>
      <x:c r="C19" s="19" t="str">
        <x:v>historical climate / climatological condition</x:v>
      </x:c>
      <x:c r="D19" s="19" t="str">
        <x:v>climate</x:v>
      </x:c>
      <x:c r="E19" s="19" t="str">
        <x:v>B</x:v>
      </x:c>
      <x:c r="F19" s="31" t="str">
        <x:v>BACKGROUND_AMBIGUOUS</x:v>
      </x:c>
      <x:c r="G19" s="19" t="str">
        <x:v>BACKGROUND_AMBIGUOUS</x:v>
      </x:c>
      <x:c r="H19" s="19" t="str">
        <x:v>eng</x:v>
      </x:c>
      <x:c r="I19" s="19" t="str">
        <x:v>current English corpus (July 2024 dataset; public shorthand eng; mutable current corpus)</x:v>
      </x:c>
      <x:c r="J19" s="19" t="str">
        <x:v>1842</x:v>
      </x:c>
      <x:c r="K19" s="19" t="str">
        <x:v>2022</x:v>
      </x:c>
      <x:c r="L19" s="28" t="n">
        <x:v>1842</x:v>
      </x:c>
      <x:c r="M19" s="28" t="n">
        <x:v>181</x:v>
      </x:c>
      <x:c r="N19" s="28" t="n">
        <x:v>2022</x:v>
      </x:c>
      <x:c r="O19" s="34" t="n">
        <x:v>0.00006484931783038578</x:v>
      </x:c>
      <x:c r="P19" s="28" t="n">
        <x:v>0.00006484931783038578</x:v>
      </x:c>
      <x:c r="Q19" s="34" t="n">
        <x:v>0.00003055828983633546</x:v>
      </x:c>
      <x:c r="R19" s="34" t="n">
        <x:v>0.00001196127764144239</x:v>
      </x:c>
      <x:c r="S19" s="34" t="n">
        <x:v>0.00002184559476219039</x:v>
      </x:c>
      <x:c r="T19" s="34" t="n">
        <x:v>0.00003083595194560557</x:v>
      </x:c>
      <x:c r="U19" s="34" t="n">
        <x:v>0.00003638060761700784</x:v>
      </x:c>
      <x:c r="V19" s="34" t="n">
        <x:v>0.0000336082797813067</x:v>
      </x:c>
      <x:c r="W19" s="34" t="n">
        <x:v>0.00004357352890455024</x:v>
      </x:c>
      <x:c r="X19" s="34" t="n">
        <x:v>0.00006484931783038578</x:v>
      </x:c>
      <x:c r="Y19" s="34" t="n">
        <x:v>0.00006484931783038578</x:v>
      </x:c>
      <x:c r="Z19" s="28" t="n">
        <x:v>2022</x:v>
      </x:c>
      <x:c r="AA19" s="19" t="str">
        <x:v>AVAILABLE</x:v>
      </x:c>
      <x:c r="AB19" s="19" t="str">
        <x:v>AVAILABLE</x:v>
      </x:c>
      <x:c r="AC19" s="46" t="str">
        <x:v>Generic corpus string frequency; not climate-specific semantic frequency.</x:v>
      </x:c>
    </x:row>
    <x:row r="20" ht="23" customHeight="1">
      <x:c r="A20" s="18" t="str">
        <x:v>FT-Q-V01-016</x:v>
      </x:c>
      <x:c r="B20" s="31" t="str">
        <x:v>sun's heat</x:v>
      </x:c>
      <x:c r="C20" s="19" t="str">
        <x:v>physical heat source / state</x:v>
      </x:c>
      <x:c r="D20" s="19" t="str">
        <x:v>heat</x:v>
      </x:c>
      <x:c r="E20" s="19" t="str">
        <x:v>A</x:v>
      </x:c>
      <x:c r="F20" s="31" t="str">
        <x:v>EXECUTABLE_NGRAM</x:v>
      </x:c>
      <x:c r="G20" s="19" t="str">
        <x:v>CONTEXT_REQUIRED</x:v>
      </x:c>
      <x:c r="H20" s="19" t="str">
        <x:v>eng</x:v>
      </x:c>
      <x:c r="I20" s="19" t="str">
        <x:v>current English corpus (July 2024 dataset; public shorthand eng; mutable current corpus)</x:v>
      </x:c>
      <x:c r="J20" s="19" t="str">
        <x:v>1842</x:v>
      </x:c>
      <x:c r="K20" s="19" t="str">
        <x:v>2022</x:v>
      </x:c>
      <x:c r="L20" s="28" t="str"/>
      <x:c r="M20" s="28" t="n">
        <x:v>0</x:v>
      </x:c>
      <x:c r="N20" s="28" t="str"/>
      <x:c r="O20" s="34" t="str"/>
      <x:c r="P20" s="28" t="str"/>
      <x:c r="Q20" s="34" t="str"/>
      <x:c r="R20" s="34" t="str"/>
      <x:c r="S20" s="34" t="str"/>
      <x:c r="T20" s="34" t="str"/>
      <x:c r="U20" s="34" t="str"/>
      <x:c r="V20" s="34" t="str"/>
      <x:c r="W20" s="34" t="str"/>
      <x:c r="X20" s="34" t="str"/>
      <x:c r="Y20" s="34" t="str"/>
      <x:c r="Z20" s="28" t="n">
        <x:v>2022</x:v>
      </x:c>
      <x:c r="AA20" s="19" t="str">
        <x:v>NO_SERIES</x:v>
      </x:c>
      <x:c r="AB20" s="19" t="str">
        <x:v>NOT_AVAILABLE</x:v>
      </x:c>
      <x:c r="AC20" s="46" t="str">
        <x:v>Climate/temperature-linked lexical frequency; still not evidence of reception, voice, or affect without passage review.</x:v>
      </x:c>
    </x:row>
    <x:row r="21" ht="23" customHeight="1">
      <x:c r="A21" s="18" t="str">
        <x:v>FT-Q-V01-017</x:v>
      </x:c>
      <x:c r="B21" s="31" t="str">
        <x:v>radiation of the heat</x:v>
      </x:c>
      <x:c r="C21" s="19" t="str">
        <x:v>physical heat source / state</x:v>
      </x:c>
      <x:c r="D21" s="19" t="str">
        <x:v>heat</x:v>
      </x:c>
      <x:c r="E21" s="19" t="str">
        <x:v>B</x:v>
      </x:c>
      <x:c r="F21" s="31" t="str">
        <x:v>EXECUTABLE_NGRAM</x:v>
      </x:c>
      <x:c r="G21" s="19" t="str">
        <x:v>CONTEXT_REQUIRED</x:v>
      </x:c>
      <x:c r="H21" s="19" t="str">
        <x:v>eng</x:v>
      </x:c>
      <x:c r="I21" s="19" t="str">
        <x:v>current English corpus (July 2024 dataset; public shorthand eng; mutable current corpus)</x:v>
      </x:c>
      <x:c r="J21" s="19" t="str">
        <x:v>1842</x:v>
      </x:c>
      <x:c r="K21" s="19" t="str">
        <x:v>2022</x:v>
      </x:c>
      <x:c r="L21" s="28" t="n">
        <x:v>1842</x:v>
      </x:c>
      <x:c r="M21" s="28" t="n">
        <x:v>180</x:v>
      </x:c>
      <x:c r="N21" s="28" t="n">
        <x:v>1850</x:v>
      </x:c>
      <x:c r="O21" s="34" t="n">
        <x:v>2.759668937812876e-8</x:v>
      </x:c>
      <x:c r="P21" s="28" t="n">
        <x:v>5.081168263920688e-10</x:v>
      </x:c>
      <x:c r="Q21" s="34" t="n">
        <x:v>5.867545560533927e-9</x:v>
      </x:c>
      <x:c r="R21" s="34" t="n">
        <x:v>2.708925944672202e-9</x:v>
      </x:c>
      <x:c r="S21" s="34" t="n">
        <x:v>1.792699877434245e-10</x:v>
      </x:c>
      <x:c r="T21" s="34" t="n">
        <x:v>4.318347346377038e-10</x:v>
      </x:c>
      <x:c r="U21" s="34" t="n">
        <x:v>7.925886058579579e-10</x:v>
      </x:c>
      <x:c r="V21" s="34" t="n">
        <x:v>6.122116702478309e-10</x:v>
      </x:c>
      <x:c r="W21" s="34" t="n">
        <x:v>4.301466960399125e-10</x:v>
      </x:c>
      <x:c r="X21" s="34" t="n">
        <x:v>5.081168263920688e-10</x:v>
      </x:c>
      <x:c r="Y21" s="34" t="n">
        <x:v>5.081168263920688e-10</x:v>
      </x:c>
      <x:c r="Z21" s="28" t="n">
        <x:v>2022</x:v>
      </x:c>
      <x:c r="AA21" s="19" t="str">
        <x:v>AVAILABLE</x:v>
      </x:c>
      <x:c r="AB21" s="19" t="str">
        <x:v>AVAILABLE</x:v>
      </x:c>
      <x:c r="AC21" s="46" t="str">
        <x:v>Climate/temperature-linked lexical frequency; still not evidence of reception, voice, or affect without passage review.</x:v>
      </x:c>
    </x:row>
    <x:row r="22" ht="23" customHeight="1">
      <x:c r="A22" s="18" t="str">
        <x:v>FT-Q-V01-018</x:v>
      </x:c>
      <x:c r="B22" s="31" t="str">
        <x:v>changes of temperature</x:v>
      </x:c>
      <x:c r="C22" s="19" t="str">
        <x:v>local / instrumental temperature</x:v>
      </x:c>
      <x:c r="D22" s="19" t="str">
        <x:v>temperature_threshold</x:v>
      </x:c>
      <x:c r="E22" s="19" t="str">
        <x:v>A</x:v>
      </x:c>
      <x:c r="F22" s="31" t="str">
        <x:v>EXECUTABLE_NGRAM</x:v>
      </x:c>
      <x:c r="G22" s="19" t="str">
        <x:v>CONTEXT_REQUIRED</x:v>
      </x:c>
      <x:c r="H22" s="19" t="str">
        <x:v>eng</x:v>
      </x:c>
      <x:c r="I22" s="19" t="str">
        <x:v>current English corpus (July 2024 dataset; public shorthand eng; mutable current corpus)</x:v>
      </x:c>
      <x:c r="J22" s="19" t="str">
        <x:v>1842</x:v>
      </x:c>
      <x:c r="K22" s="19" t="str">
        <x:v>2022</x:v>
      </x:c>
      <x:c r="L22" s="28" t="n">
        <x:v>1842</x:v>
      </x:c>
      <x:c r="M22" s="28" t="n">
        <x:v>181</x:v>
      </x:c>
      <x:c r="N22" s="28" t="n">
        <x:v>1884</x:v>
      </x:c>
      <x:c r="O22" s="34" t="n">
        <x:v>9.022425947469159e-7</x:v>
      </x:c>
      <x:c r="P22" s="28" t="n">
        <x:v>6.394769389017618e-8</x:v>
      </x:c>
      <x:c r="Q22" s="34" t="n">
        <x:v>6.602953730450167e-7</x:v>
      </x:c>
      <x:c r="R22" s="34" t="n">
        <x:v>2.283350331311329e-7</x:v>
      </x:c>
      <x:c r="S22" s="34" t="n">
        <x:v>3.962615856278884e-8</x:v>
      </x:c>
      <x:c r="T22" s="34" t="n">
        <x:v>2.754631066997915e-8</x:v>
      </x:c>
      <x:c r="U22" s="34" t="n">
        <x:v>4.290605436219064e-8</x:v>
      </x:c>
      <x:c r="V22" s="34" t="n">
        <x:v>3.522618251608489e-8</x:v>
      </x:c>
      <x:c r="W22" s="34" t="n">
        <x:v>2.989213794199475e-8</x:v>
      </x:c>
      <x:c r="X22" s="34" t="n">
        <x:v>6.394769389017618e-8</x:v>
      </x:c>
      <x:c r="Y22" s="34" t="n">
        <x:v>6.394769389017618e-8</x:v>
      </x:c>
      <x:c r="Z22" s="28" t="n">
        <x:v>2022</x:v>
      </x:c>
      <x:c r="AA22" s="19" t="str">
        <x:v>AVAILABLE</x:v>
      </x:c>
      <x:c r="AB22" s="19" t="str">
        <x:v>AVAILABLE</x:v>
      </x:c>
      <x:c r="AC22" s="46" t="str">
        <x:v>Climate/temperature-linked lexical frequency; still not evidence of reception, voice, or affect without passage review.</x:v>
      </x:c>
    </x:row>
    <x:row r="23" ht="23" customHeight="1">
      <x:c r="A23" s="18" t="str">
        <x:v>FT-Q-V01-019</x:v>
      </x:c>
      <x:c r="B23" s="31" t="str">
        <x:v>excessive heat</x:v>
      </x:c>
      <x:c r="C23" s="19" t="str">
        <x:v>extreme-heat hazard</x:v>
      </x:c>
      <x:c r="D23" s="19" t="str">
        <x:v>heat</x:v>
      </x:c>
      <x:c r="E23" s="19" t="str">
        <x:v>D</x:v>
      </x:c>
      <x:c r="F23" s="31" t="str">
        <x:v>EXECUTABLE_NGRAM</x:v>
      </x:c>
      <x:c r="G23" s="19" t="str">
        <x:v>CONTEXT_REQUIRED</x:v>
      </x:c>
      <x:c r="H23" s="19" t="str">
        <x:v>eng</x:v>
      </x:c>
      <x:c r="I23" s="19" t="str">
        <x:v>current English corpus (July 2024 dataset; public shorthand eng; mutable current corpus)</x:v>
      </x:c>
      <x:c r="J23" s="19" t="str">
        <x:v>1842</x:v>
      </x:c>
      <x:c r="K23" s="19" t="str">
        <x:v>2022</x:v>
      </x:c>
      <x:c r="L23" s="28" t="n">
        <x:v>1842</x:v>
      </x:c>
      <x:c r="M23" s="28" t="n">
        <x:v>181</x:v>
      </x:c>
      <x:c r="N23" s="28" t="n">
        <x:v>1842</x:v>
      </x:c>
      <x:c r="O23" s="34" t="n">
        <x:v>4.727764535417123e-7</x:v>
      </x:c>
      <x:c r="P23" s="28" t="n">
        <x:v>1.668727563908234e-7</x:v>
      </x:c>
      <x:c r="Q23" s="34" t="n">
        <x:v>4.727764535417123e-7</x:v>
      </x:c>
      <x:c r="R23" s="34" t="n">
        <x:v>4.204291131626459e-7</x:v>
      </x:c>
      <x:c r="S23" s="34" t="n">
        <x:v>1.919429495761404e-7</x:v>
      </x:c>
      <x:c r="T23" s="34" t="n">
        <x:v>1.719103683017753e-7</x:v>
      </x:c>
      <x:c r="U23" s="34" t="n">
        <x:v>1.945187375618218e-7</x:v>
      </x:c>
      <x:c r="V23" s="34" t="n">
        <x:v>1.832145529317986e-7</x:v>
      </x:c>
      <x:c r="W23" s="34" t="n">
        <x:v>1.528099464187527e-7</x:v>
      </x:c>
      <x:c r="X23" s="34" t="n">
        <x:v>1.668727563908234e-7</x:v>
      </x:c>
      <x:c r="Y23" s="34" t="n">
        <x:v>1.668727563908234e-7</x:v>
      </x:c>
      <x:c r="Z23" s="28" t="n">
        <x:v>2022</x:v>
      </x:c>
      <x:c r="AA23" s="19" t="str">
        <x:v>AVAILABLE</x:v>
      </x:c>
      <x:c r="AB23" s="19" t="str">
        <x:v>AVAILABLE</x:v>
      </x:c>
      <x:c r="AC23" s="46" t="str">
        <x:v>Climate/temperature-linked lexical frequency; still not evidence of reception, voice, or affect without passage review.</x:v>
      </x:c>
    </x:row>
    <x:row r="24" ht="23" customHeight="1">
      <x:c r="A24" s="18" t="str">
        <x:v>FT-Q-V01-020</x:v>
      </x:c>
      <x:c r="B24" s="31" t="str">
        <x:v>heat of the men</x:v>
      </x:c>
      <x:c r="C24" s="19" t="str">
        <x:v>embodied heat exposure</x:v>
      </x:c>
      <x:c r="D24" s="19" t="str">
        <x:v>heat</x:v>
      </x:c>
      <x:c r="E24" s="19" t="str">
        <x:v>A</x:v>
      </x:c>
      <x:c r="F24" s="31" t="str">
        <x:v>EXECUTABLE_NGRAM</x:v>
      </x:c>
      <x:c r="G24" s="19" t="str">
        <x:v>CONTEXT_REQUIRED</x:v>
      </x:c>
      <x:c r="H24" s="19" t="str">
        <x:v>eng</x:v>
      </x:c>
      <x:c r="I24" s="19" t="str">
        <x:v>current English corpus (July 2024 dataset; public shorthand eng; mutable current corpus)</x:v>
      </x:c>
      <x:c r="J24" s="19" t="str">
        <x:v>1842</x:v>
      </x:c>
      <x:c r="K24" s="19" t="str">
        <x:v>2022</x:v>
      </x:c>
      <x:c r="L24" s="28" t="n">
        <x:v>1842</x:v>
      </x:c>
      <x:c r="M24" s="28" t="n">
        <x:v>88</x:v>
      </x:c>
      <x:c r="N24" s="28" t="n">
        <x:v>1864</x:v>
      </x:c>
      <x:c r="O24" s="34" t="n">
        <x:v>7.825550873974407e-9</x:v>
      </x:c>
      <x:c r="P24" s="28" t="n">
        <x:v>1.524350368153904e-10</x:v>
      </x:c>
      <x:c r="Q24" s="34" t="n">
        <x:v>7.334431950667408e-10</x:v>
      </x:c>
      <x:c r="R24" s="34" t="n">
        <x:v>0</x:v>
      </x:c>
      <x:c r="S24" s="34" t="n">
        <x:v>5.975666489410614e-11</x:v>
      </x:c>
      <x:c r="T24" s="34" t="n">
        <x:v>5.397934182971298e-11</x:v>
      </x:c>
      <x:c r="U24" s="34" t="n">
        <x:v>1.585177267227067e-10</x:v>
      </x:c>
      <x:c r="V24" s="34" t="n">
        <x:v>1.062485342762098e-10</x:v>
      </x:c>
      <x:c r="W24" s="34" t="n">
        <x:v>1.613050110149672e-10</x:v>
      </x:c>
      <x:c r="X24" s="34" t="n">
        <x:v>1.524350368153904e-10</x:v>
      </x:c>
      <x:c r="Y24" s="34" t="n">
        <x:v>1.524350368153904e-10</x:v>
      </x:c>
      <x:c r="Z24" s="28" t="n">
        <x:v>2022</x:v>
      </x:c>
      <x:c r="AA24" s="19" t="str">
        <x:v>AVAILABLE</x:v>
      </x:c>
      <x:c r="AB24" s="19" t="str">
        <x:v>AVAILABLE</x:v>
      </x:c>
      <x:c r="AC24" s="46" t="str">
        <x:v>Climate/temperature-linked lexical frequency; still not evidence of reception, voice, or affect without passage review.</x:v>
      </x:c>
    </x:row>
    <x:row r="25" ht="23" customHeight="1">
      <x:c r="A25" s="18" t="str">
        <x:v>FT-Q-V01-021</x:v>
      </x:c>
      <x:c r="B25" s="31" t="str">
        <x:v>artificial production of carbon dioxide</x:v>
      </x:c>
      <x:c r="C25" s="19" t="str">
        <x:v>anthropogenic carbon-dioxide production</x:v>
      </x:c>
      <x:c r="D25" s="19" t="str">
        <x:v>carbon_greenhouse</x:v>
      </x:c>
      <x:c r="E25" s="19" t="str">
        <x:v>B</x:v>
      </x:c>
      <x:c r="F25" s="31" t="str">
        <x:v>EXECUTABLE_NGRAM</x:v>
      </x:c>
      <x:c r="G25" s="19" t="str">
        <x:v>CONTEXT_REQUIRED</x:v>
      </x:c>
      <x:c r="H25" s="19" t="str">
        <x:v>eng</x:v>
      </x:c>
      <x:c r="I25" s="19" t="str">
        <x:v>current English corpus (July 2024 dataset; public shorthand eng; mutable current corpus)</x:v>
      </x:c>
      <x:c r="J25" s="19" t="str">
        <x:v>1842</x:v>
      </x:c>
      <x:c r="K25" s="19" t="str">
        <x:v>2022</x:v>
      </x:c>
      <x:c r="L25" s="28" t="n">
        <x:v>1902</x:v>
      </x:c>
      <x:c r="M25" s="28" t="n">
        <x:v>79</x:v>
      </x:c>
      <x:c r="N25" s="28" t="n">
        <x:v>1938</x:v>
      </x:c>
      <x:c r="O25" s="34" t="n">
        <x:v>4.288904842386643e-9</x:v>
      </x:c>
      <x:c r="P25" s="28" t="n">
        <x:v>1.794034754087903e-9</x:v>
      </x:c>
      <x:c r="Q25" s="34" t="n">
        <x:v>0</x:v>
      </x:c>
      <x:c r="R25" s="34" t="n">
        <x:v>4.288904842386643e-9</x:v>
      </x:c>
      <x:c r="S25" s="34" t="n">
        <x:v>3.258350533830168e-10</x:v>
      </x:c>
      <x:c r="T25" s="34" t="n">
        <x:v>5.240586020693883e-10</x:v>
      </x:c>
      <x:c r="U25" s="34" t="n">
        <x:v>9.678072787622227e-10</x:v>
      </x:c>
      <x:c r="V25" s="34" t="n">
        <x:v>7.459329404158055e-10</x:v>
      </x:c>
      <x:c r="W25" s="34" t="n">
        <x:v>1.151764794649068e-9</x:v>
      </x:c>
      <x:c r="X25" s="34" t="n">
        <x:v>1.794034754087903e-9</x:v>
      </x:c>
      <x:c r="Y25" s="34" t="n">
        <x:v>1.794034754087903e-9</x:v>
      </x:c>
      <x:c r="Z25" s="28" t="n">
        <x:v>2022</x:v>
      </x:c>
      <x:c r="AA25" s="19" t="str">
        <x:v>AVAILABLE</x:v>
      </x:c>
      <x:c r="AB25" s="19" t="str">
        <x:v>AVAILABLE</x:v>
      </x:c>
      <x:c r="AC25" s="46" t="str">
        <x:v>Climate/temperature-linked lexical frequency; still not evidence of reception, voice, or affect without passage review.</x:v>
      </x:c>
    </x:row>
    <x:row r="26" ht="23" customHeight="1">
      <x:c r="A26" s="18" t="str">
        <x:v>FT-Q-V01-022</x:v>
      </x:c>
      <x:c r="B26" s="31" t="str">
        <x:v>carbon dioxide</x:v>
      </x:c>
      <x:c r="C26" s="19" t="str">
        <x:v>atmospheric carbon dioxide</x:v>
      </x:c>
      <x:c r="D26" s="19" t="str">
        <x:v>carbon_greenhouse</x:v>
      </x:c>
      <x:c r="E26" s="19" t="str">
        <x:v>B</x:v>
      </x:c>
      <x:c r="F26" s="31" t="str">
        <x:v>EXECUTABLE_NGRAM</x:v>
      </x:c>
      <x:c r="G26" s="19" t="str">
        <x:v>CONTEXT_REQUIRED</x:v>
      </x:c>
      <x:c r="H26" s="19" t="str">
        <x:v>eng</x:v>
      </x:c>
      <x:c r="I26" s="19" t="str">
        <x:v>current English corpus (July 2024 dataset; public shorthand eng; mutable current corpus)</x:v>
      </x:c>
      <x:c r="J26" s="19" t="str">
        <x:v>1842</x:v>
      </x:c>
      <x:c r="K26" s="19" t="str">
        <x:v>2022</x:v>
      </x:c>
      <x:c r="L26" s="28" t="n">
        <x:v>1842</x:v>
      </x:c>
      <x:c r="M26" s="28" t="n">
        <x:v>177</x:v>
      </x:c>
      <x:c r="N26" s="28" t="n">
        <x:v>1965</x:v>
      </x:c>
      <x:c r="O26" s="34" t="n">
        <x:v>0.00001041381219862858</x:v>
      </x:c>
      <x:c r="P26" s="28" t="n">
        <x:v>0.000007577890368426488</x:v>
      </x:c>
      <x:c r="Q26" s="34" t="n">
        <x:v>7.094871634638622e-9</x:v>
      </x:c>
      <x:c r="R26" s="34" t="n">
        <x:v>0.000009657730330014935</x:v>
      </x:c>
      <x:c r="S26" s="34" t="n">
        <x:v>0.000007055988905570881</x:v>
      </x:c>
      <x:c r="T26" s="34" t="n">
        <x:v>0.000006240827137342364</x:v>
      </x:c>
      <x:c r="U26" s="34" t="n">
        <x:v>0.000007639031842188865</x:v>
      </x:c>
      <x:c r="V26" s="34" t="n">
        <x:v>0.000006939929489765614</x:v>
      </x:c>
      <x:c r="W26" s="34" t="n">
        <x:v>0.000007018469256155763</x:v>
      </x:c>
      <x:c r="X26" s="34" t="n">
        <x:v>0.000007577890368426488</x:v>
      </x:c>
      <x:c r="Y26" s="34" t="n">
        <x:v>0.000007577890368426488</x:v>
      </x:c>
      <x:c r="Z26" s="28" t="n">
        <x:v>2022</x:v>
      </x:c>
      <x:c r="AA26" s="19" t="str">
        <x:v>AVAILABLE</x:v>
      </x:c>
      <x:c r="AB26" s="19" t="str">
        <x:v>AVAILABLE</x:v>
      </x:c>
      <x:c r="AC26" s="46" t="str">
        <x:v>Climate/temperature-linked lexical frequency; still not evidence of reception, voice, or affect without passage review.</x:v>
      </x:c>
    </x:row>
    <x:row r="27" ht="23" customHeight="1">
      <x:c r="A27" s="18" t="str">
        <x:v>FT-Q-V01-023</x:v>
      </x:c>
      <x:c r="B27" s="31" t="str">
        <x:v>fuel combustion</x:v>
      </x:c>
      <x:c r="C27" s="19" t="str">
        <x:v>anthropogenic carbon-dioxide production</x:v>
      </x:c>
      <x:c r="D27" s="19" t="str">
        <x:v>carbon_greenhouse</x:v>
      </x:c>
      <x:c r="E27" s="19" t="str">
        <x:v>B</x:v>
      </x:c>
      <x:c r="F27" s="31" t="str">
        <x:v>EXECUTABLE_NGRAM</x:v>
      </x:c>
      <x:c r="G27" s="19" t="str">
        <x:v>CONTEXT_REQUIRED</x:v>
      </x:c>
      <x:c r="H27" s="19" t="str">
        <x:v>eng</x:v>
      </x:c>
      <x:c r="I27" s="19" t="str">
        <x:v>current English corpus (July 2024 dataset; public shorthand eng; mutable current corpus)</x:v>
      </x:c>
      <x:c r="J27" s="19" t="str">
        <x:v>1842</x:v>
      </x:c>
      <x:c r="K27" s="19" t="str">
        <x:v>2022</x:v>
      </x:c>
      <x:c r="L27" s="28" t="n">
        <x:v>1852</x:v>
      </x:c>
      <x:c r="M27" s="28" t="n">
        <x:v>163</x:v>
      </x:c>
      <x:c r="N27" s="28" t="n">
        <x:v>1978</x:v>
      </x:c>
      <x:c r="O27" s="34" t="n">
        <x:v>4.672991359144785e-7</x:v>
      </x:c>
      <x:c r="P27" s="28" t="n">
        <x:v>2.188545896730787e-7</x:v>
      </x:c>
      <x:c r="Q27" s="34" t="n">
        <x:v>0</x:v>
      </x:c>
      <x:c r="R27" s="34" t="n">
        <x:v>3.608451315528782e-8</x:v>
      </x:c>
      <x:c r="S27" s="34" t="n">
        <x:v>2.62274336634144e-7</x:v>
      </x:c>
      <x:c r="T27" s="34" t="n">
        <x:v>1.396342554360608e-7</x:v>
      </x:c>
      <x:c r="U27" s="34" t="n">
        <x:v>1.814758646689896e-7</x:v>
      </x:c>
      <x:c r="V27" s="34" t="n">
        <x:v>1.605550600525252e-7</x:v>
      </x:c>
      <x:c r="W27" s="34" t="n">
        <x:v>1.964765977136018e-7</x:v>
      </x:c>
      <x:c r="X27" s="34" t="n">
        <x:v>2.188545896730787e-7</x:v>
      </x:c>
      <x:c r="Y27" s="34" t="n">
        <x:v>2.188545896730787e-7</x:v>
      </x:c>
      <x:c r="Z27" s="28" t="n">
        <x:v>2022</x:v>
      </x:c>
      <x:c r="AA27" s="19" t="str">
        <x:v>AVAILABLE</x:v>
      </x:c>
      <x:c r="AB27" s="19" t="str">
        <x:v>AVAILABLE</x:v>
      </x:c>
      <x:c r="AC27" s="46" t="str">
        <x:v>Climate/temperature-linked lexical frequency; still not evidence of reception, voice, or affect without passage review.</x:v>
      </x:c>
    </x:row>
    <x:row r="28" ht="23" customHeight="1">
      <x:c r="A28" s="18" t="str">
        <x:v>FT-Q-V01-024</x:v>
      </x:c>
      <x:c r="B28" s="31" t="str">
        <x:v>air</x:v>
      </x:c>
      <x:c r="C28" s="19" t="str">
        <x:v>historical climate / climatological condition</x:v>
      </x:c>
      <x:c r="D28" s="19" t="str">
        <x:v>climate</x:v>
      </x:c>
      <x:c r="E28" s="19" t="str">
        <x:v>B</x:v>
      </x:c>
      <x:c r="F28" s="31" t="str">
        <x:v>BACKGROUND_AMBIGUOUS</x:v>
      </x:c>
      <x:c r="G28" s="19" t="str">
        <x:v>BACKGROUND_AMBIGUOUS</x:v>
      </x:c>
      <x:c r="H28" s="19" t="str">
        <x:v>eng</x:v>
      </x:c>
      <x:c r="I28" s="19" t="str">
        <x:v>current English corpus (July 2024 dataset; public shorthand eng; mutable current corpus)</x:v>
      </x:c>
      <x:c r="J28" s="19" t="str">
        <x:v>1842</x:v>
      </x:c>
      <x:c r="K28" s="19" t="str">
        <x:v>2022</x:v>
      </x:c>
      <x:c r="L28" s="28" t="n">
        <x:v>1842</x:v>
      </x:c>
      <x:c r="M28" s="28" t="n">
        <x:v>181</x:v>
      </x:c>
      <x:c r="N28" s="28" t="n">
        <x:v>1944</x:v>
      </x:c>
      <x:c r="O28" s="34" t="n">
        <x:v>0.0003521059437459062</x:v>
      </x:c>
      <x:c r="P28" s="28" t="n">
        <x:v>0.0001629262595982672</x:v>
      </x:c>
      <x:c r="Q28" s="34" t="n">
        <x:v>0.0001596951176452421</x:v>
      </x:c>
      <x:c r="R28" s="34" t="n">
        <x:v>0.0002449050748590531</x:v>
      </x:c>
      <x:c r="S28" s="34" t="n">
        <x:v>0.000195882758400559</x:v>
      </x:c>
      <x:c r="T28" s="34" t="n">
        <x:v>0.0001554248265307964</x:v>
      </x:c>
      <x:c r="U28" s="34" t="n">
        <x:v>0.0001617948143970288</x:v>
      </x:c>
      <x:c r="V28" s="34" t="n">
        <x:v>0.0001586098204639126</x:v>
      </x:c>
      <x:c r="W28" s="34" t="n">
        <x:v>0.0001673772195566331</x:v>
      </x:c>
      <x:c r="X28" s="34" t="n">
        <x:v>0.0001629262595982672</x:v>
      </x:c>
      <x:c r="Y28" s="34" t="n">
        <x:v>0.0001629262595982672</x:v>
      </x:c>
      <x:c r="Z28" s="28" t="n">
        <x:v>2022</x:v>
      </x:c>
      <x:c r="AA28" s="19" t="str">
        <x:v>AVAILABLE</x:v>
      </x:c>
      <x:c r="AB28" s="19" t="str">
        <x:v>AVAILABLE</x:v>
      </x:c>
      <x:c r="AC28" s="46" t="str">
        <x:v>Generic corpus string frequency; not climate-specific semantic frequency.</x:v>
      </x:c>
    </x:row>
    <x:row r="29" ht="23" customHeight="1">
      <x:c r="A29" s="18" t="str">
        <x:v>FT-Q-V01-025</x:v>
      </x:c>
      <x:c r="B29" s="31" t="str">
        <x:v>atmosphere</x:v>
      </x:c>
      <x:c r="C29" s="19" t="str">
        <x:v>historical climate / climatological condition</x:v>
      </x:c>
      <x:c r="D29" s="19" t="str">
        <x:v>climate</x:v>
      </x:c>
      <x:c r="E29" s="19" t="str">
        <x:v>B</x:v>
      </x:c>
      <x:c r="F29" s="31" t="str">
        <x:v>BACKGROUND_AMBIGUOUS</x:v>
      </x:c>
      <x:c r="G29" s="19" t="str">
        <x:v>BACKGROUND_AMBIGUOUS</x:v>
      </x:c>
      <x:c r="H29" s="19" t="str">
        <x:v>eng</x:v>
      </x:c>
      <x:c r="I29" s="19" t="str">
        <x:v>current English corpus (July 2024 dataset; public shorthand eng; mutable current corpus)</x:v>
      </x:c>
      <x:c r="J29" s="19" t="str">
        <x:v>1842</x:v>
      </x:c>
      <x:c r="K29" s="19" t="str">
        <x:v>2022</x:v>
      </x:c>
      <x:c r="L29" s="28" t="n">
        <x:v>1842</x:v>
      </x:c>
      <x:c r="M29" s="28" t="n">
        <x:v>181</x:v>
      </x:c>
      <x:c r="N29" s="28" t="n">
        <x:v>1965</x:v>
      </x:c>
      <x:c r="O29" s="34" t="n">
        <x:v>0.00003836178537423851</x:v>
      </x:c>
      <x:c r="P29" s="28" t="n">
        <x:v>0.00002270211442953474</x:v>
      </x:c>
      <x:c r="Q29" s="34" t="n">
        <x:v>0.00002831485350895946</x:v>
      </x:c>
      <x:c r="R29" s="34" t="n">
        <x:v>0.00001888270770677991</x:v>
      </x:c>
      <x:c r="S29" s="34" t="n">
        <x:v>0.00002367981869610958</x:v>
      </x:c>
      <x:c r="T29" s="34" t="n">
        <x:v>0.00002126778495892268</x:v>
      </x:c>
      <x:c r="U29" s="34" t="n">
        <x:v>0.00002173044436442478</x:v>
      </x:c>
      <x:c r="V29" s="34" t="n">
        <x:v>0.00002149911466167373</x:v>
      </x:c>
      <x:c r="W29" s="34" t="n">
        <x:v>0.00002122521947781064</x:v>
      </x:c>
      <x:c r="X29" s="34" t="n">
        <x:v>0.00002270211442953474</x:v>
      </x:c>
      <x:c r="Y29" s="34" t="n">
        <x:v>0.00002270211442953474</x:v>
      </x:c>
      <x:c r="Z29" s="28" t="n">
        <x:v>2022</x:v>
      </x:c>
      <x:c r="AA29" s="19" t="str">
        <x:v>AVAILABLE</x:v>
      </x:c>
      <x:c r="AB29" s="19" t="str">
        <x:v>AVAILABLE</x:v>
      </x:c>
      <x:c r="AC29" s="46" t="str">
        <x:v>Generic corpus string frequency; not climate-specific semantic frequency.</x:v>
      </x:c>
    </x:row>
    <x:row r="30" ht="23" customHeight="1">
      <x:c r="A30" s="18" t="str">
        <x:v>FT-Q-V01-026</x:v>
      </x:c>
      <x:c r="B30" s="31" t="str">
        <x:v>radiation absorption coefficients</x:v>
      </x:c>
      <x:c r="C30" s="19" t="str">
        <x:v>historical climate / climatological condition</x:v>
      </x:c>
      <x:c r="D30" s="19" t="str">
        <x:v>climate</x:v>
      </x:c>
      <x:c r="E30" s="19" t="str">
        <x:v>B</x:v>
      </x:c>
      <x:c r="F30" s="31" t="str">
        <x:v>EXECUTABLE_NGRAM</x:v>
      </x:c>
      <x:c r="G30" s="19" t="str">
        <x:v>CONTEXT_REQUIRED</x:v>
      </x:c>
      <x:c r="H30" s="19" t="str">
        <x:v>eng</x:v>
      </x:c>
      <x:c r="I30" s="19" t="str">
        <x:v>current English corpus (July 2024 dataset; public shorthand eng; mutable current corpus)</x:v>
      </x:c>
      <x:c r="J30" s="19" t="str">
        <x:v>1842</x:v>
      </x:c>
      <x:c r="K30" s="19" t="str">
        <x:v>2022</x:v>
      </x:c>
      <x:c r="L30" s="28" t="n">
        <x:v>1929</x:v>
      </x:c>
      <x:c r="M30" s="28" t="n">
        <x:v>76</x:v>
      </x:c>
      <x:c r="N30" s="28" t="n">
        <x:v>1982</x:v>
      </x:c>
      <x:c r="O30" s="34" t="n">
        <x:v>6.327038087894366e-9</x:v>
      </x:c>
      <x:c r="P30" s="28" t="n">
        <x:v>4.729858865681891e-11</x:v>
      </x:c>
      <x:c r="Q30" s="34" t="n">
        <x:v>0</x:v>
      </x:c>
      <x:c r="R30" s="34" t="n">
        <x:v>1.222350221041779e-9</x:v>
      </x:c>
      <x:c r="S30" s="34" t="n">
        <x:v>3.784216828783826e-10</x:v>
      </x:c>
      <x:c r="T30" s="34" t="n">
        <x:v>9.908744658115864e-11</x:v>
      </x:c>
      <x:c r="U30" s="34" t="n">
        <x:v>3.887298122284832e-10</x:v>
      </x:c>
      <x:c r="V30" s="34" t="n">
        <x:v>2.439086294048209e-10</x:v>
      </x:c>
      <x:c r="W30" s="34" t="n">
        <x:v>9.997370292724739e-11</x:v>
      </x:c>
      <x:c r="X30" s="34" t="n">
        <x:v>4.729858865681891e-11</x:v>
      </x:c>
      <x:c r="Y30" s="34" t="n">
        <x:v>4.729858865681891e-11</x:v>
      </x:c>
      <x:c r="Z30" s="28" t="n">
        <x:v>2022</x:v>
      </x:c>
      <x:c r="AA30" s="19" t="str">
        <x:v>AVAILABLE</x:v>
      </x:c>
      <x:c r="AB30" s="19" t="str">
        <x:v>AVAILABLE</x:v>
      </x:c>
      <x:c r="AC30" s="46" t="str">
        <x:v>Climate/temperature-linked lexical frequency; still not evidence of reception, voice, or affect without passage review.</x:v>
      </x:c>
    </x:row>
    <x:row r="31" ht="23" customHeight="1">
      <x:c r="A31" s="18" t="str">
        <x:v>FT-Q-V01-027</x:v>
      </x:c>
      <x:c r="B31" s="31" t="str">
        <x:v>water vapour</x:v>
      </x:c>
      <x:c r="C31" s="19" t="str">
        <x:v>historical climate / climatological condition</x:v>
      </x:c>
      <x:c r="D31" s="19" t="str">
        <x:v>climate</x:v>
      </x:c>
      <x:c r="E31" s="19" t="str">
        <x:v>B</x:v>
      </x:c>
      <x:c r="F31" s="31" t="str">
        <x:v>EXECUTABLE_NGRAM</x:v>
      </x:c>
      <x:c r="G31" s="19" t="str">
        <x:v>CONTEXT_REQUIRED</x:v>
      </x:c>
      <x:c r="H31" s="19" t="str">
        <x:v>eng</x:v>
      </x:c>
      <x:c r="I31" s="19" t="str">
        <x:v>current English corpus (July 2024 dataset; public shorthand eng; mutable current corpus)</x:v>
      </x:c>
      <x:c r="J31" s="19" t="str">
        <x:v>1842</x:v>
      </x:c>
      <x:c r="K31" s="19" t="str">
        <x:v>2022</x:v>
      </x:c>
      <x:c r="L31" s="28" t="n">
        <x:v>1842</x:v>
      </x:c>
      <x:c r="M31" s="28" t="n">
        <x:v>181</x:v>
      </x:c>
      <x:c r="N31" s="28" t="n">
        <x:v>1960</x:v>
      </x:c>
      <x:c r="O31" s="34" t="n">
        <x:v>0.000001108909701168226</x:v>
      </x:c>
      <x:c r="P31" s="28" t="n">
        <x:v>5.510517200879583e-7</x:v>
      </x:c>
      <x:c r="Q31" s="34" t="n">
        <x:v>4.514918217068953e-9</x:v>
      </x:c>
      <x:c r="R31" s="34" t="n">
        <x:v>6.766959614878942e-7</x:v>
      </x:c>
      <x:c r="S31" s="34" t="n">
        <x:v>6.493189931566778e-7</x:v>
      </x:c>
      <x:c r="T31" s="34" t="n">
        <x:v>5.637561245712408e-7</x:v>
      </x:c>
      <x:c r="U31" s="34" t="n">
        <x:v>5.652062349884024e-7</x:v>
      </x:c>
      <x:c r="V31" s="34" t="n">
        <x:v>5.644811797798216e-7</x:v>
      </x:c>
      <x:c r="W31" s="34" t="n">
        <x:v>5.057859777633789e-7</x:v>
      </x:c>
      <x:c r="X31" s="34" t="n">
        <x:v>5.510517200879583e-7</x:v>
      </x:c>
      <x:c r="Y31" s="34" t="n">
        <x:v>5.510517200879583e-7</x:v>
      </x:c>
      <x:c r="Z31" s="28" t="n">
        <x:v>2022</x:v>
      </x:c>
      <x:c r="AA31" s="19" t="str">
        <x:v>AVAILABLE</x:v>
      </x:c>
      <x:c r="AB31" s="19" t="str">
        <x:v>AVAILABLE</x:v>
      </x:c>
      <x:c r="AC31" s="46" t="str">
        <x:v>Climate/temperature-linked lexical frequency; still not evidence of reception, voice, or affect without passage review.</x:v>
      </x:c>
    </x:row>
    <x:row r="32" ht="23" customHeight="1">
      <x:c r="A32" s="18" t="str">
        <x:v>FT-Q-V01-028</x:v>
      </x:c>
      <x:c r="B32" s="31" t="str">
        <x:v>sky radiation</x:v>
      </x:c>
      <x:c r="C32" s="19" t="str">
        <x:v>historical climate / climatological condition</x:v>
      </x:c>
      <x:c r="D32" s="19" t="str">
        <x:v>climate</x:v>
      </x:c>
      <x:c r="E32" s="19" t="str">
        <x:v>B</x:v>
      </x:c>
      <x:c r="F32" s="31" t="str">
        <x:v>EXECUTABLE_NGRAM</x:v>
      </x:c>
      <x:c r="G32" s="19" t="str">
        <x:v>CONTEXT_REQUIRED</x:v>
      </x:c>
      <x:c r="H32" s="19" t="str">
        <x:v>eng</x:v>
      </x:c>
      <x:c r="I32" s="19" t="str">
        <x:v>current English corpus (July 2024 dataset; public shorthand eng; mutable current corpus)</x:v>
      </x:c>
      <x:c r="J32" s="19" t="str">
        <x:v>1842</x:v>
      </x:c>
      <x:c r="K32" s="19" t="str">
        <x:v>2022</x:v>
      </x:c>
      <x:c r="L32" s="28" t="n">
        <x:v>1843</x:v>
      </x:c>
      <x:c r="M32" s="28" t="n">
        <x:v>162</x:v>
      </x:c>
      <x:c r="N32" s="28" t="n">
        <x:v>1964</x:v>
      </x:c>
      <x:c r="O32" s="34" t="n">
        <x:v>1.207640569766966e-7</x:v>
      </x:c>
      <x:c r="P32" s="28" t="n">
        <x:v>8.007414870059293e-9</x:v>
      </x:c>
      <x:c r="Q32" s="34" t="n">
        <x:v>0</x:v>
      </x:c>
      <x:c r="R32" s="34" t="n">
        <x:v>7.016433356543672e-8</x:v>
      </x:c>
      <x:c r="S32" s="34" t="n">
        <x:v>3.519036362309436e-8</x:v>
      </x:c>
      <x:c r="T32" s="34" t="n">
        <x:v>1.011776039339107e-8</x:v>
      </x:c>
      <x:c r="U32" s="34" t="n">
        <x:v>1.097400473965005e-8</x:v>
      </x:c>
      <x:c r="V32" s="34" t="n">
        <x:v>1.054588256652056e-8</x:v>
      </x:c>
      <x:c r="W32" s="34" t="n">
        <x:v>7.612475511065142e-9</x:v>
      </x:c>
      <x:c r="X32" s="34" t="n">
        <x:v>8.007414870059293e-9</x:v>
      </x:c>
      <x:c r="Y32" s="34" t="n">
        <x:v>8.007414870059293e-9</x:v>
      </x:c>
      <x:c r="Z32" s="28" t="n">
        <x:v>2022</x:v>
      </x:c>
      <x:c r="AA32" s="19" t="str">
        <x:v>AVAILABLE</x:v>
      </x:c>
      <x:c r="AB32" s="19" t="str">
        <x:v>AVAILABLE</x:v>
      </x:c>
      <x:c r="AC32" s="46" t="str">
        <x:v>Climate/temperature-linked lexical frequency; still not evidence of reception, voice, or affect without passage review.</x:v>
      </x:c>
    </x:row>
    <x:row r="33" ht="23" customHeight="1">
      <x:c r="A33" s="18" t="str">
        <x:v>FT-Q-V01-029</x:v>
      </x:c>
      <x:c r="B33" s="31" t="str">
        <x:v>increase in mean temperature</x:v>
      </x:c>
      <x:c r="C33" s="19" t="str">
        <x:v>mean temperature</x:v>
      </x:c>
      <x:c r="D33" s="19" t="str">
        <x:v>temperature_threshold</x:v>
      </x:c>
      <x:c r="E33" s="19" t="str">
        <x:v>A</x:v>
      </x:c>
      <x:c r="F33" s="31" t="str">
        <x:v>EXECUTABLE_NGRAM</x:v>
      </x:c>
      <x:c r="G33" s="19" t="str">
        <x:v>CONTEXT_REQUIRED</x:v>
      </x:c>
      <x:c r="H33" s="19" t="str">
        <x:v>eng</x:v>
      </x:c>
      <x:c r="I33" s="19" t="str">
        <x:v>current English corpus (July 2024 dataset; public shorthand eng; mutable current corpus)</x:v>
      </x:c>
      <x:c r="J33" s="19" t="str">
        <x:v>1842</x:v>
      </x:c>
      <x:c r="K33" s="19" t="str">
        <x:v>2022</x:v>
      </x:c>
      <x:c r="L33" s="28" t="n">
        <x:v>1868</x:v>
      </x:c>
      <x:c r="M33" s="28" t="n">
        <x:v>120</x:v>
      </x:c>
      <x:c r="N33" s="28" t="n">
        <x:v>1868</x:v>
      </x:c>
      <x:c r="O33" s="34" t="n">
        <x:v>4.050583868320246e-9</x:v>
      </x:c>
      <x:c r="P33" s="28" t="n">
        <x:v>3.455194436119413e-9</x:v>
      </x:c>
      <x:c r="Q33" s="34" t="n">
        <x:v>0</x:v>
      </x:c>
      <x:c r="R33" s="34" t="n">
        <x:v>2.30258700995023e-9</x:v>
      </x:c>
      <x:c r="S33" s="34" t="n">
        <x:v>1.254889969715123e-9</x:v>
      </x:c>
      <x:c r="T33" s="34" t="n">
        <x:v>1.511421543476388e-9</x:v>
      </x:c>
      <x:c r="U33" s="34" t="n">
        <x:v>2.430605078318493e-9</x:v>
      </x:c>
      <x:c r="V33" s="34" t="n">
        <x:v>1.97101331089744e-9</x:v>
      </x:c>
      <x:c r="W33" s="34" t="n">
        <x:v>1.774355107286851e-9</x:v>
      </x:c>
      <x:c r="X33" s="34" t="n">
        <x:v>3.455194436119413e-9</x:v>
      </x:c>
      <x:c r="Y33" s="34" t="n">
        <x:v>3.455194436119413e-9</x:v>
      </x:c>
      <x:c r="Z33" s="28" t="n">
        <x:v>2022</x:v>
      </x:c>
      <x:c r="AA33" s="19" t="str">
        <x:v>AVAILABLE</x:v>
      </x:c>
      <x:c r="AB33" s="19" t="str">
        <x:v>AVAILABLE</x:v>
      </x:c>
      <x:c r="AC33" s="46" t="str">
        <x:v>Climate/temperature-linked lexical frequency; still not evidence of reception, voice, or affect without passage review.</x:v>
      </x:c>
    </x:row>
    <x:row r="34" ht="23" customHeight="1">
      <x:c r="A34" s="18" t="str">
        <x:v>FT-Q-V01-030</x:v>
      </x:c>
      <x:c r="B34" s="31" t="str">
        <x:v>mean temperature</x:v>
      </x:c>
      <x:c r="C34" s="19" t="str">
        <x:v>mean temperature</x:v>
      </x:c>
      <x:c r="D34" s="19" t="str">
        <x:v>temperature_threshold</x:v>
      </x:c>
      <x:c r="E34" s="19" t="str">
        <x:v>A</x:v>
      </x:c>
      <x:c r="F34" s="31" t="str">
        <x:v>EXECUTABLE_NGRAM</x:v>
      </x:c>
      <x:c r="G34" s="19" t="str">
        <x:v>CONTEXT_REQUIRED</x:v>
      </x:c>
      <x:c r="H34" s="19" t="str">
        <x:v>eng</x:v>
      </x:c>
      <x:c r="I34" s="19" t="str">
        <x:v>current English corpus (July 2024 dataset; public shorthand eng; mutable current corpus)</x:v>
      </x:c>
      <x:c r="J34" s="19" t="str">
        <x:v>1842</x:v>
      </x:c>
      <x:c r="K34" s="19" t="str">
        <x:v>2022</x:v>
      </x:c>
      <x:c r="L34" s="28" t="n">
        <x:v>1842</x:v>
      </x:c>
      <x:c r="M34" s="28" t="n">
        <x:v>181</x:v>
      </x:c>
      <x:c r="N34" s="28" t="n">
        <x:v>1858</x:v>
      </x:c>
      <x:c r="O34" s="34" t="n">
        <x:v>0.000003219442511692705</x:v>
      </x:c>
      <x:c r="P34" s="28" t="n">
        <x:v>3.990877988080399e-7</x:v>
      </x:c>
      <x:c r="Q34" s="34" t="n">
        <x:v>0.000002365172290907935</x:v>
      </x:c>
      <x:c r="R34" s="34" t="n">
        <x:v>0.00000106460447896195</x:v>
      </x:c>
      <x:c r="S34" s="34" t="n">
        <x:v>5.396020415979197e-7</x:v>
      </x:c>
      <x:c r="T34" s="34" t="n">
        <x:v>4.059007448348195e-7</x:v>
      </x:c>
      <x:c r="U34" s="34" t="n">
        <x:v>4.200255244168893e-7</x:v>
      </x:c>
      <x:c r="V34" s="34" t="n">
        <x:v>4.129631346258544e-7</x:v>
      </x:c>
      <x:c r="W34" s="34" t="n">
        <x:v>3.047325316460348e-7</x:v>
      </x:c>
      <x:c r="X34" s="34" t="n">
        <x:v>3.990877988080399e-7</x:v>
      </x:c>
      <x:c r="Y34" s="34" t="n">
        <x:v>3.990877988080399e-7</x:v>
      </x:c>
      <x:c r="Z34" s="28" t="n">
        <x:v>2022</x:v>
      </x:c>
      <x:c r="AA34" s="19" t="str">
        <x:v>AVAILABLE</x:v>
      </x:c>
      <x:c r="AB34" s="19" t="str">
        <x:v>AVAILABLE</x:v>
      </x:c>
      <x:c r="AC34" s="46" t="str">
        <x:v>Climate/temperature-linked lexical frequency; still not evidence of reception, voice, or affect without passage review.</x:v>
      </x:c>
    </x:row>
    <x:row r="35" ht="23" customHeight="1">
      <x:c r="A35" s="18" t="str">
        <x:v>FT-Q-V01-031</x:v>
      </x:c>
      <x:c r="B35" s="31" t="str">
        <x:v>temperature observations</x:v>
      </x:c>
      <x:c r="C35" s="19" t="str">
        <x:v>local / instrumental temperature</x:v>
      </x:c>
      <x:c r="D35" s="19" t="str">
        <x:v>temperature_threshold</x:v>
      </x:c>
      <x:c r="E35" s="19" t="str">
        <x:v>A</x:v>
      </x:c>
      <x:c r="F35" s="31" t="str">
        <x:v>EXECUTABLE_NGRAM</x:v>
      </x:c>
      <x:c r="G35" s="19" t="str">
        <x:v>CONTEXT_REQUIRED</x:v>
      </x:c>
      <x:c r="H35" s="19" t="str">
        <x:v>eng</x:v>
      </x:c>
      <x:c r="I35" s="19" t="str">
        <x:v>current English corpus (July 2024 dataset; public shorthand eng; mutable current corpus)</x:v>
      </x:c>
      <x:c r="J35" s="19" t="str">
        <x:v>1842</x:v>
      </x:c>
      <x:c r="K35" s="19" t="str">
        <x:v>2022</x:v>
      </x:c>
      <x:c r="L35" s="28" t="n">
        <x:v>1843</x:v>
      </x:c>
      <x:c r="M35" s="28" t="n">
        <x:v>178</x:v>
      </x:c>
      <x:c r="N35" s="28" t="n">
        <x:v>1908</x:v>
      </x:c>
      <x:c r="O35" s="34" t="n">
        <x:v>1.812998174921532e-7</x:v>
      </x:c>
      <x:c r="P35" s="28" t="n">
        <x:v>1.079452616181698e-8</x:v>
      </x:c>
      <x:c r="Q35" s="34" t="n">
        <x:v>0</x:v>
      </x:c>
      <x:c r="R35" s="34" t="n">
        <x:v>3.630725631253995e-8</x:v>
      </x:c>
      <x:c r="S35" s="34" t="n">
        <x:v>4.333399722389331e-8</x:v>
      </x:c>
      <x:c r="T35" s="34" t="n">
        <x:v>1.327669915673901e-8</x:v>
      </x:c>
      <x:c r="U35" s="34" t="n">
        <x:v>1.196346471887821e-8</x:v>
      </x:c>
      <x:c r="V35" s="34" t="n">
        <x:v>1.262008193780861e-8</x:v>
      </x:c>
      <x:c r="W35" s="34" t="n">
        <x:v>8.032796372514639e-9</x:v>
      </x:c>
      <x:c r="X35" s="34" t="n">
        <x:v>1.079452616181698e-8</x:v>
      </x:c>
      <x:c r="Y35" s="34" t="n">
        <x:v>1.079452616181698e-8</x:v>
      </x:c>
      <x:c r="Z35" s="28" t="n">
        <x:v>2022</x:v>
      </x:c>
      <x:c r="AA35" s="19" t="str">
        <x:v>AVAILABLE</x:v>
      </x:c>
      <x:c r="AB35" s="19" t="str">
        <x:v>AVAILABLE</x:v>
      </x:c>
      <x:c r="AC35" s="46" t="str">
        <x:v>Climate/temperature-linked lexical frequency; still not evidence of reception, voice, or affect without passage review.</x:v>
      </x:c>
    </x:row>
    <x:row r="36" ht="23" customHeight="1">
      <x:c r="A36" s="18" t="str">
        <x:v>FT-Q-V01-032</x:v>
      </x:c>
      <x:c r="B36" s="31" t="str">
        <x:v>meteorological stations</x:v>
      </x:c>
      <x:c r="C36" s="19" t="str">
        <x:v>historical climate / climatological condition</x:v>
      </x:c>
      <x:c r="D36" s="19" t="str">
        <x:v>climate</x:v>
      </x:c>
      <x:c r="E36" s="19" t="str">
        <x:v>B</x:v>
      </x:c>
      <x:c r="F36" s="31" t="str">
        <x:v>EXECUTABLE_NGRAM</x:v>
      </x:c>
      <x:c r="G36" s="19" t="str">
        <x:v>CONTEXT_REQUIRED</x:v>
      </x:c>
      <x:c r="H36" s="19" t="str">
        <x:v>eng</x:v>
      </x:c>
      <x:c r="I36" s="19" t="str">
        <x:v>current English corpus (July 2024 dataset; public shorthand eng; mutable current corpus)</x:v>
      </x:c>
      <x:c r="J36" s="19" t="str">
        <x:v>1842</x:v>
      </x:c>
      <x:c r="K36" s="19" t="str">
        <x:v>2022</x:v>
      </x:c>
      <x:c r="L36" s="28" t="n">
        <x:v>1842</x:v>
      </x:c>
      <x:c r="M36" s="28" t="n">
        <x:v>180</x:v>
      </x:c>
      <x:c r="N36" s="28" t="n">
        <x:v>1965</x:v>
      </x:c>
      <x:c r="O36" s="34" t="n">
        <x:v>1.655199003414154e-7</x:v>
      </x:c>
      <x:c r="P36" s="28" t="n">
        <x:v>5.706942204919407e-8</x:v>
      </x:c>
      <x:c r="Q36" s="34" t="n">
        <x:v>6.449883405146295e-10</x:v>
      </x:c>
      <x:c r="R36" s="34" t="n">
        <x:v>9.076814153075041e-8</x:v>
      </x:c>
      <x:c r="S36" s="34" t="n">
        <x:v>9.47622730285147e-8</x:v>
      </x:c>
      <x:c r="T36" s="34" t="n">
        <x:v>6.752804135312651e-8</x:v>
      </x:c>
      <x:c r="U36" s="34" t="n">
        <x:v>5.707381896605246e-8</x:v>
      </x:c>
      <x:c r="V36" s="34" t="n">
        <x:v>6.230093015958948e-8</x:v>
      </x:c>
      <x:c r="W36" s="34" t="n">
        <x:v>4.119143208469733e-8</x:v>
      </x:c>
      <x:c r="X36" s="34" t="n">
        <x:v>5.706942204919407e-8</x:v>
      </x:c>
      <x:c r="Y36" s="34" t="n">
        <x:v>5.706942204919407e-8</x:v>
      </x:c>
      <x:c r="Z36" s="28" t="n">
        <x:v>2022</x:v>
      </x:c>
      <x:c r="AA36" s="19" t="str">
        <x:v>AVAILABLE</x:v>
      </x:c>
      <x:c r="AB36" s="19" t="str">
        <x:v>AVAILABLE</x:v>
      </x:c>
      <x:c r="AC36" s="46" t="str">
        <x:v>Climate/temperature-linked lexical frequency; still not evidence of reception, voice, or affect without passage review.</x:v>
      </x:c>
    </x:row>
    <x:row r="37" ht="23" customHeight="1">
      <x:c r="A37" s="18" t="str">
        <x:v>FT-Q-V01-033</x:v>
      </x:c>
      <x:c r="B37" s="31" t="str">
        <x:v>world temperatures</x:v>
      </x:c>
      <x:c r="C37" s="19" t="str">
        <x:v>global aggregate temperature</x:v>
      </x:c>
      <x:c r="D37" s="19" t="str">
        <x:v>temperature_threshold</x:v>
      </x:c>
      <x:c r="E37" s="19" t="str">
        <x:v>A</x:v>
      </x:c>
      <x:c r="F37" s="31" t="str">
        <x:v>EXECUTABLE_NGRAM</x:v>
      </x:c>
      <x:c r="G37" s="19" t="str">
        <x:v>CONTEXT_REQUIRED</x:v>
      </x:c>
      <x:c r="H37" s="19" t="str">
        <x:v>eng</x:v>
      </x:c>
      <x:c r="I37" s="19" t="str">
        <x:v>current English corpus (July 2024 dataset; public shorthand eng; mutable current corpus)</x:v>
      </x:c>
      <x:c r="J37" s="19" t="str">
        <x:v>1842</x:v>
      </x:c>
      <x:c r="K37" s="19" t="str">
        <x:v>2022</x:v>
      </x:c>
      <x:c r="L37" s="28" t="n">
        <x:v>1889</x:v>
      </x:c>
      <x:c r="M37" s="28" t="n">
        <x:v>112</x:v>
      </x:c>
      <x:c r="N37" s="28" t="n">
        <x:v>2007</x:v>
      </x:c>
      <x:c r="O37" s="34" t="n">
        <x:v>7.465921342958426e-9</x:v>
      </x:c>
      <x:c r="P37" s="28" t="n">
        <x:v>4.114307144975626e-9</x:v>
      </x:c>
      <x:c r="Q37" s="34" t="n">
        <x:v>0</x:v>
      </x:c>
      <x:c r="R37" s="34" t="n">
        <x:v>2.561554982016823e-9</x:v>
      </x:c>
      <x:c r="S37" s="34" t="n">
        <x:v>4.590047536501274e-9</x:v>
      </x:c>
      <x:c r="T37" s="34" t="n">
        <x:v>4.761299195188418e-9</x:v>
      </x:c>
      <x:c r="U37" s="34" t="n">
        <x:v>7.465921342958426e-9</x:v>
      </x:c>
      <x:c r="V37" s="34" t="n">
        <x:v>6.113610269073422e-9</x:v>
      </x:c>
      <x:c r="W37" s="34" t="n">
        <x:v>5.650978740501245e-9</x:v>
      </x:c>
      <x:c r="X37" s="34" t="n">
        <x:v>4.114307144975626e-9</x:v>
      </x:c>
      <x:c r="Y37" s="34" t="n">
        <x:v>4.114307144975626e-9</x:v>
      </x:c>
      <x:c r="Z37" s="28" t="n">
        <x:v>2022</x:v>
      </x:c>
      <x:c r="AA37" s="19" t="str">
        <x:v>AVAILABLE</x:v>
      </x:c>
      <x:c r="AB37" s="19" t="str">
        <x:v>AVAILABLE</x:v>
      </x:c>
      <x:c r="AC37" s="46" t="str">
        <x:v>Climate/temperature-linked lexical frequency; still not evidence of reception, voice, or affect without passage review.</x:v>
      </x:c>
    </x:row>
    <x:row r="38" ht="23" customHeight="1">
      <x:c r="A38" s="18" t="str">
        <x:v>FT-Q-V01-034</x:v>
      </x:c>
      <x:c r="B38" s="31" t="str">
        <x:v>actually increased</x:v>
      </x:c>
      <x:c r="C38" s="19" t="str">
        <x:v>temperature increase</x:v>
      </x:c>
      <x:c r="D38" s="19" t="str">
        <x:v>warming</x:v>
      </x:c>
      <x:c r="E38" s="19" t="str">
        <x:v>A</x:v>
      </x:c>
      <x:c r="F38" s="31" t="str">
        <x:v>EXECUTABLE_NGRAM</x:v>
      </x:c>
      <x:c r="G38" s="19" t="str">
        <x:v>CONTEXT_REQUIRED</x:v>
      </x:c>
      <x:c r="H38" s="19" t="str">
        <x:v>eng</x:v>
      </x:c>
      <x:c r="I38" s="19" t="str">
        <x:v>current English corpus (July 2024 dataset; public shorthand eng; mutable current corpus)</x:v>
      </x:c>
      <x:c r="J38" s="19" t="str">
        <x:v>1842</x:v>
      </x:c>
      <x:c r="K38" s="19" t="str">
        <x:v>2022</x:v>
      </x:c>
      <x:c r="L38" s="28" t="n">
        <x:v>1842</x:v>
      </x:c>
      <x:c r="M38" s="28" t="n">
        <x:v>181</x:v>
      </x:c>
      <x:c r="N38" s="28" t="n">
        <x:v>1933</x:v>
      </x:c>
      <x:c r="O38" s="34" t="n">
        <x:v>2.775292560763809e-7</x:v>
      </x:c>
      <x:c r="P38" s="28" t="n">
        <x:v>1.005129691700191e-7</x:v>
      </x:c>
      <x:c r="Q38" s="34" t="n">
        <x:v>5.611398634641773e-8</x:v>
      </x:c>
      <x:c r="R38" s="34" t="n">
        <x:v>1.804225649021385e-7</x:v>
      </x:c>
      <x:c r="S38" s="34" t="n">
        <x:v>2.214574481781972e-7</x:v>
      </x:c>
      <x:c r="T38" s="34" t="n">
        <x:v>2.003408214254487e-7</x:v>
      </x:c>
      <x:c r="U38" s="34" t="n">
        <x:v>2.006803638751609e-7</x:v>
      </x:c>
      <x:c r="V38" s="34" t="n">
        <x:v>2.005105926503048e-7</x:v>
      </x:c>
      <x:c r="W38" s="34" t="n">
        <x:v>1.679881892306667e-7</x:v>
      </x:c>
      <x:c r="X38" s="34" t="n">
        <x:v>1.005129691700191e-7</x:v>
      </x:c>
      <x:c r="Y38" s="34" t="n">
        <x:v>1.005129691700191e-7</x:v>
      </x:c>
      <x:c r="Z38" s="28" t="n">
        <x:v>2022</x:v>
      </x:c>
      <x:c r="AA38" s="19" t="str">
        <x:v>AVAILABLE</x:v>
      </x:c>
      <x:c r="AB38" s="19" t="str">
        <x:v>AVAILABLE</x:v>
      </x:c>
      <x:c r="AC38" s="46" t="str">
        <x:v>Climate/temperature-linked lexical frequency; still not evidence of reception, voice, or affect without passage review.</x:v>
      </x:c>
    </x:row>
    <x:row r="39" ht="23" customHeight="1">
      <x:c r="A39" s="18" t="str">
        <x:v>FT-Q-V01-035</x:v>
      </x:c>
      <x:c r="B39" s="31" t="str">
        <x:v>average rate</x:v>
      </x:c>
      <x:c r="C39" s="19" t="str">
        <x:v>local / instrumental temperature</x:v>
      </x:c>
      <x:c r="D39" s="19" t="str">
        <x:v>temperature_threshold</x:v>
      </x:c>
      <x:c r="E39" s="19" t="str">
        <x:v>A</x:v>
      </x:c>
      <x:c r="F39" s="31" t="str">
        <x:v>EXECUTABLE_NGRAM</x:v>
      </x:c>
      <x:c r="G39" s="19" t="str">
        <x:v>CONTEXT_REQUIRED</x:v>
      </x:c>
      <x:c r="H39" s="19" t="str">
        <x:v>eng</x:v>
      </x:c>
      <x:c r="I39" s="19" t="str">
        <x:v>current English corpus (July 2024 dataset; public shorthand eng; mutable current corpus)</x:v>
      </x:c>
      <x:c r="J39" s="19" t="str">
        <x:v>1842</x:v>
      </x:c>
      <x:c r="K39" s="19" t="str">
        <x:v>2022</x:v>
      </x:c>
      <x:c r="L39" s="28" t="n">
        <x:v>1842</x:v>
      </x:c>
      <x:c r="M39" s="28" t="n">
        <x:v>181</x:v>
      </x:c>
      <x:c r="N39" s="28" t="n">
        <x:v>1885</x:v>
      </x:c>
      <x:c r="O39" s="34" t="n">
        <x:v>0.000004938462941139754</x:v>
      </x:c>
      <x:c r="P39" s="28" t="n">
        <x:v>5.522904276411555e-7</x:v>
      </x:c>
      <x:c r="Q39" s="34" t="n">
        <x:v>0.000001024886465750274</x:v>
      </x:c>
      <x:c r="R39" s="34" t="n">
        <x:v>0.000002678272757100641</x:v>
      </x:c>
      <x:c r="S39" s="34" t="n">
        <x:v>0.000001477254987107546</x:v>
      </x:c>
      <x:c r="T39" s="34" t="n">
        <x:v>0.000001087956885408026</x:v>
      </x:c>
      <x:c r="U39" s="34" t="n">
        <x:v>0.000001109498924400931</x:v>
      </x:c>
      <x:c r="V39" s="34" t="n">
        <x:v>0.000001098727904904478</x:v>
      </x:c>
      <x:c r="W39" s="34" t="n">
        <x:v>7.784807402877458e-7</x:v>
      </x:c>
      <x:c r="X39" s="34" t="n">
        <x:v>5.522904276411555e-7</x:v>
      </x:c>
      <x:c r="Y39" s="34" t="n">
        <x:v>5.522904276411555e-7</x:v>
      </x:c>
      <x:c r="Z39" s="28" t="n">
        <x:v>2022</x:v>
      </x:c>
      <x:c r="AA39" s="19" t="str">
        <x:v>AVAILABLE</x:v>
      </x:c>
      <x:c r="AB39" s="19" t="str">
        <x:v>AVAILABLE</x:v>
      </x:c>
      <x:c r="AC39" s="46" t="str">
        <x:v>Climate/temperature-linked lexical frequency; still not evidence of reception, voice, or affect without passage review.</x:v>
      </x:c>
    </x:row>
    <x:row r="40" ht="23" customHeight="1">
      <x:c r="A40" s="18" t="str">
        <x:v>FT-Q-V01-036</x:v>
      </x:c>
      <x:c r="B40" s="31" t="str">
        <x:v>small increases in mean temperature</x:v>
      </x:c>
      <x:c r="C40" s="19" t="str">
        <x:v>mean temperature</x:v>
      </x:c>
      <x:c r="D40" s="19" t="str">
        <x:v>temperature_threshold</x:v>
      </x:c>
      <x:c r="E40" s="19" t="str">
        <x:v>A</x:v>
      </x:c>
      <x:c r="F40" s="31" t="str">
        <x:v>EXECUTABLE_NGRAM</x:v>
      </x:c>
      <x:c r="G40" s="19" t="str">
        <x:v>CONTEXT_REQUIRED</x:v>
      </x:c>
      <x:c r="H40" s="19" t="str">
        <x:v>eng</x:v>
      </x:c>
      <x:c r="I40" s="19" t="str">
        <x:v>current English corpus (July 2024 dataset; public shorthand eng; mutable current corpus)</x:v>
      </x:c>
      <x:c r="J40" s="19" t="str">
        <x:v>1842</x:v>
      </x:c>
      <x:c r="K40" s="19" t="str">
        <x:v>2022</x:v>
      </x:c>
      <x:c r="L40" s="28" t="str"/>
      <x:c r="M40" s="28" t="n">
        <x:v>0</x:v>
      </x:c>
      <x:c r="N40" s="28" t="str"/>
      <x:c r="O40" s="34" t="str"/>
      <x:c r="P40" s="28" t="str"/>
      <x:c r="Q40" s="34" t="str"/>
      <x:c r="R40" s="34" t="str"/>
      <x:c r="S40" s="34" t="str"/>
      <x:c r="T40" s="34" t="str"/>
      <x:c r="U40" s="34" t="str"/>
      <x:c r="V40" s="34" t="str"/>
      <x:c r="W40" s="34" t="str"/>
      <x:c r="X40" s="34" t="str"/>
      <x:c r="Y40" s="34" t="str"/>
      <x:c r="Z40" s="28" t="n">
        <x:v>2022</x:v>
      </x:c>
      <x:c r="AA40" s="19" t="str">
        <x:v>NO_SERIES</x:v>
      </x:c>
      <x:c r="AB40" s="19" t="str">
        <x:v>NOT_AVAILABLE</x:v>
      </x:c>
      <x:c r="AC40" s="46" t="str">
        <x:v>Climate/temperature-linked lexical frequency; still not evidence of reception, voice, or affect without passage review.</x:v>
      </x:c>
    </x:row>
    <x:row r="41" ht="23" customHeight="1">
      <x:c r="A41" s="18" t="str">
        <x:v>FT-Q-V01-037</x:v>
      </x:c>
      <x:c r="B41" s="31" t="str">
        <x:v>deadly glaciers</x:v>
      </x:c>
      <x:c r="C41" s="19" t="str">
        <x:v>institutional climate threat</x:v>
      </x:c>
      <x:c r="D41" s="19" t="str">
        <x:v>danger_threat</x:v>
      </x:c>
      <x:c r="E41" s="19" t="str">
        <x:v>D</x:v>
      </x:c>
      <x:c r="F41" s="31" t="str">
        <x:v>EXECUTABLE_NGRAM</x:v>
      </x:c>
      <x:c r="G41" s="19" t="str">
        <x:v>CONTEXT_REQUIRED</x:v>
      </x:c>
      <x:c r="H41" s="19" t="str">
        <x:v>eng</x:v>
      </x:c>
      <x:c r="I41" s="19" t="str">
        <x:v>current English corpus (July 2024 dataset; public shorthand eng; mutable current corpus)</x:v>
      </x:c>
      <x:c r="J41" s="19" t="str">
        <x:v>1842</x:v>
      </x:c>
      <x:c r="K41" s="19" t="str">
        <x:v>2022</x:v>
      </x:c>
      <x:c r="L41" s="28" t="n">
        <x:v>1845</x:v>
      </x:c>
      <x:c r="M41" s="28" t="n">
        <x:v>92</x:v>
      </x:c>
      <x:c r="N41" s="28" t="n">
        <x:v>1845</x:v>
      </x:c>
      <x:c r="O41" s="34" t="n">
        <x:v>1.502518109930406e-9</x:v>
      </x:c>
      <x:c r="P41" s="28" t="n">
        <x:v>2.211993088696573e-10</x:v>
      </x:c>
      <x:c r="Q41" s="34" t="n">
        <x:v>0</x:v>
      </x:c>
      <x:c r="R41" s="34" t="n">
        <x:v>1.113719533263335e-10</x:v>
      </x:c>
      <x:c r="S41" s="34" t="n">
        <x:v>4.9355349668323e-11</x:v>
      </x:c>
      <x:c r="T41" s="34" t="n">
        <x:v>9.156344432659225e-11</x:v>
      </x:c>
      <x:c r="U41" s="34" t="n">
        <x:v>4.497542963055601e-11</x:v>
      </x:c>
      <x:c r="V41" s="34" t="n">
        <x:v>6.826943697857413e-11</x:v>
      </x:c>
      <x:c r="W41" s="34" t="n">
        <x:v>3.269161330532455e-10</x:v>
      </x:c>
      <x:c r="X41" s="34" t="n">
        <x:v>2.211993088696573e-10</x:v>
      </x:c>
      <x:c r="Y41" s="34" t="n">
        <x:v>2.211993088696573e-10</x:v>
      </x:c>
      <x:c r="Z41" s="28" t="n">
        <x:v>2022</x:v>
      </x:c>
      <x:c r="AA41" s="19" t="str">
        <x:v>AVAILABLE</x:v>
      </x:c>
      <x:c r="AB41" s="19" t="str">
        <x:v>AVAILABLE</x:v>
      </x:c>
      <x:c r="AC41" s="46" t="str">
        <x:v>Climate/temperature-linked lexical frequency; still not evidence of reception, voice, or affect without passage review.</x:v>
      </x:c>
    </x:row>
    <x:row r="42" ht="23" customHeight="1">
      <x:c r="A42" s="18" t="str">
        <x:v>FT-Q-V01-038</x:v>
      </x:c>
      <x:c r="B42" s="31" t="str">
        <x:v>rather a coincidence</x:v>
      </x:c>
      <x:c r="C42" s="19" t="str">
        <x:v>personal concern</x:v>
      </x:c>
      <x:c r="D42" s="19" t="str">
        <x:v>concern_alarm</x:v>
      </x:c>
      <x:c r="E42" s="19" t="str">
        <x:v>C</x:v>
      </x:c>
      <x:c r="F42" s="31" t="str">
        <x:v>EXECUTABLE_NGRAM</x:v>
      </x:c>
      <x:c r="G42" s="19" t="str">
        <x:v>CONTEXT_REQUIRED</x:v>
      </x:c>
      <x:c r="H42" s="19" t="str">
        <x:v>eng</x:v>
      </x:c>
      <x:c r="I42" s="19" t="str">
        <x:v>current English corpus (July 2024 dataset; public shorthand eng; mutable current corpus)</x:v>
      </x:c>
      <x:c r="J42" s="19" t="str">
        <x:v>1842</x:v>
      </x:c>
      <x:c r="K42" s="19" t="str">
        <x:v>2022</x:v>
      </x:c>
      <x:c r="L42" s="28" t="n">
        <x:v>1842</x:v>
      </x:c>
      <x:c r="M42" s="28" t="n">
        <x:v>175</x:v>
      </x:c>
      <x:c r="N42" s="28" t="n">
        <x:v>1934</x:v>
      </x:c>
      <x:c r="O42" s="34" t="n">
        <x:v>1.141847061347789e-8</x:v>
      </x:c>
      <x:c r="P42" s="28" t="n">
        <x:v>3.216303917641383e-9</x:v>
      </x:c>
      <x:c r="Q42" s="34" t="n">
        <x:v>1.372755464856823e-9</x:v>
      </x:c>
      <x:c r="R42" s="34" t="n">
        <x:v>4.644931106412287e-9</x:v>
      </x:c>
      <x:c r="S42" s="34" t="n">
        <x:v>7.027831511186022e-10</x:v>
      </x:c>
      <x:c r="T42" s="34" t="n">
        <x:v>9.413307355821132e-10</x:v>
      </x:c>
      <x:c r="U42" s="34" t="n">
        <x:v>8.746421087391099e-10</x:v>
      </x:c>
      <x:c r="V42" s="34" t="n">
        <x:v>9.079864221606115e-10</x:v>
      </x:c>
      <x:c r="W42" s="34" t="n">
        <x:v>2.049460878783549e-9</x:v>
      </x:c>
      <x:c r="X42" s="34" t="n">
        <x:v>3.216303917641383e-9</x:v>
      </x:c>
      <x:c r="Y42" s="34" t="n">
        <x:v>3.216303917641383e-9</x:v>
      </x:c>
      <x:c r="Z42" s="28" t="n">
        <x:v>2022</x:v>
      </x:c>
      <x:c r="AA42" s="19" t="str">
        <x:v>AVAILABLE</x:v>
      </x:c>
      <x:c r="AB42" s="19" t="str">
        <x:v>AVAILABLE</x:v>
      </x:c>
      <x:c r="AC42" s="46" t="str">
        <x:v>Climate/temperature-linked lexical frequency; still not evidence of reception, voice, or affect without passage review.</x:v>
      </x:c>
    </x:row>
    <x:row r="43" ht="23" customHeight="1">
      <x:c r="A43" s="18" t="str">
        <x:v>FT-Q-V01-039</x:v>
      </x:c>
      <x:c r="B43" s="31" t="str">
        <x:v>Hottest Day for Ten Years</x:v>
      </x:c>
      <x:c r="C43" s="19" t="str">
        <x:v>heatwave / weather event</x:v>
      </x:c>
      <x:c r="D43" s="19" t="str">
        <x:v>heat</x:v>
      </x:c>
      <x:c r="E43" s="19" t="str">
        <x:v>A</x:v>
      </x:c>
      <x:c r="F43" s="31" t="str">
        <x:v>EXECUTABLE_NGRAM</x:v>
      </x:c>
      <x:c r="G43" s="19" t="str">
        <x:v>CONTEXT_REQUIRED</x:v>
      </x:c>
      <x:c r="H43" s="19" t="str">
        <x:v>eng</x:v>
      </x:c>
      <x:c r="I43" s="19" t="str">
        <x:v>current English corpus (July 2024 dataset; public shorthand eng; mutable current corpus)</x:v>
      </x:c>
      <x:c r="J43" s="19" t="str">
        <x:v>1842</x:v>
      </x:c>
      <x:c r="K43" s="19" t="str">
        <x:v>2022</x:v>
      </x:c>
      <x:c r="L43" s="28" t="str"/>
      <x:c r="M43" s="28" t="n">
        <x:v>0</x:v>
      </x:c>
      <x:c r="N43" s="28" t="str"/>
      <x:c r="O43" s="34" t="str"/>
      <x:c r="P43" s="28" t="str"/>
      <x:c r="Q43" s="34" t="str"/>
      <x:c r="R43" s="34" t="str"/>
      <x:c r="S43" s="34" t="str"/>
      <x:c r="T43" s="34" t="str"/>
      <x:c r="U43" s="34" t="str"/>
      <x:c r="V43" s="34" t="str"/>
      <x:c r="W43" s="34" t="str"/>
      <x:c r="X43" s="34" t="str"/>
      <x:c r="Y43" s="34" t="str"/>
      <x:c r="Z43" s="28" t="n">
        <x:v>2022</x:v>
      </x:c>
      <x:c r="AA43" s="19" t="str">
        <x:v>NO_SERIES</x:v>
      </x:c>
      <x:c r="AB43" s="19" t="str">
        <x:v>NOT_AVAILABLE</x:v>
      </x:c>
      <x:c r="AC43" s="46" t="str">
        <x:v>Climate/temperature-linked lexical frequency; still not evidence of reception, voice, or affect without passage review.</x:v>
      </x:c>
    </x:row>
    <x:row r="44" ht="23" customHeight="1">
      <x:c r="A44" s="18" t="str">
        <x:v>FT-Q-V01-040</x:v>
      </x:c>
      <x:c r="B44" s="31" t="str">
        <x:v>Heat Wave Over Queensland</x:v>
      </x:c>
      <x:c r="C44" s="19" t="str">
        <x:v>heatwave / weather event</x:v>
      </x:c>
      <x:c r="D44" s="19" t="str">
        <x:v>heat</x:v>
      </x:c>
      <x:c r="E44" s="19" t="str">
        <x:v>A</x:v>
      </x:c>
      <x:c r="F44" s="31" t="str">
        <x:v>EXECUTABLE_NGRAM</x:v>
      </x:c>
      <x:c r="G44" s="19" t="str">
        <x:v>CONTEXT_REQUIRED</x:v>
      </x:c>
      <x:c r="H44" s="19" t="str">
        <x:v>eng</x:v>
      </x:c>
      <x:c r="I44" s="19" t="str">
        <x:v>current English corpus (July 2024 dataset; public shorthand eng; mutable current corpus)</x:v>
      </x:c>
      <x:c r="J44" s="19" t="str">
        <x:v>1842</x:v>
      </x:c>
      <x:c r="K44" s="19" t="str">
        <x:v>2022</x:v>
      </x:c>
      <x:c r="L44" s="28" t="str"/>
      <x:c r="M44" s="28" t="n">
        <x:v>0</x:v>
      </x:c>
      <x:c r="N44" s="28" t="str"/>
      <x:c r="O44" s="34" t="str"/>
      <x:c r="P44" s="28" t="str"/>
      <x:c r="Q44" s="34" t="str"/>
      <x:c r="R44" s="34" t="str"/>
      <x:c r="S44" s="34" t="str"/>
      <x:c r="T44" s="34" t="str"/>
      <x:c r="U44" s="34" t="str"/>
      <x:c r="V44" s="34" t="str"/>
      <x:c r="W44" s="34" t="str"/>
      <x:c r="X44" s="34" t="str"/>
      <x:c r="Y44" s="34" t="str"/>
      <x:c r="Z44" s="28" t="n">
        <x:v>2022</x:v>
      </x:c>
      <x:c r="AA44" s="19" t="str">
        <x:v>NO_SERIES</x:v>
      </x:c>
      <x:c r="AB44" s="19" t="str">
        <x:v>NOT_AVAILABLE</x:v>
      </x:c>
      <x:c r="AC44" s="46" t="str">
        <x:v>Climate/temperature-linked lexical frequency; still not evidence of reception, voice, or affect without passage review.</x:v>
      </x:c>
    </x:row>
    <x:row r="45" ht="23" customHeight="1">
      <x:c r="A45" s="18" t="str">
        <x:v>FT-Q-V01-041</x:v>
      </x:c>
      <x:c r="B45" s="31" t="str">
        <x:v>greenhouse effect</x:v>
      </x:c>
      <x:c r="C45" s="19" t="str">
        <x:v>greenhouse mechanism</x:v>
      </x:c>
      <x:c r="D45" s="19" t="str">
        <x:v>carbon_greenhouse</x:v>
      </x:c>
      <x:c r="E45" s="19" t="str">
        <x:v>B</x:v>
      </x:c>
      <x:c r="F45" s="31" t="str">
        <x:v>EXECUTABLE_NGRAM</x:v>
      </x:c>
      <x:c r="G45" s="19" t="str">
        <x:v>CLIMATE_SPECIFIC</x:v>
      </x:c>
      <x:c r="H45" s="19" t="str">
        <x:v>eng</x:v>
      </x:c>
      <x:c r="I45" s="19" t="str">
        <x:v>current English corpus (July 2024 dataset; public shorthand eng; mutable current corpus)</x:v>
      </x:c>
      <x:c r="J45" s="19" t="str">
        <x:v>1842</x:v>
      </x:c>
      <x:c r="K45" s="19" t="str">
        <x:v>2022</x:v>
      </x:c>
      <x:c r="L45" s="28" t="n">
        <x:v>1843</x:v>
      </x:c>
      <x:c r="M45" s="28" t="n">
        <x:v>133</x:v>
      </x:c>
      <x:c r="N45" s="28" t="n">
        <x:v>1990</x:v>
      </x:c>
      <x:c r="O45" s="34" t="n">
        <x:v>0.000001960720042576414</x:v>
      </x:c>
      <x:c r="P45" s="28" t="n">
        <x:v>4.531046594036248e-7</x:v>
      </x:c>
      <x:c r="Q45" s="34" t="n">
        <x:v>0</x:v>
      </x:c>
      <x:c r="R45" s="34" t="n">
        <x:v>9.689360203068986e-9</x:v>
      </x:c>
      <x:c r="S45" s="34" t="n">
        <x:v>0.000001086015104533045</x:v>
      </x:c>
      <x:c r="T45" s="34" t="n">
        <x:v>4.812116740637862e-7</x:v>
      </x:c>
      <x:c r="U45" s="34" t="n">
        <x:v>5.082223493886595e-7</x:v>
      </x:c>
      <x:c r="V45" s="34" t="n">
        <x:v>4.947170117262228e-7</x:v>
      </x:c>
      <x:c r="W45" s="34" t="n">
        <x:v>4.161642502796548e-7</x:v>
      </x:c>
      <x:c r="X45" s="34" t="n">
        <x:v>4.531046594036248e-7</x:v>
      </x:c>
      <x:c r="Y45" s="34" t="n">
        <x:v>4.531046594036248e-7</x:v>
      </x:c>
      <x:c r="Z45" s="28" t="n">
        <x:v>2022</x:v>
      </x:c>
      <x:c r="AA45" s="19" t="str">
        <x:v>AVAILABLE</x:v>
      </x:c>
      <x:c r="AB45" s="19" t="str">
        <x:v>AVAILABLE</x:v>
      </x:c>
      <x:c r="AC45" s="46" t="str">
        <x:v>Climate/temperature-linked lexical frequency; still not evidence of reception, voice, or affect without passage review.</x:v>
      </x:c>
    </x:row>
    <x:row r="46" ht="23" customHeight="1">
      <x:c r="A46" s="18" t="str">
        <x:v>FT-Q-V01-042</x:v>
      </x:c>
      <x:c r="B46" s="31" t="str">
        <x:v>global warming</x:v>
      </x:c>
      <x:c r="C46" s="19" t="str">
        <x:v>global warming as issue label</x:v>
      </x:c>
      <x:c r="D46" s="19" t="str">
        <x:v>warming</x:v>
      </x:c>
      <x:c r="E46" s="19" t="str">
        <x:v>A</x:v>
      </x:c>
      <x:c r="F46" s="31" t="str">
        <x:v>EXECUTABLE_NGRAM</x:v>
      </x:c>
      <x:c r="G46" s="19" t="str">
        <x:v>CLIMATE_SPECIFIC</x:v>
      </x:c>
      <x:c r="H46" s="19" t="str">
        <x:v>eng</x:v>
      </x:c>
      <x:c r="I46" s="19" t="str">
        <x:v>current English corpus (July 2024 dataset; public shorthand eng; mutable current corpus)</x:v>
      </x:c>
      <x:c r="J46" s="19" t="str">
        <x:v>1842</x:v>
      </x:c>
      <x:c r="K46" s="19" t="str">
        <x:v>2022</x:v>
      </x:c>
      <x:c r="L46" s="28" t="n">
        <x:v>1843</x:v>
      </x:c>
      <x:c r="M46" s="28" t="n">
        <x:v>138</x:v>
      </x:c>
      <x:c r="N46" s="28" t="n">
        <x:v>2009</x:v>
      </x:c>
      <x:c r="O46" s="34" t="n">
        <x:v>0.000005445639571555194</x:v>
      </x:c>
      <x:c r="P46" s="28" t="n">
        <x:v>0.000003963670369644401</x:v>
      </x:c>
      <x:c r="Q46" s="34" t="n">
        <x:v>0</x:v>
      </x:c>
      <x:c r="R46" s="34" t="n">
        <x:v>2.00469511824064e-9</x:v>
      </x:c>
      <x:c r="S46" s="34" t="n">
        <x:v>6.400895369296222e-7</x:v>
      </x:c>
      <x:c r="T46" s="34" t="n">
        <x:v>0.00000339393631278162</x:v>
      </x:c>
      <x:c r="U46" s="34" t="n">
        <x:v>0.00000496164442403968</x:v>
      </x:c>
      <x:c r="V46" s="34" t="n">
        <x:v>0.00000417779036841065</x:v>
      </x:c>
      <x:c r="W46" s="34" t="n">
        <x:v>0.000003293586607857474</x:v>
      </x:c>
      <x:c r="X46" s="34" t="n">
        <x:v>0.000003963670369644401</x:v>
      </x:c>
      <x:c r="Y46" s="34" t="n">
        <x:v>0.000003963670369644401</x:v>
      </x:c>
      <x:c r="Z46" s="28" t="n">
        <x:v>2022</x:v>
      </x:c>
      <x:c r="AA46" s="19" t="str">
        <x:v>AVAILABLE</x:v>
      </x:c>
      <x:c r="AB46" s="19" t="str">
        <x:v>AVAILABLE</x:v>
      </x:c>
      <x:c r="AC46" s="46" t="str">
        <x:v>Climate/temperature-linked lexical frequency; still not evidence of reception, voice, or affect without passage review.</x:v>
      </x:c>
    </x:row>
    <x:row r="47" ht="23" customHeight="1">
      <x:c r="A47" s="18" t="str">
        <x:v>FT-Q-V01-043</x:v>
      </x:c>
      <x:c r="B47" s="31" t="str">
        <x:v>earth is warmer</x:v>
      </x:c>
      <x:c r="C47" s="19" t="str">
        <x:v>temperature increase</x:v>
      </x:c>
      <x:c r="D47" s="19" t="str">
        <x:v>warming</x:v>
      </x:c>
      <x:c r="E47" s="19" t="str">
        <x:v>A</x:v>
      </x:c>
      <x:c r="F47" s="31" t="str">
        <x:v>EXECUTABLE_NGRAM</x:v>
      </x:c>
      <x:c r="G47" s="19" t="str">
        <x:v>CONTEXT_REQUIRED</x:v>
      </x:c>
      <x:c r="H47" s="19" t="str">
        <x:v>eng</x:v>
      </x:c>
      <x:c r="I47" s="19" t="str">
        <x:v>current English corpus (July 2024 dataset; public shorthand eng; mutable current corpus)</x:v>
      </x:c>
      <x:c r="J47" s="19" t="str">
        <x:v>1842</x:v>
      </x:c>
      <x:c r="K47" s="19" t="str">
        <x:v>2022</x:v>
      </x:c>
      <x:c r="L47" s="28" t="n">
        <x:v>1844</x:v>
      </x:c>
      <x:c r="M47" s="28" t="n">
        <x:v>168</x:v>
      </x:c>
      <x:c r="N47" s="28" t="n">
        <x:v>1857</x:v>
      </x:c>
      <x:c r="O47" s="34" t="n">
        <x:v>1.443707464687805e-8</x:v>
      </x:c>
      <x:c r="P47" s="28" t="n">
        <x:v>1.702749219401056e-9</x:v>
      </x:c>
      <x:c r="Q47" s="34" t="n">
        <x:v>0</x:v>
      </x:c>
      <x:c r="R47" s="34" t="n">
        <x:v>2.444700553105861e-10</x:v>
      </x:c>
      <x:c r="S47" s="34" t="n">
        <x:v>1.243385561178201e-9</x:v>
      </x:c>
      <x:c r="T47" s="34" t="n">
        <x:v>1.04041819604106e-9</x:v>
      </x:c>
      <x:c r="U47" s="34" t="n">
        <x:v>2.235196472355483e-9</x:v>
      </x:c>
      <x:c r="V47" s="34" t="n">
        <x:v>1.637807334198271e-9</x:v>
      </x:c>
      <x:c r="W47" s="34" t="n">
        <x:v>1.249671310876721e-9</x:v>
      </x:c>
      <x:c r="X47" s="34" t="n">
        <x:v>1.702749219401056e-9</x:v>
      </x:c>
      <x:c r="Y47" s="34" t="n">
        <x:v>1.702749219401056e-9</x:v>
      </x:c>
      <x:c r="Z47" s="28" t="n">
        <x:v>2022</x:v>
      </x:c>
      <x:c r="AA47" s="19" t="str">
        <x:v>AVAILABLE</x:v>
      </x:c>
      <x:c r="AB47" s="19" t="str">
        <x:v>AVAILABLE</x:v>
      </x:c>
      <x:c r="AC47" s="46" t="str">
        <x:v>Climate/temperature-linked lexical frequency; still not evidence of reception, voice, or affect without passage review.</x:v>
      </x:c>
    </x:row>
    <x:row r="48" ht="23" customHeight="1">
      <x:c r="A48" s="18" t="str">
        <x:v>FT-Q-V01-044</x:v>
      </x:c>
      <x:c r="B48" s="31" t="str">
        <x:v>instrumental measurements</x:v>
      </x:c>
      <x:c r="C48" s="19" t="str">
        <x:v>historical climate / climatological condition</x:v>
      </x:c>
      <x:c r="D48" s="19" t="str">
        <x:v>climate</x:v>
      </x:c>
      <x:c r="E48" s="19" t="str">
        <x:v>B</x:v>
      </x:c>
      <x:c r="F48" s="31" t="str">
        <x:v>EXECUTABLE_NGRAM</x:v>
      </x:c>
      <x:c r="G48" s="19" t="str">
        <x:v>CONTEXT_REQUIRED</x:v>
      </x:c>
      <x:c r="H48" s="19" t="str">
        <x:v>eng</x:v>
      </x:c>
      <x:c r="I48" s="19" t="str">
        <x:v>current English corpus (July 2024 dataset; public shorthand eng; mutable current corpus)</x:v>
      </x:c>
      <x:c r="J48" s="19" t="str">
        <x:v>1842</x:v>
      </x:c>
      <x:c r="K48" s="19" t="str">
        <x:v>2022</x:v>
      </x:c>
      <x:c r="L48" s="28" t="n">
        <x:v>1844</x:v>
      </x:c>
      <x:c r="M48" s="28" t="n">
        <x:v>176</x:v>
      </x:c>
      <x:c r="N48" s="28" t="n">
        <x:v>1974</x:v>
      </x:c>
      <x:c r="O48" s="34" t="n">
        <x:v>1.862049187062453e-8</x:v>
      </x:c>
      <x:c r="P48" s="28" t="n">
        <x:v>8.892212299826951e-9</x:v>
      </x:c>
      <x:c r="Q48" s="34" t="n">
        <x:v>0</x:v>
      </x:c>
      <x:c r="R48" s="34" t="n">
        <x:v>4.343506249115947e-9</x:v>
      </x:c>
      <x:c r="S48" s="34" t="n">
        <x:v>6.959104164455665e-9</x:v>
      </x:c>
      <x:c r="T48" s="34" t="n">
        <x:v>9.659943039919128e-9</x:v>
      </x:c>
      <x:c r="U48" s="34" t="n">
        <x:v>1.155868578628372e-8</x:v>
      </x:c>
      <x:c r="V48" s="34" t="n">
        <x:v>1.060931441310142e-8</x:v>
      </x:c>
      <x:c r="W48" s="34" t="n">
        <x:v>7.752582603659519e-9</x:v>
      </x:c>
      <x:c r="X48" s="34" t="n">
        <x:v>8.892212299826951e-9</x:v>
      </x:c>
      <x:c r="Y48" s="34" t="n">
        <x:v>8.892212299826951e-9</x:v>
      </x:c>
      <x:c r="Z48" s="28" t="n">
        <x:v>2022</x:v>
      </x:c>
      <x:c r="AA48" s="19" t="str">
        <x:v>AVAILABLE</x:v>
      </x:c>
      <x:c r="AB48" s="19" t="str">
        <x:v>AVAILABLE</x:v>
      </x:c>
      <x:c r="AC48" s="46" t="str">
        <x:v>Climate/temperature-linked lexical frequency; still not evidence of reception, voice, or affect without passage review.</x:v>
      </x:c>
    </x:row>
    <x:row r="49" ht="23" customHeight="1">
      <x:c r="A49" s="18" t="str">
        <x:v>FT-Q-V01-045</x:v>
      </x:c>
      <x:c r="B49" s="31" t="str">
        <x:v>cause-and-effect relationship</x:v>
      </x:c>
      <x:c r="C49" s="19" t="str">
        <x:v>generic damage</x:v>
      </x:c>
      <x:c r="D49" s="19" t="str">
        <x:v>harm_loss_consequences</x:v>
      </x:c>
      <x:c r="E49" s="19" t="str">
        <x:v>B</x:v>
      </x:c>
      <x:c r="F49" s="31" t="str">
        <x:v>EXECUTABLE_NGRAM</x:v>
      </x:c>
      <x:c r="G49" s="19" t="str">
        <x:v>CONTEXT_REQUIRED</x:v>
      </x:c>
      <x:c r="H49" s="19" t="str">
        <x:v>eng</x:v>
      </x:c>
      <x:c r="I49" s="19" t="str">
        <x:v>current English corpus (July 2024 dataset; public shorthand eng; mutable current corpus)</x:v>
      </x:c>
      <x:c r="J49" s="19" t="str">
        <x:v>1842</x:v>
      </x:c>
      <x:c r="K49" s="19" t="str">
        <x:v>2022</x:v>
      </x:c>
      <x:c r="L49" s="28" t="n">
        <x:v>1870</x:v>
      </x:c>
      <x:c r="M49" s="28" t="n">
        <x:v>127</x:v>
      </x:c>
      <x:c r="N49" s="28" t="n">
        <x:v>2011</x:v>
      </x:c>
      <x:c r="O49" s="34" t="n">
        <x:v>1.395570624618259e-7</x:v>
      </x:c>
      <x:c r="P49" s="28" t="n">
        <x:v>1.046778577290519e-7</x:v>
      </x:c>
      <x:c r="Q49" s="34" t="n">
        <x:v>0</x:v>
      </x:c>
      <x:c r="R49" s="34" t="n">
        <x:v>1.153081288784996e-8</x:v>
      </x:c>
      <x:c r="S49" s="34" t="n">
        <x:v>1.040740936764095e-7</x:v>
      </x:c>
      <x:c r="T49" s="34" t="n">
        <x:v>1.102150947035474e-7</x:v>
      </x:c>
      <x:c r="U49" s="34" t="n">
        <x:v>1.140745307104396e-7</x:v>
      </x:c>
      <x:c r="V49" s="34" t="n">
        <x:v>1.121448127069935e-7</x:v>
      </x:c>
      <x:c r="W49" s="34" t="n">
        <x:v>1.375002782744161e-7</x:v>
      </x:c>
      <x:c r="X49" s="34" t="n">
        <x:v>1.046778577290519e-7</x:v>
      </x:c>
      <x:c r="Y49" s="34" t="n">
        <x:v>1.046778577290519e-7</x:v>
      </x:c>
      <x:c r="Z49" s="28" t="n">
        <x:v>2022</x:v>
      </x:c>
      <x:c r="AA49" s="19" t="str">
        <x:v>AVAILABLE</x:v>
      </x:c>
      <x:c r="AB49" s="19" t="str">
        <x:v>AVAILABLE</x:v>
      </x:c>
      <x:c r="AC49" s="46" t="str">
        <x:v>Climate/temperature-linked lexical frequency; still not evidence of reception, voice, or affect without passage review.</x:v>
      </x:c>
    </x:row>
    <x:row r="50" ht="23" customHeight="1">
      <x:c r="A50" s="18" t="str">
        <x:v>FT-Q-V01-046</x:v>
      </x:c>
      <x:c r="B50" s="31" t="str">
        <x:v>global temperature</x:v>
      </x:c>
      <x:c r="C50" s="19" t="str">
        <x:v>global aggregate temperature</x:v>
      </x:c>
      <x:c r="D50" s="19" t="str">
        <x:v>temperature_threshold</x:v>
      </x:c>
      <x:c r="E50" s="19" t="str">
        <x:v>A</x:v>
      </x:c>
      <x:c r="F50" s="31" t="str">
        <x:v>EXECUTABLE_NGRAM</x:v>
      </x:c>
      <x:c r="G50" s="19" t="str">
        <x:v>CONTEXT_REQUIRED</x:v>
      </x:c>
      <x:c r="H50" s="19" t="str">
        <x:v>eng</x:v>
      </x:c>
      <x:c r="I50" s="19" t="str">
        <x:v>current English corpus (July 2024 dataset; public shorthand eng; mutable current corpus)</x:v>
      </x:c>
      <x:c r="J50" s="19" t="str">
        <x:v>1842</x:v>
      </x:c>
      <x:c r="K50" s="19" t="str">
        <x:v>2022</x:v>
      </x:c>
      <x:c r="L50" s="28" t="n">
        <x:v>1843</x:v>
      </x:c>
      <x:c r="M50" s="28" t="n">
        <x:v>101</x:v>
      </x:c>
      <x:c r="N50" s="28" t="n">
        <x:v>2022</x:v>
      </x:c>
      <x:c r="O50" s="34" t="n">
        <x:v>3.140587651051518e-7</x:v>
      </x:c>
      <x:c r="P50" s="28" t="n">
        <x:v>3.140587651051518e-7</x:v>
      </x:c>
      <x:c r="Q50" s="34" t="n">
        <x:v>0</x:v>
      </x:c>
      <x:c r="R50" s="34" t="n">
        <x:v>0</x:v>
      </x:c>
      <x:c r="S50" s="34" t="n">
        <x:v>1.101611393217183e-7</x:v>
      </x:c>
      <x:c r="T50" s="34" t="n">
        <x:v>1.36521097881398e-7</x:v>
      </x:c>
      <x:c r="U50" s="34" t="n">
        <x:v>1.52331783999371e-7</x:v>
      </x:c>
      <x:c r="V50" s="34" t="n">
        <x:v>1.444264409403845e-7</x:v>
      </x:c>
      <x:c r="W50" s="34" t="n">
        <x:v>1.917596575834457e-7</x:v>
      </x:c>
      <x:c r="X50" s="34" t="n">
        <x:v>3.140587651051518e-7</x:v>
      </x:c>
      <x:c r="Y50" s="34" t="n">
        <x:v>3.140587651051518e-7</x:v>
      </x:c>
      <x:c r="Z50" s="28" t="n">
        <x:v>2022</x:v>
      </x:c>
      <x:c r="AA50" s="19" t="str">
        <x:v>AVAILABLE</x:v>
      </x:c>
      <x:c r="AB50" s="19" t="str">
        <x:v>AVAILABLE</x:v>
      </x:c>
      <x:c r="AC50" s="46" t="str">
        <x:v>Climate/temperature-linked lexical frequency; still not evidence of reception, voice, or affect without passage review.</x:v>
      </x:c>
    </x:row>
    <x:row r="51" ht="23" customHeight="1">
      <x:c r="A51" s="18" t="str">
        <x:v>FT-Q-V01-047</x:v>
      </x:c>
      <x:c r="B51" s="31" t="str">
        <x:v>regional heat waves</x:v>
      </x:c>
      <x:c r="C51" s="19" t="str">
        <x:v>heatwave / weather event</x:v>
      </x:c>
      <x:c r="D51" s="19" t="str">
        <x:v>heat</x:v>
      </x:c>
      <x:c r="E51" s="19" t="str">
        <x:v>A</x:v>
      </x:c>
      <x:c r="F51" s="31" t="str">
        <x:v>EXECUTABLE_NGRAM</x:v>
      </x:c>
      <x:c r="G51" s="19" t="str">
        <x:v>CONTEXT_REQUIRED</x:v>
      </x:c>
      <x:c r="H51" s="19" t="str">
        <x:v>eng</x:v>
      </x:c>
      <x:c r="I51" s="19" t="str">
        <x:v>current English corpus (July 2024 dataset; public shorthand eng; mutable current corpus)</x:v>
      </x:c>
      <x:c r="J51" s="19" t="str">
        <x:v>1842</x:v>
      </x:c>
      <x:c r="K51" s="19" t="str">
        <x:v>2022</x:v>
      </x:c>
      <x:c r="L51" s="28" t="n">
        <x:v>1954</x:v>
      </x:c>
      <x:c r="M51" s="28" t="n">
        <x:v>39</x:v>
      </x:c>
      <x:c r="N51" s="28" t="n">
        <x:v>1990</x:v>
      </x:c>
      <x:c r="O51" s="34" t="n">
        <x:v>2.84109114012665e-9</x:v>
      </x:c>
      <x:c r="P51" s="28" t="n">
        <x:v>4.729858865681891e-11</x:v>
      </x:c>
      <x:c r="Q51" s="34" t="n">
        <x:v>0</x:v>
      </x:c>
      <x:c r="R51" s="34" t="n">
        <x:v>0</x:v>
      </x:c>
      <x:c r="S51" s="34" t="n">
        <x:v>7.0278316499639e-10</x:v>
      </x:c>
      <x:c r="T51" s="34" t="n">
        <x:v>4.954372329057932e-11</x:v>
      </x:c>
      <x:c r="U51" s="34" t="n">
        <x:v>9.718245652656776e-11</x:v>
      </x:c>
      <x:c r="V51" s="34" t="n">
        <x:v>7.336308990857354e-11</x:v>
      </x:c>
      <x:c r="W51" s="34" t="n">
        <x:v>3.499079706537067e-10</x:v>
      </x:c>
      <x:c r="X51" s="34" t="n">
        <x:v>4.729858865681891e-11</x:v>
      </x:c>
      <x:c r="Y51" s="34" t="n">
        <x:v>4.729858865681891e-11</x:v>
      </x:c>
      <x:c r="Z51" s="28" t="n">
        <x:v>2022</x:v>
      </x:c>
      <x:c r="AA51" s="19" t="str">
        <x:v>AVAILABLE</x:v>
      </x:c>
      <x:c r="AB51" s="19" t="str">
        <x:v>AVAILABLE</x:v>
      </x:c>
      <x:c r="AC51" s="46" t="str">
        <x:v>Climate/temperature-linked lexical frequency; still not evidence of reception, voice, or affect without passage review.</x:v>
      </x:c>
    </x:row>
    <x:row r="52" ht="23" customHeight="1">
      <x:c r="A52" s="18" t="str">
        <x:v>FT-Q-V01-048</x:v>
      </x:c>
      <x:c r="B52" s="31" t="str">
        <x:v>heat wave</x:v>
      </x:c>
      <x:c r="C52" s="19" t="str">
        <x:v>heatwave / weather event</x:v>
      </x:c>
      <x:c r="D52" s="19" t="str">
        <x:v>heat</x:v>
      </x:c>
      <x:c r="E52" s="19" t="str">
        <x:v>A</x:v>
      </x:c>
      <x:c r="F52" s="31" t="str">
        <x:v>EXECUTABLE_NGRAM</x:v>
      </x:c>
      <x:c r="G52" s="19" t="str">
        <x:v>CLIMATE_SPECIFIC</x:v>
      </x:c>
      <x:c r="H52" s="19" t="str">
        <x:v>eng</x:v>
      </x:c>
      <x:c r="I52" s="19" t="str">
        <x:v>current English corpus (July 2024 dataset; public shorthand eng; mutable current corpus)</x:v>
      </x:c>
      <x:c r="J52" s="19" t="str">
        <x:v>1842</x:v>
      </x:c>
      <x:c r="K52" s="19" t="str">
        <x:v>2022</x:v>
      </x:c>
      <x:c r="L52" s="28" t="n">
        <x:v>1842</x:v>
      </x:c>
      <x:c r="M52" s="28" t="n">
        <x:v>169</x:v>
      </x:c>
      <x:c r="N52" s="28" t="n">
        <x:v>2020</x:v>
      </x:c>
      <x:c r="O52" s="34" t="n">
        <x:v>3.703185072062576e-7</x:v>
      </x:c>
      <x:c r="P52" s="28" t="n">
        <x:v>3.006541136052476e-7</x:v>
      </x:c>
      <x:c r="Q52" s="34" t="n">
        <x:v>4.514918217068953e-9</x:v>
      </x:c>
      <x:c r="R52" s="34" t="n">
        <x:v>1.921166252749629e-7</x:v>
      </x:c>
      <x:c r="S52" s="34" t="n">
        <x:v>1.718059701449892e-7</x:v>
      </x:c>
      <x:c r="T52" s="34" t="n">
        <x:v>2.572474944173564e-7</x:v>
      </x:c>
      <x:c r="U52" s="34" t="n">
        <x:v>2.559551631371726e-7</x:v>
      </x:c>
      <x:c r="V52" s="34" t="n">
        <x:v>2.566013287772645e-7</x:v>
      </x:c>
      <x:c r="W52" s="34" t="n">
        <x:v>3.528359153667782e-7</x:v>
      </x:c>
      <x:c r="X52" s="34" t="n">
        <x:v>3.006541136052476e-7</x:v>
      </x:c>
      <x:c r="Y52" s="34" t="n">
        <x:v>3.006541136052476e-7</x:v>
      </x:c>
      <x:c r="Z52" s="28" t="n">
        <x:v>2022</x:v>
      </x:c>
      <x:c r="AA52" s="19" t="str">
        <x:v>AVAILABLE</x:v>
      </x:c>
      <x:c r="AB52" s="19" t="str">
        <x:v>AVAILABLE</x:v>
      </x:c>
      <x:c r="AC52" s="46" t="str">
        <x:v>Climate/temperature-linked lexical frequency; still not evidence of reception, voice, or affect without passage review.</x:v>
      </x:c>
    </x:row>
    <x:row r="53" ht="23" customHeight="1">
      <x:c r="A53" s="18" t="str">
        <x:v>FT-Q-V01-049</x:v>
      </x:c>
      <x:c r="B53" s="31" t="str">
        <x:v>drought</x:v>
      </x:c>
      <x:c r="C53" s="19" t="str">
        <x:v>generic damage</x:v>
      </x:c>
      <x:c r="D53" s="19" t="str">
        <x:v>harm_loss_consequences</x:v>
      </x:c>
      <x:c r="E53" s="19" t="str">
        <x:v>D</x:v>
      </x:c>
      <x:c r="F53" s="31" t="str">
        <x:v>BACKGROUND_AMBIGUOUS</x:v>
      </x:c>
      <x:c r="G53" s="19" t="str">
        <x:v>BACKGROUND_AMBIGUOUS</x:v>
      </x:c>
      <x:c r="H53" s="19" t="str">
        <x:v>eng</x:v>
      </x:c>
      <x:c r="I53" s="19" t="str">
        <x:v>current English corpus (July 2024 dataset; public shorthand eng; mutable current corpus)</x:v>
      </x:c>
      <x:c r="J53" s="19" t="str">
        <x:v>1842</x:v>
      </x:c>
      <x:c r="K53" s="19" t="str">
        <x:v>2022</x:v>
      </x:c>
      <x:c r="L53" s="28" t="n">
        <x:v>1842</x:v>
      </x:c>
      <x:c r="M53" s="28" t="n">
        <x:v>181</x:v>
      </x:c>
      <x:c r="N53" s="28" t="n">
        <x:v>1934</x:v>
      </x:c>
      <x:c r="O53" s="34" t="n">
        <x:v>0.00001414249288700375</x:v>
      </x:c>
      <x:c r="P53" s="28" t="n">
        <x:v>0.000008803938708723535</x:v>
      </x:c>
      <x:c r="Q53" s="34" t="n">
        <x:v>0.000003115138760279024</x:v>
      </x:c>
      <x:c r="R53" s="34" t="n">
        <x:v>0.000009374461029665326</x:v>
      </x:c>
      <x:c r="S53" s="34" t="n">
        <x:v>0.00001090940310177757</x:v>
      </x:c>
      <x:c r="T53" s="34" t="n">
        <x:v>0.000006629869545804468</x:v>
      </x:c>
      <x:c r="U53" s="34" t="n">
        <x:v>0.000006241732602774164</x:v>
      </x:c>
      <x:c r="V53" s="34" t="n">
        <x:v>0.000006435801074289316</x:v>
      </x:c>
      <x:c r="W53" s="34" t="n">
        <x:v>0.000005762521983143643</x:v>
      </x:c>
      <x:c r="X53" s="34" t="n">
        <x:v>0.000008803938708723535</x:v>
      </x:c>
      <x:c r="Y53" s="34" t="n">
        <x:v>0.000008803938708723535</x:v>
      </x:c>
      <x:c r="Z53" s="28" t="n">
        <x:v>2022</x:v>
      </x:c>
      <x:c r="AA53" s="19" t="str">
        <x:v>AVAILABLE</x:v>
      </x:c>
      <x:c r="AB53" s="19" t="str">
        <x:v>AVAILABLE</x:v>
      </x:c>
      <x:c r="AC53" s="46" t="str">
        <x:v>Generic corpus string frequency; not climate-specific semantic frequency.</x:v>
      </x:c>
    </x:row>
    <x:row r="54" ht="23" customHeight="1">
      <x:c r="A54" s="18" t="str">
        <x:v>FT-Q-V01-050</x:v>
      </x:c>
      <x:c r="B54" s="31" t="str">
        <x:v>heat wave/drought occurrences</x:v>
      </x:c>
      <x:c r="C54" s="19" t="str">
        <x:v>heatwave / weather event</x:v>
      </x:c>
      <x:c r="D54" s="19" t="str">
        <x:v>heat</x:v>
      </x:c>
      <x:c r="E54" s="19" t="str">
        <x:v>D</x:v>
      </x:c>
      <x:c r="F54" s="31" t="str">
        <x:v>EXECUTABLE_CORPUS_ONLY</x:v>
      </x:c>
      <x:c r="G54" s="19" t="str">
        <x:v>CONTEXT_REQUIRED</x:v>
      </x:c>
      <x:c r="H54" s="19" t="str">
        <x:v>eng</x:v>
      </x:c>
      <x:c r="I54" s="19" t="str">
        <x:v>current English corpus (July 2024 dataset; public shorthand eng; mutable current corpus)</x:v>
      </x:c>
      <x:c r="J54" s="19" t="str">
        <x:v>1842</x:v>
      </x:c>
      <x:c r="K54" s="19" t="str">
        <x:v>2022</x:v>
      </x:c>
      <x:c r="L54" s="28" t="str"/>
      <x:c r="M54" s="28" t="n">
        <x:v>0</x:v>
      </x:c>
      <x:c r="N54" s="28" t="str"/>
      <x:c r="O54" s="34" t="str"/>
      <x:c r="P54" s="28" t="str"/>
      <x:c r="Q54" s="34" t="str"/>
      <x:c r="R54" s="34" t="str"/>
      <x:c r="S54" s="34" t="str"/>
      <x:c r="T54" s="34" t="str"/>
      <x:c r="U54" s="34" t="str"/>
      <x:c r="V54" s="34" t="str"/>
      <x:c r="W54" s="34" t="str"/>
      <x:c r="X54" s="34" t="str"/>
      <x:c r="Y54" s="34" t="str"/>
      <x:c r="Z54" s="28" t="n">
        <x:v>2022</x:v>
      </x:c>
      <x:c r="AA54" s="19" t="str">
        <x:v>NO_SERIES</x:v>
      </x:c>
      <x:c r="AB54" s="19" t="str">
        <x:v>NOT_AVAILABLE</x:v>
      </x:c>
      <x:c r="AC54" s="46" t="str">
        <x:v>Climate/temperature-linked lexical frequency; still not evidence of reception, voice, or affect without passage review.</x:v>
      </x:c>
    </x:row>
    <x:row r="55" ht="23" customHeight="1">
      <x:c r="A55" s="18" t="str">
        <x:v>FT-Q-V01-051</x:v>
      </x:c>
      <x:c r="B55" s="31" t="str">
        <x:v>extreme events</x:v>
      </x:c>
      <x:c r="C55" s="19" t="str">
        <x:v>generic damage</x:v>
      </x:c>
      <x:c r="D55" s="19" t="str">
        <x:v>harm_loss_consequences</x:v>
      </x:c>
      <x:c r="E55" s="19" t="str">
        <x:v>D</x:v>
      </x:c>
      <x:c r="F55" s="31" t="str">
        <x:v>EXECUTABLE_NGRAM</x:v>
      </x:c>
      <x:c r="G55" s="19" t="str">
        <x:v>CONTEXT_REQUIRED</x:v>
      </x:c>
      <x:c r="H55" s="19" t="str">
        <x:v>eng</x:v>
      </x:c>
      <x:c r="I55" s="19" t="str">
        <x:v>current English corpus (July 2024 dataset; public shorthand eng; mutable current corpus)</x:v>
      </x:c>
      <x:c r="J55" s="19" t="str">
        <x:v>1842</x:v>
      </x:c>
      <x:c r="K55" s="19" t="str">
        <x:v>2022</x:v>
      </x:c>
      <x:c r="L55" s="28" t="n">
        <x:v>1843</x:v>
      </x:c>
      <x:c r="M55" s="28" t="n">
        <x:v>154</x:v>
      </x:c>
      <x:c r="N55" s="28" t="n">
        <x:v>2022</x:v>
      </x:c>
      <x:c r="O55" s="34" t="n">
        <x:v>4.590328079867589e-7</x:v>
      </x:c>
      <x:c r="P55" s="28" t="n">
        <x:v>4.590328079867589e-7</x:v>
      </x:c>
      <x:c r="Q55" s="34" t="n">
        <x:v>0</x:v>
      </x:c>
      <x:c r="R55" s="34" t="n">
        <x:v>3.341158599790006e-10</x:v>
      </x:c>
      <x:c r="S55" s="34" t="n">
        <x:v>5.5376702223775e-8</x:v>
      </x:c>
      <x:c r="T55" s="34" t="n">
        <x:v>2.56927021435871e-7</x:v>
      </x:c>
      <x:c r="U55" s="34" t="n">
        <x:v>2.204695532803669e-7</x:v>
      </x:c>
      <x:c r="V55" s="34" t="n">
        <x:v>2.386982873581189e-7</x:v>
      </x:c>
      <x:c r="W55" s="34" t="n">
        <x:v>3.062737106152014e-7</x:v>
      </x:c>
      <x:c r="X55" s="34" t="n">
        <x:v>4.590328079867589e-7</x:v>
      </x:c>
      <x:c r="Y55" s="34" t="n">
        <x:v>4.590328079867589e-7</x:v>
      </x:c>
      <x:c r="Z55" s="28" t="n">
        <x:v>2022</x:v>
      </x:c>
      <x:c r="AA55" s="19" t="str">
        <x:v>AVAILABLE</x:v>
      </x:c>
      <x:c r="AB55" s="19" t="str">
        <x:v>AVAILABLE</x:v>
      </x:c>
      <x:c r="AC55" s="46" t="str">
        <x:v>Climate/temperature-linked lexical frequency; still not evidence of reception, voice, or affect without passage review.</x:v>
      </x:c>
    </x:row>
    <x:row r="56" ht="23" customHeight="1">
      <x:c r="A56" s="18" t="str">
        <x:v>FT-Q-V01-052</x:v>
      </x:c>
      <x:c r="B56" s="31" t="str">
        <x:v>global climate models</x:v>
      </x:c>
      <x:c r="C56" s="19" t="str">
        <x:v>climate system</x:v>
      </x:c>
      <x:c r="D56" s="19" t="str">
        <x:v>climate</x:v>
      </x:c>
      <x:c r="E56" s="19" t="str">
        <x:v>B</x:v>
      </x:c>
      <x:c r="F56" s="31" t="str">
        <x:v>EXECUTABLE_NGRAM</x:v>
      </x:c>
      <x:c r="G56" s="19" t="str">
        <x:v>CONTEXT_REQUIRED</x:v>
      </x:c>
      <x:c r="H56" s="19" t="str">
        <x:v>eng</x:v>
      </x:c>
      <x:c r="I56" s="19" t="str">
        <x:v>current English corpus (July 2024 dataset; public shorthand eng; mutable current corpus)</x:v>
      </x:c>
      <x:c r="J56" s="19" t="str">
        <x:v>1842</x:v>
      </x:c>
      <x:c r="K56" s="19" t="str">
        <x:v>2022</x:v>
      </x:c>
      <x:c r="L56" s="28" t="n">
        <x:v>1869</x:v>
      </x:c>
      <x:c r="M56" s="28" t="n">
        <x:v>75</x:v>
      </x:c>
      <x:c r="N56" s="28" t="n">
        <x:v>1994</x:v>
      </x:c>
      <x:c r="O56" s="34" t="n">
        <x:v>5.645689804545384e-8</x:v>
      </x:c>
      <x:c r="P56" s="28" t="n">
        <x:v>4.237953538099859e-8</x:v>
      </x:c>
      <x:c r="Q56" s="34" t="n">
        <x:v>0</x:v>
      </x:c>
      <x:c r="R56" s="34" t="n">
        <x:v>0</x:v>
      </x:c>
      <x:c r="S56" s="34" t="n">
        <x:v>1.378536206020353e-8</x:v>
      </x:c>
      <x:c r="T56" s="34" t="n">
        <x:v>3.141072137807788e-8</x:v>
      </x:c>
      <x:c r="U56" s="34" t="n">
        <x:v>3.527723113627701e-8</x:v>
      </x:c>
      <x:c r="V56" s="34" t="n">
        <x:v>3.334397625717744e-8</x:v>
      </x:c>
      <x:c r="W56" s="34" t="n">
        <x:v>3.734017823067703e-8</x:v>
      </x:c>
      <x:c r="X56" s="34" t="n">
        <x:v>4.237953538099859e-8</x:v>
      </x:c>
      <x:c r="Y56" s="34" t="n">
        <x:v>4.237953538099859e-8</x:v>
      </x:c>
      <x:c r="Z56" s="28" t="n">
        <x:v>2022</x:v>
      </x:c>
      <x:c r="AA56" s="19" t="str">
        <x:v>AVAILABLE</x:v>
      </x:c>
      <x:c r="AB56" s="19" t="str">
        <x:v>AVAILABLE</x:v>
      </x:c>
      <x:c r="AC56" s="46" t="str">
        <x:v>Climate/temperature-linked lexical frequency; still not evidence of reception, voice, or affect without passage review.</x:v>
      </x:c>
    </x:row>
    <x:row r="57" ht="23" customHeight="1">
      <x:c r="A57" s="18" t="str">
        <x:v>FT-Q-V01-053</x:v>
      </x:c>
      <x:c r="B57" s="31" t="str">
        <x:v>global observations</x:v>
      </x:c>
      <x:c r="C57" s="19" t="str">
        <x:v>historical climate / climatological condition</x:v>
      </x:c>
      <x:c r="D57" s="19" t="str">
        <x:v>climate</x:v>
      </x:c>
      <x:c r="E57" s="19" t="str">
        <x:v>B</x:v>
      </x:c>
      <x:c r="F57" s="31" t="str">
        <x:v>EXECUTABLE_NGRAM</x:v>
      </x:c>
      <x:c r="G57" s="19" t="str">
        <x:v>CONTEXT_REQUIRED</x:v>
      </x:c>
      <x:c r="H57" s="19" t="str">
        <x:v>eng</x:v>
      </x:c>
      <x:c r="I57" s="19" t="str">
        <x:v>current English corpus (July 2024 dataset; public shorthand eng; mutable current corpus)</x:v>
      </x:c>
      <x:c r="J57" s="19" t="str">
        <x:v>1842</x:v>
      </x:c>
      <x:c r="K57" s="19" t="str">
        <x:v>2022</x:v>
      </x:c>
      <x:c r="L57" s="28" t="n">
        <x:v>1869</x:v>
      </x:c>
      <x:c r="M57" s="28" t="n">
        <x:v>82</x:v>
      </x:c>
      <x:c r="N57" s="28" t="n">
        <x:v>1984</x:v>
      </x:c>
      <x:c r="O57" s="34" t="n">
        <x:v>2.193620524115758e-8</x:v>
      </x:c>
      <x:c r="P57" s="28" t="n">
        <x:v>1.190052256738738e-8</x:v>
      </x:c>
      <x:c r="Q57" s="34" t="n">
        <x:v>0</x:v>
      </x:c>
      <x:c r="R57" s="34" t="n">
        <x:v>0</x:v>
      </x:c>
      <x:c r="S57" s="34" t="n">
        <x:v>1.599113318151435e-8</x:v>
      </x:c>
      <x:c r="T57" s="34" t="n">
        <x:v>1.16285575613162e-8</x:v>
      </x:c>
      <x:c r="U57" s="34" t="n">
        <x:v>1.421223546141381e-8</x:v>
      </x:c>
      <x:c r="V57" s="34" t="n">
        <x:v>1.292039651136501e-8</x:v>
      </x:c>
      <x:c r="W57" s="34" t="n">
        <x:v>8.17290351715072e-9</x:v>
      </x:c>
      <x:c r="X57" s="34" t="n">
        <x:v>1.190052256738738e-8</x:v>
      </x:c>
      <x:c r="Y57" s="34" t="n">
        <x:v>1.190052256738738e-8</x:v>
      </x:c>
      <x:c r="Z57" s="28" t="n">
        <x:v>2022</x:v>
      </x:c>
      <x:c r="AA57" s="19" t="str">
        <x:v>AVAILABLE</x:v>
      </x:c>
      <x:c r="AB57" s="19" t="str">
        <x:v>AVAILABLE</x:v>
      </x:c>
      <x:c r="AC57" s="46" t="str">
        <x:v>Climate/temperature-linked lexical frequency; still not evidence of reception, voice, or affect without passage review.</x:v>
      </x:c>
    </x:row>
    <x:row r="58" ht="23" customHeight="1">
      <x:c r="A58" s="18" t="str">
        <x:v>FT-Q-V01-054</x:v>
      </x:c>
      <x:c r="B58" s="31" t="str">
        <x:v>warm air</x:v>
      </x:c>
      <x:c r="C58" s="19" t="str">
        <x:v>local / instrumental temperature</x:v>
      </x:c>
      <x:c r="D58" s="19" t="str">
        <x:v>temperature_threshold</x:v>
      </x:c>
      <x:c r="E58" s="19" t="str">
        <x:v>A</x:v>
      </x:c>
      <x:c r="F58" s="31" t="str">
        <x:v>EXECUTABLE_NGRAM</x:v>
      </x:c>
      <x:c r="G58" s="19" t="str">
        <x:v>CONTEXT_REQUIRED</x:v>
      </x:c>
      <x:c r="H58" s="19" t="str">
        <x:v>eng</x:v>
      </x:c>
      <x:c r="I58" s="19" t="str">
        <x:v>current English corpus (July 2024 dataset; public shorthand eng; mutable current corpus)</x:v>
      </x:c>
      <x:c r="J58" s="19" t="str">
        <x:v>1842</x:v>
      </x:c>
      <x:c r="K58" s="19" t="str">
        <x:v>2022</x:v>
      </x:c>
      <x:c r="L58" s="28" t="n">
        <x:v>1842</x:v>
      </x:c>
      <x:c r="M58" s="28" t="n">
        <x:v>181</x:v>
      </x:c>
      <x:c r="N58" s="28" t="n">
        <x:v>1916</x:v>
      </x:c>
      <x:c r="O58" s="34" t="n">
        <x:v>0.000002910558041517575</x:v>
      </x:c>
      <x:c r="P58" s="28" t="n">
        <x:v>5.92194779214239e-7</x:v>
      </x:c>
      <x:c r="Q58" s="34" t="n">
        <x:v>4.637466225476672e-7</x:v>
      </x:c>
      <x:c r="R58" s="34" t="n">
        <x:v>0.00000156020963704151</x:v>
      </x:c>
      <x:c r="S58" s="34" t="n">
        <x:v>4.812640085269382e-7</x:v>
      </x:c>
      <x:c r="T58" s="34" t="n">
        <x:v>5.327618970638048e-7</x:v>
      </x:c>
      <x:c r="U58" s="34" t="n">
        <x:v>5.737065812000397e-7</x:v>
      </x:c>
      <x:c r="V58" s="34" t="n">
        <x:v>5.532342391319223e-7</x:v>
      </x:c>
      <x:c r="W58" s="34" t="n">
        <x:v>6.757823330823254e-7</x:v>
      </x:c>
      <x:c r="X58" s="34" t="n">
        <x:v>5.92194779214239e-7</x:v>
      </x:c>
      <x:c r="Y58" s="34" t="n">
        <x:v>5.92194779214239e-7</x:v>
      </x:c>
      <x:c r="Z58" s="28" t="n">
        <x:v>2022</x:v>
      </x:c>
      <x:c r="AA58" s="19" t="str">
        <x:v>AVAILABLE</x:v>
      </x:c>
      <x:c r="AB58" s="19" t="str">
        <x:v>AVAILABLE</x:v>
      </x:c>
      <x:c r="AC58" s="46" t="str">
        <x:v>Climate/temperature-linked lexical frequency; still not evidence of reception, voice, or affect without passage review.</x:v>
      </x:c>
    </x:row>
    <x:row r="59" ht="23" customHeight="1">
      <x:c r="A59" s="18" t="str">
        <x:v>FT-Q-V01-055</x:v>
      </x:c>
      <x:c r="B59" s="31" t="str">
        <x:v>changing atmosphere</x:v>
      </x:c>
      <x:c r="C59" s="19" t="str">
        <x:v>changing atmosphere</x:v>
      </x:c>
      <x:c r="D59" s="19" t="str">
        <x:v>climate</x:v>
      </x:c>
      <x:c r="E59" s="19" t="str">
        <x:v>B</x:v>
      </x:c>
      <x:c r="F59" s="31" t="str">
        <x:v>EXECUTABLE_NGRAM</x:v>
      </x:c>
      <x:c r="G59" s="19" t="str">
        <x:v>CLIMATE_SPECIFIC</x:v>
      </x:c>
      <x:c r="H59" s="19" t="str">
        <x:v>eng</x:v>
      </x:c>
      <x:c r="I59" s="19" t="str">
        <x:v>current English corpus (July 2024 dataset; public shorthand eng; mutable current corpus)</x:v>
      </x:c>
      <x:c r="J59" s="19" t="str">
        <x:v>1842</x:v>
      </x:c>
      <x:c r="K59" s="19" t="str">
        <x:v>2022</x:v>
      </x:c>
      <x:c r="L59" s="28" t="n">
        <x:v>1842</x:v>
      </x:c>
      <x:c r="M59" s="28" t="n">
        <x:v>181</x:v>
      </x:c>
      <x:c r="N59" s="28" t="n">
        <x:v>1989</x:v>
      </x:c>
      <x:c r="O59" s="34" t="n">
        <x:v>6.209157343839422e-8</x:v>
      </x:c>
      <x:c r="P59" s="28" t="n">
        <x:v>1.070604704889178e-8</x:v>
      </x:c>
      <x:c r="Q59" s="34" t="n">
        <x:v>1.93496507705504e-9</x:v>
      </x:c>
      <x:c r="R59" s="34" t="n">
        <x:v>2.450182945423762e-9</x:v>
      </x:c>
      <x:c r="S59" s="34" t="n">
        <x:v>3.622682637205443e-8</x:v>
      </x:c>
      <x:c r="T59" s="34" t="n">
        <x:v>9.110562668862565e-9</x:v>
      </x:c>
      <x:c r="U59" s="34" t="n">
        <x:v>9.534791317600266e-9</x:v>
      </x:c>
      <x:c r="V59" s="34" t="n">
        <x:v>9.322676993231416e-9</x:v>
      </x:c>
      <x:c r="W59" s="34" t="n">
        <x:v>8.266307967991215e-9</x:v>
      </x:c>
      <x:c r="X59" s="34" t="n">
        <x:v>1.070604704889178e-8</x:v>
      </x:c>
      <x:c r="Y59" s="34" t="n">
        <x:v>1.070604704889178e-8</x:v>
      </x:c>
      <x:c r="Z59" s="28" t="n">
        <x:v>2022</x:v>
      </x:c>
      <x:c r="AA59" s="19" t="str">
        <x:v>AVAILABLE</x:v>
      </x:c>
      <x:c r="AB59" s="19" t="str">
        <x:v>AVAILABLE</x:v>
      </x:c>
      <x:c r="AC59" s="46" t="str">
        <x:v>Climate/temperature-linked lexical frequency; still not evidence of reception, voice, or affect without passage review.</x:v>
      </x:c>
    </x:row>
    <x:row r="60" ht="23" customHeight="1">
      <x:c r="A60" s="18" t="str">
        <x:v>FT-Q-V01-056</x:v>
      </x:c>
      <x:c r="B60" s="31" t="str">
        <x:v>global security</x:v>
      </x:c>
      <x:c r="C60" s="19" t="str">
        <x:v>global security frame</x:v>
      </x:c>
      <x:c r="D60" s="19" t="str">
        <x:v>danger_threat</x:v>
      </x:c>
      <x:c r="E60" s="19" t="str">
        <x:v>D</x:v>
      </x:c>
      <x:c r="F60" s="31" t="str">
        <x:v>EXECUTABLE_NGRAM</x:v>
      </x:c>
      <x:c r="G60" s="19" t="str">
        <x:v>CONTEXT_REQUIRED</x:v>
      </x:c>
      <x:c r="H60" s="19" t="str">
        <x:v>eng</x:v>
      </x:c>
      <x:c r="I60" s="19" t="str">
        <x:v>current English corpus (July 2024 dataset; public shorthand eng; mutable current corpus)</x:v>
      </x:c>
      <x:c r="J60" s="19" t="str">
        <x:v>1842</x:v>
      </x:c>
      <x:c r="K60" s="19" t="str">
        <x:v>2022</x:v>
      </x:c>
      <x:c r="L60" s="28" t="n">
        <x:v>1843</x:v>
      </x:c>
      <x:c r="M60" s="28" t="n">
        <x:v>109</x:v>
      </x:c>
      <x:c r="N60" s="28" t="n">
        <x:v>2009</x:v>
      </x:c>
      <x:c r="O60" s="34" t="n">
        <x:v>4.395556607306172e-7</x:v>
      </x:c>
      <x:c r="P60" s="28" t="n">
        <x:v>2.638022949807972e-7</x:v>
      </x:c>
      <x:c r="Q60" s="34" t="n">
        <x:v>0</x:v>
      </x:c>
      <x:c r="R60" s="34" t="n">
        <x:v>0</x:v>
      </x:c>
      <x:c r="S60" s="34" t="n">
        <x:v>1.697824010271631e-7</x:v>
      </x:c>
      <x:c r="T60" s="34" t="n">
        <x:v>3.610804458209493e-7</x:v>
      </x:c>
      <x:c r="U60" s="34" t="n">
        <x:v>3.68618609414284e-7</x:v>
      </x:c>
      <x:c r="V60" s="34" t="n">
        <x:v>3.648495276176167e-7</x:v>
      </x:c>
      <x:c r="W60" s="34" t="n">
        <x:v>2.910487669725847e-7</x:v>
      </x:c>
      <x:c r="X60" s="34" t="n">
        <x:v>2.638022949807972e-7</x:v>
      </x:c>
      <x:c r="Y60" s="34" t="n">
        <x:v>2.638022949807972e-7</x:v>
      </x:c>
      <x:c r="Z60" s="28" t="n">
        <x:v>2022</x:v>
      </x:c>
      <x:c r="AA60" s="19" t="str">
        <x:v>AVAILABLE</x:v>
      </x:c>
      <x:c r="AB60" s="19" t="str">
        <x:v>AVAILABLE</x:v>
      </x:c>
      <x:c r="AC60" s="46" t="str">
        <x:v>Climate/temperature-linked lexical frequency; still not evidence of reception, voice, or affect without passage review.</x:v>
      </x:c>
    </x:row>
    <x:row r="61" ht="23" customHeight="1">
      <x:c r="A61" s="18" t="str">
        <x:v>FT-Q-V01-057</x:v>
      </x:c>
      <x:c r="B61" s="31" t="str">
        <x:v>climate warming</x:v>
      </x:c>
      <x:c r="C61" s="19" t="str">
        <x:v>climate-system warming</x:v>
      </x:c>
      <x:c r="D61" s="19" t="str">
        <x:v>warming</x:v>
      </x:c>
      <x:c r="E61" s="19" t="str">
        <x:v>A</x:v>
      </x:c>
      <x:c r="F61" s="31" t="str">
        <x:v>EXECUTABLE_NGRAM</x:v>
      </x:c>
      <x:c r="G61" s="19" t="str">
        <x:v>CONTEXT_REQUIRED</x:v>
      </x:c>
      <x:c r="H61" s="19" t="str">
        <x:v>eng</x:v>
      </x:c>
      <x:c r="I61" s="19" t="str">
        <x:v>current English corpus (July 2024 dataset; public shorthand eng; mutable current corpus)</x:v>
      </x:c>
      <x:c r="J61" s="19" t="str">
        <x:v>1842</x:v>
      </x:c>
      <x:c r="K61" s="19" t="str">
        <x:v>2022</x:v>
      </x:c>
      <x:c r="L61" s="28" t="n">
        <x:v>1865</x:v>
      </x:c>
      <x:c r="M61" s="28" t="n">
        <x:v>89</x:v>
      </x:c>
      <x:c r="N61" s="28" t="n">
        <x:v>2022</x:v>
      </x:c>
      <x:c r="O61" s="34" t="n">
        <x:v>1.583787058723196e-7</x:v>
      </x:c>
      <x:c r="P61" s="28" t="n">
        <x:v>1.583787058723196e-7</x:v>
      </x:c>
      <x:c r="Q61" s="34" t="n">
        <x:v>0</x:v>
      </x:c>
      <x:c r="R61" s="34" t="n">
        <x:v>0</x:v>
      </x:c>
      <x:c r="S61" s="34" t="n">
        <x:v>3.632553680077422e-8</x:v>
      </x:c>
      <x:c r="T61" s="34" t="n">
        <x:v>9.815601531570906e-8</x:v>
      </x:c>
      <x:c r="U61" s="34" t="n">
        <x:v>9.899091737985977e-8</x:v>
      </x:c>
      <x:c r="V61" s="34" t="n">
        <x:v>9.857346634778441e-8</x:v>
      </x:c>
      <x:c r="W61" s="34" t="n">
        <x:v>8.350372171506137e-8</x:v>
      </x:c>
      <x:c r="X61" s="34" t="n">
        <x:v>1.583787058723196e-7</x:v>
      </x:c>
      <x:c r="Y61" s="34" t="n">
        <x:v>1.583787058723196e-7</x:v>
      </x:c>
      <x:c r="Z61" s="28" t="n">
        <x:v>2022</x:v>
      </x:c>
      <x:c r="AA61" s="19" t="str">
        <x:v>AVAILABLE</x:v>
      </x:c>
      <x:c r="AB61" s="19" t="str">
        <x:v>AVAILABLE</x:v>
      </x:c>
      <x:c r="AC61" s="46" t="str">
        <x:v>Climate/temperature-linked lexical frequency; still not evidence of reception, voice, or affect without passage review.</x:v>
      </x:c>
    </x:row>
    <x:row r="62" ht="23" customHeight="1">
      <x:c r="A62" s="18" t="str">
        <x:v>FT-Q-V01-058</x:v>
      </x:c>
      <x:c r="B62" s="31" t="str">
        <x:v>changed climatic extremes</x:v>
      </x:c>
      <x:c r="C62" s="19" t="str">
        <x:v>generic damage</x:v>
      </x:c>
      <x:c r="D62" s="19" t="str">
        <x:v>harm_loss_consequences</x:v>
      </x:c>
      <x:c r="E62" s="19" t="str">
        <x:v>D</x:v>
      </x:c>
      <x:c r="F62" s="31" t="str">
        <x:v>EXECUTABLE_NGRAM</x:v>
      </x:c>
      <x:c r="G62" s="19" t="str">
        <x:v>CONTEXT_REQUIRED</x:v>
      </x:c>
      <x:c r="H62" s="19" t="str">
        <x:v>eng</x:v>
      </x:c>
      <x:c r="I62" s="19" t="str">
        <x:v>current English corpus (July 2024 dataset; public shorthand eng; mutable current corpus)</x:v>
      </x:c>
      <x:c r="J62" s="19" t="str">
        <x:v>1842</x:v>
      </x:c>
      <x:c r="K62" s="19" t="str">
        <x:v>2022</x:v>
      </x:c>
      <x:c r="L62" s="28" t="str"/>
      <x:c r="M62" s="28" t="n">
        <x:v>0</x:v>
      </x:c>
      <x:c r="N62" s="28" t="str"/>
      <x:c r="O62" s="34" t="str"/>
      <x:c r="P62" s="28" t="str"/>
      <x:c r="Q62" s="34" t="str"/>
      <x:c r="R62" s="34" t="str"/>
      <x:c r="S62" s="34" t="str"/>
      <x:c r="T62" s="34" t="str"/>
      <x:c r="U62" s="34" t="str"/>
      <x:c r="V62" s="34" t="str"/>
      <x:c r="W62" s="34" t="str"/>
      <x:c r="X62" s="34" t="str"/>
      <x:c r="Y62" s="34" t="str"/>
      <x:c r="Z62" s="28" t="n">
        <x:v>2022</x:v>
      </x:c>
      <x:c r="AA62" s="19" t="str">
        <x:v>NO_SERIES</x:v>
      </x:c>
      <x:c r="AB62" s="19" t="str">
        <x:v>NOT_AVAILABLE</x:v>
      </x:c>
      <x:c r="AC62" s="46" t="str">
        <x:v>Climate/temperature-linked lexical frequency; still not evidence of reception, voice, or affect without passage review.</x:v>
      </x:c>
    </x:row>
    <x:row r="63" ht="23" customHeight="1">
      <x:c r="A63" s="18" t="str">
        <x:v>FT-Q-V01-059</x:v>
      </x:c>
      <x:c r="B63" s="31" t="str">
        <x:v>major threat</x:v>
      </x:c>
      <x:c r="C63" s="19" t="str">
        <x:v>institutional climate threat</x:v>
      </x:c>
      <x:c r="D63" s="19" t="str">
        <x:v>danger_threat</x:v>
      </x:c>
      <x:c r="E63" s="19" t="str">
        <x:v>D</x:v>
      </x:c>
      <x:c r="F63" s="31" t="str">
        <x:v>EXECUTABLE_NGRAM</x:v>
      </x:c>
      <x:c r="G63" s="19" t="str">
        <x:v>CONTEXT_REQUIRED</x:v>
      </x:c>
      <x:c r="H63" s="19" t="str">
        <x:v>eng</x:v>
      </x:c>
      <x:c r="I63" s="19" t="str">
        <x:v>current English corpus (July 2024 dataset; public shorthand eng; mutable current corpus)</x:v>
      </x:c>
      <x:c r="J63" s="19" t="str">
        <x:v>1842</x:v>
      </x:c>
      <x:c r="K63" s="19" t="str">
        <x:v>2022</x:v>
      </x:c>
      <x:c r="L63" s="28" t="n">
        <x:v>1844</x:v>
      </x:c>
      <x:c r="M63" s="28" t="n">
        <x:v>136</x:v>
      </x:c>
      <x:c r="N63" s="28" t="n">
        <x:v>2021</x:v>
      </x:c>
      <x:c r="O63" s="34" t="n">
        <x:v>2.630044870777226e-7</x:v>
      </x:c>
      <x:c r="P63" s="28" t="n">
        <x:v>2.351791106303125e-7</x:v>
      </x:c>
      <x:c r="Q63" s="34" t="n">
        <x:v>0</x:v>
      </x:c>
      <x:c r="R63" s="34" t="n">
        <x:v>1.403286584156227e-8</x:v>
      </x:c>
      <x:c r="S63" s="34" t="n">
        <x:v>2.255045952748169e-7</x:v>
      </x:c>
      <x:c r="T63" s="34" t="n">
        <x:v>2.440623619870408e-7</x:v>
      </x:c>
      <x:c r="U63" s="34" t="n">
        <x:v>2.354463725096068e-7</x:v>
      </x:c>
      <x:c r="V63" s="34" t="n">
        <x:v>2.397543672483238e-7</x:v>
      </x:c>
      <x:c r="W63" s="34" t="n">
        <x:v>2.18847005184486e-7</x:v>
      </x:c>
      <x:c r="X63" s="34" t="n">
        <x:v>2.351791106303125e-7</x:v>
      </x:c>
      <x:c r="Y63" s="34" t="n">
        <x:v>2.351791106303125e-7</x:v>
      </x:c>
      <x:c r="Z63" s="28" t="n">
        <x:v>2022</x:v>
      </x:c>
      <x:c r="AA63" s="19" t="str">
        <x:v>AVAILABLE</x:v>
      </x:c>
      <x:c r="AB63" s="19" t="str">
        <x:v>AVAILABLE</x:v>
      </x:c>
      <x:c r="AC63" s="46" t="str">
        <x:v>Climate/temperature-linked lexical frequency; still not evidence of reception, voice, or affect without passage review.</x:v>
      </x:c>
    </x:row>
    <x:row r="64" ht="23" customHeight="1">
      <x:c r="A64" s="18" t="str">
        <x:v>FT-Q-V01-060</x:v>
      </x:c>
      <x:c r="B64" s="31" t="str">
        <x:v>harmful consequences</x:v>
      </x:c>
      <x:c r="C64" s="19" t="str">
        <x:v>generic damage</x:v>
      </x:c>
      <x:c r="D64" s="19" t="str">
        <x:v>harm_loss_consequences</x:v>
      </x:c>
      <x:c r="E64" s="19" t="str">
        <x:v>D</x:v>
      </x:c>
      <x:c r="F64" s="31" t="str">
        <x:v>EXECUTABLE_NGRAM</x:v>
      </x:c>
      <x:c r="G64" s="19" t="str">
        <x:v>CONTEXT_REQUIRED</x:v>
      </x:c>
      <x:c r="H64" s="19" t="str">
        <x:v>eng</x:v>
      </x:c>
      <x:c r="I64" s="19" t="str">
        <x:v>current English corpus (July 2024 dataset; public shorthand eng; mutable current corpus)</x:v>
      </x:c>
      <x:c r="J64" s="19" t="str">
        <x:v>1842</x:v>
      </x:c>
      <x:c r="K64" s="19" t="str">
        <x:v>2022</x:v>
      </x:c>
      <x:c r="L64" s="28" t="n">
        <x:v>1844</x:v>
      </x:c>
      <x:c r="M64" s="28" t="n">
        <x:v>172</x:v>
      </x:c>
      <x:c r="N64" s="28" t="n">
        <x:v>2022</x:v>
      </x:c>
      <x:c r="O64" s="34" t="n">
        <x:v>1.412578776172069e-7</x:v>
      </x:c>
      <x:c r="P64" s="28" t="n">
        <x:v>1.412578776172069e-7</x:v>
      </x:c>
      <x:c r="Q64" s="34" t="n">
        <x:v>0</x:v>
      </x:c>
      <x:c r="R64" s="34" t="n">
        <x:v>2.706338442237666e-8</x:v>
      </x:c>
      <x:c r="S64" s="34" t="n">
        <x:v>8.069599446991482e-8</x:v>
      </x:c>
      <x:c r="T64" s="34" t="n">
        <x:v>1.050232736748979e-7</x:v>
      </x:c>
      <x:c r="U64" s="34" t="n">
        <x:v>1.079860063382676e-7</x:v>
      </x:c>
      <x:c r="V64" s="34" t="n">
        <x:v>1.065046400065828e-7</x:v>
      </x:c>
      <x:c r="W64" s="34" t="n">
        <x:v>1.12132235940976e-7</x:v>
      </x:c>
      <x:c r="X64" s="34" t="n">
        <x:v>1.412578776172069e-7</x:v>
      </x:c>
      <x:c r="Y64" s="34" t="n">
        <x:v>1.412578776172069e-7</x:v>
      </x:c>
      <x:c r="Z64" s="28" t="n">
        <x:v>2022</x:v>
      </x:c>
      <x:c r="AA64" s="19" t="str">
        <x:v>AVAILABLE</x:v>
      </x:c>
      <x:c r="AB64" s="19" t="str">
        <x:v>AVAILABLE</x:v>
      </x:c>
      <x:c r="AC64" s="46" t="str">
        <x:v>Climate/temperature-linked lexical frequency; still not evidence of reception, voice, or affect without passage review.</x:v>
      </x:c>
    </x:row>
    <x:row r="65" ht="23" customHeight="1">
      <x:c r="A65" s="18" t="str">
        <x:v>FT-Q-V01-061</x:v>
      </x:c>
      <x:c r="B65" s="31" t="str">
        <x:v>warming of the climate system</x:v>
      </x:c>
      <x:c r="C65" s="19" t="str">
        <x:v>climate-system warming</x:v>
      </x:c>
      <x:c r="D65" s="19" t="str">
        <x:v>warming</x:v>
      </x:c>
      <x:c r="E65" s="19" t="str">
        <x:v>A</x:v>
      </x:c>
      <x:c r="F65" s="31" t="str">
        <x:v>EXECUTABLE_NGRAM</x:v>
      </x:c>
      <x:c r="G65" s="19" t="str">
        <x:v>CONTEXT_REQUIRED</x:v>
      </x:c>
      <x:c r="H65" s="19" t="str">
        <x:v>eng</x:v>
      </x:c>
      <x:c r="I65" s="19" t="str">
        <x:v>current English corpus (July 2024 dataset; public shorthand eng; mutable current corpus)</x:v>
      </x:c>
      <x:c r="J65" s="19" t="str">
        <x:v>1842</x:v>
      </x:c>
      <x:c r="K65" s="19" t="str">
        <x:v>2022</x:v>
      </x:c>
      <x:c r="L65" s="28" t="n">
        <x:v>1949</x:v>
      </x:c>
      <x:c r="M65" s="28" t="n">
        <x:v>40</x:v>
      </x:c>
      <x:c r="N65" s="28" t="n">
        <x:v>2008</x:v>
      </x:c>
      <x:c r="O65" s="34" t="n">
        <x:v>1.728648246768216e-8</x:v>
      </x:c>
      <x:c r="P65" s="28" t="n">
        <x:v>4.892822147439801e-9</x:v>
      </x:c>
      <x:c r="Q65" s="34" t="n">
        <x:v>0</x:v>
      </x:c>
      <x:c r="R65" s="34" t="n">
        <x:v>0</x:v>
      </x:c>
      <x:c r="S65" s="34" t="n">
        <x:v>1.303340213532067e-10</x:v>
      </x:c>
      <x:c r="T65" s="34" t="n">
        <x:v>1.048117204138777e-9</x:v>
      </x:c>
      <x:c r="U65" s="34" t="n">
        <x:v>7.173159843887333e-9</x:v>
      </x:c>
      <x:c r="V65" s="34" t="n">
        <x:v>4.110638524013055e-9</x:v>
      </x:c>
      <x:c r="W65" s="34" t="n">
        <x:v>1.336047139588459e-8</x:v>
      </x:c>
      <x:c r="X65" s="34" t="n">
        <x:v>4.892822147439801e-9</x:v>
      </x:c>
      <x:c r="Y65" s="34" t="n">
        <x:v>4.892822147439801e-9</x:v>
      </x:c>
      <x:c r="Z65" s="28" t="n">
        <x:v>2022</x:v>
      </x:c>
      <x:c r="AA65" s="19" t="str">
        <x:v>AVAILABLE</x:v>
      </x:c>
      <x:c r="AB65" s="19" t="str">
        <x:v>AVAILABLE</x:v>
      </x:c>
      <x:c r="AC65" s="46" t="str">
        <x:v>Climate/temperature-linked lexical frequency; still not evidence of reception, voice, or affect without passage review.</x:v>
      </x:c>
    </x:row>
    <x:row r="66" ht="23" customHeight="1">
      <x:c r="A66" s="18" t="str">
        <x:v>FT-Q-V01-062</x:v>
      </x:c>
      <x:c r="B66" s="31" t="str">
        <x:v>unequivocal</x:v>
      </x:c>
      <x:c r="C66" s="19" t="str">
        <x:v>historical climate / climatological condition</x:v>
      </x:c>
      <x:c r="D66" s="19" t="str">
        <x:v>climate</x:v>
      </x:c>
      <x:c r="E66" s="19" t="str">
        <x:v>B</x:v>
      </x:c>
      <x:c r="F66" s="31" t="str">
        <x:v>EXECUTABLE_NGRAM</x:v>
      </x:c>
      <x:c r="G66" s="19" t="str">
        <x:v>CONTEXT_REQUIRED</x:v>
      </x:c>
      <x:c r="H66" s="19" t="str">
        <x:v>eng</x:v>
      </x:c>
      <x:c r="I66" s="19" t="str">
        <x:v>current English corpus (July 2024 dataset; public shorthand eng; mutable current corpus)</x:v>
      </x:c>
      <x:c r="J66" s="19" t="str">
        <x:v>1842</x:v>
      </x:c>
      <x:c r="K66" s="19" t="str">
        <x:v>2022</x:v>
      </x:c>
      <x:c r="L66" s="28" t="n">
        <x:v>1842</x:v>
      </x:c>
      <x:c r="M66" s="28" t="n">
        <x:v>181</x:v>
      </x:c>
      <x:c r="N66" s="28" t="n">
        <x:v>1844</x:v>
      </x:c>
      <x:c r="O66" s="34" t="n">
        <x:v>0.000002493547962445497</x:v>
      </x:c>
      <x:c r="P66" s="28" t="n">
        <x:v>9.735799887389263e-7</x:v>
      </x:c>
      <x:c r="Q66" s="34" t="n">
        <x:v>0.000002489191224697151</x:v>
      </x:c>
      <x:c r="R66" s="34" t="n">
        <x:v>6.214660617231971e-7</x:v>
      </x:c>
      <x:c r="S66" s="34" t="n">
        <x:v>0.000001265813166506646</x:v>
      </x:c>
      <x:c r="T66" s="34" t="n">
        <x:v>0.000001163251503566443</x:v>
      </x:c>
      <x:c r="U66" s="34" t="n">
        <x:v>0.000001199470233470556</x:v>
      </x:c>
      <x:c r="V66" s="34" t="n">
        <x:v>0.0000011813608685185</x:v>
      </x:c>
      <x:c r="W66" s="34" t="n">
        <x:v>0.00000104477917728385</x:v>
      </x:c>
      <x:c r="X66" s="34" t="n">
        <x:v>9.735799887389263e-7</x:v>
      </x:c>
      <x:c r="Y66" s="34" t="n">
        <x:v>9.735799887389263e-7</x:v>
      </x:c>
      <x:c r="Z66" s="28" t="n">
        <x:v>2022</x:v>
      </x:c>
      <x:c r="AA66" s="19" t="str">
        <x:v>AVAILABLE</x:v>
      </x:c>
      <x:c r="AB66" s="19" t="str">
        <x:v>AVAILABLE</x:v>
      </x:c>
      <x:c r="AC66" s="46" t="str">
        <x:v>Climate/temperature-linked lexical frequency; still not evidence of reception, voice, or affect without passage review.</x:v>
      </x:c>
    </x:row>
    <x:row r="67" ht="23" customHeight="1">
      <x:c r="A67" s="18" t="str">
        <x:v>FT-Q-V01-063</x:v>
      </x:c>
      <x:c r="B67" s="31" t="str">
        <x:v>global average air and ocean temperatures</x:v>
      </x:c>
      <x:c r="C67" s="19" t="str">
        <x:v>global aggregate temperature</x:v>
      </x:c>
      <x:c r="D67" s="19" t="str">
        <x:v>temperature_threshold</x:v>
      </x:c>
      <x:c r="E67" s="19" t="str">
        <x:v>A</x:v>
      </x:c>
      <x:c r="F67" s="31" t="str">
        <x:v>EXECUTABLE_NGRAM</x:v>
      </x:c>
      <x:c r="G67" s="19" t="str">
        <x:v>CONTEXT_REQUIRED</x:v>
      </x:c>
      <x:c r="H67" s="19" t="str">
        <x:v>eng</x:v>
      </x:c>
      <x:c r="I67" s="19" t="str">
        <x:v>current English corpus (July 2024 dataset; public shorthand eng; mutable current corpus)</x:v>
      </x:c>
      <x:c r="J67" s="19" t="str">
        <x:v>1842</x:v>
      </x:c>
      <x:c r="K67" s="19" t="str">
        <x:v>2022</x:v>
      </x:c>
      <x:c r="L67" s="28" t="n">
        <x:v>1949</x:v>
      </x:c>
      <x:c r="M67" s="28" t="n">
        <x:v>28</x:v>
      </x:c>
      <x:c r="N67" s="28" t="n">
        <x:v>2010</x:v>
      </x:c>
      <x:c r="O67" s="34" t="n">
        <x:v>9.683230217660821e-9</x:v>
      </x:c>
      <x:c r="P67" s="28" t="n">
        <x:v>9.299532255369058e-10</x:v>
      </x:c>
      <x:c r="Q67" s="34" t="n">
        <x:v>0</x:v>
      </x:c>
      <x:c r="R67" s="34" t="n">
        <x:v>0</x:v>
      </x:c>
      <x:c r="S67" s="34" t="n">
        <x:v>0</x:v>
      </x:c>
      <x:c r="T67" s="34" t="n">
        <x:v>1.877599464794599e-10</x:v>
      </x:c>
      <x:c r="U67" s="34" t="n">
        <x:v>3.851390761866469e-9</x:v>
      </x:c>
      <x:c r="V67" s="34" t="n">
        <x:v>2.019575354172964e-9</x:v>
      </x:c>
      <x:c r="W67" s="34" t="n">
        <x:v>2.896688888753829e-9</x:v>
      </x:c>
      <x:c r="X67" s="34" t="n">
        <x:v>9.299532255369058e-10</x:v>
      </x:c>
      <x:c r="Y67" s="34" t="n">
        <x:v>9.299532255369058e-10</x:v>
      </x:c>
      <x:c r="Z67" s="28" t="n">
        <x:v>2022</x:v>
      </x:c>
      <x:c r="AA67" s="19" t="str">
        <x:v>AVAILABLE</x:v>
      </x:c>
      <x:c r="AB67" s="19" t="str">
        <x:v>AVAILABLE</x:v>
      </x:c>
      <x:c r="AC67" s="46" t="str">
        <x:v>Climate/temperature-linked lexical frequency; still not evidence of reception, voice, or affect without passage review.</x:v>
      </x:c>
    </x:row>
    <x:row r="68" ht="23" customHeight="1">
      <x:c r="A68" s="18" t="str">
        <x:v>FT-Q-V01-064</x:v>
      </x:c>
      <x:c r="B68" s="31" t="str">
        <x:v>global surface temperature</x:v>
      </x:c>
      <x:c r="C68" s="19" t="str">
        <x:v>global aggregate temperature</x:v>
      </x:c>
      <x:c r="D68" s="19" t="str">
        <x:v>temperature_threshold</x:v>
      </x:c>
      <x:c r="E68" s="19" t="str">
        <x:v>A</x:v>
      </x:c>
      <x:c r="F68" s="31" t="str">
        <x:v>EXECUTABLE_NGRAM</x:v>
      </x:c>
      <x:c r="G68" s="19" t="str">
        <x:v>CONTEXT_REQUIRED</x:v>
      </x:c>
      <x:c r="H68" s="19" t="str">
        <x:v>eng</x:v>
      </x:c>
      <x:c r="I68" s="19" t="str">
        <x:v>current English corpus (July 2024 dataset; public shorthand eng; mutable current corpus)</x:v>
      </x:c>
      <x:c r="J68" s="19" t="str">
        <x:v>1842</x:v>
      </x:c>
      <x:c r="K68" s="19" t="str">
        <x:v>2022</x:v>
      </x:c>
      <x:c r="L68" s="28" t="n">
        <x:v>1869</x:v>
      </x:c>
      <x:c r="M68" s="28" t="n">
        <x:v>72</x:v>
      </x:c>
      <x:c r="N68" s="28" t="n">
        <x:v>2022</x:v>
      </x:c>
      <x:c r="O68" s="34" t="n">
        <x:v>3.419688007766375e-8</x:v>
      </x:c>
      <x:c r="P68" s="28" t="n">
        <x:v>3.419688007766375e-8</x:v>
      </x:c>
      <x:c r="Q68" s="34" t="n">
        <x:v>0</x:v>
      </x:c>
      <x:c r="R68" s="34" t="n">
        <x:v>0</x:v>
      </x:c>
      <x:c r="S68" s="34" t="n">
        <x:v>7.406253152431042e-9</x:v>
      </x:c>
      <x:c r="T68" s="34" t="n">
        <x:v>1.441722324857508e-8</x:v>
      </x:c>
      <x:c r="U68" s="34" t="n">
        <x:v>1.423723021420908e-8</x:v>
      </x:c>
      <x:c r="V68" s="34" t="n">
        <x:v>1.432722673139208e-8</x:v>
      </x:c>
      <x:c r="W68" s="34" t="n">
        <x:v>2.654301840820938e-8</x:v>
      </x:c>
      <x:c r="X68" s="34" t="n">
        <x:v>3.419688007766375e-8</x:v>
      </x:c>
      <x:c r="Y68" s="34" t="n">
        <x:v>3.419688007766375e-8</x:v>
      </x:c>
      <x:c r="Z68" s="28" t="n">
        <x:v>2022</x:v>
      </x:c>
      <x:c r="AA68" s="19" t="str">
        <x:v>AVAILABLE</x:v>
      </x:c>
      <x:c r="AB68" s="19" t="str">
        <x:v>AVAILABLE</x:v>
      </x:c>
      <x:c r="AC68" s="46" t="str">
        <x:v>Climate/temperature-linked lexical frequency; still not evidence of reception, voice, or affect without passage review.</x:v>
      </x:c>
    </x:row>
    <x:row r="69" ht="23" customHeight="1">
      <x:c r="A69" s="18" t="str">
        <x:v>FT-Q-V01-065</x:v>
      </x:c>
      <x:c r="B69" s="31" t="str">
        <x:v>temperature increase</x:v>
      </x:c>
      <x:c r="C69" s="19" t="str">
        <x:v>temperature increase</x:v>
      </x:c>
      <x:c r="D69" s="19" t="str">
        <x:v>warming</x:v>
      </x:c>
      <x:c r="E69" s="19" t="str">
        <x:v>A</x:v>
      </x:c>
      <x:c r="F69" s="31" t="str">
        <x:v>EXECUTABLE_NGRAM</x:v>
      </x:c>
      <x:c r="G69" s="19" t="str">
        <x:v>CLIMATE_SPECIFIC</x:v>
      </x:c>
      <x:c r="H69" s="19" t="str">
        <x:v>eng</x:v>
      </x:c>
      <x:c r="I69" s="19" t="str">
        <x:v>current English corpus (July 2024 dataset; public shorthand eng; mutable current corpus)</x:v>
      </x:c>
      <x:c r="J69" s="19" t="str">
        <x:v>1842</x:v>
      </x:c>
      <x:c r="K69" s="19" t="str">
        <x:v>2022</x:v>
      </x:c>
      <x:c r="L69" s="28" t="n">
        <x:v>1842</x:v>
      </x:c>
      <x:c r="M69" s="28" t="n">
        <x:v>180</x:v>
      </x:c>
      <x:c r="N69" s="28" t="n">
        <x:v>2012</x:v>
      </x:c>
      <x:c r="O69" s="34" t="n">
        <x:v>4.587313097714762e-7</x:v>
      </x:c>
      <x:c r="P69" s="28" t="n">
        <x:v>3.553787956689369e-7</x:v>
      </x:c>
      <x:c r="Q69" s="34" t="n">
        <x:v>2.579953362058518e-9</x:v>
      </x:c>
      <x:c r="R69" s="34" t="n">
        <x:v>7.439646565465807e-8</x:v>
      </x:c>
      <x:c r="S69" s="34" t="n">
        <x:v>2.921836819713697e-7</x:v>
      </x:c>
      <x:c r="T69" s="34" t="n">
        <x:v>3.161227772885411e-7</x:v>
      </x:c>
      <x:c r="U69" s="34" t="n">
        <x:v>3.19865252479401e-7</x:v>
      </x:c>
      <x:c r="V69" s="34" t="n">
        <x:v>3.179940148839711e-7</x:v>
      </x:c>
      <x:c r="W69" s="34" t="n">
        <x:v>3.016501993191589e-7</x:v>
      </x:c>
      <x:c r="X69" s="34" t="n">
        <x:v>3.553787956689369e-7</x:v>
      </x:c>
      <x:c r="Y69" s="34" t="n">
        <x:v>3.553787956689369e-7</x:v>
      </x:c>
      <x:c r="Z69" s="28" t="n">
        <x:v>2022</x:v>
      </x:c>
      <x:c r="AA69" s="19" t="str">
        <x:v>AVAILABLE</x:v>
      </x:c>
      <x:c r="AB69" s="19" t="str">
        <x:v>AVAILABLE</x:v>
      </x:c>
      <x:c r="AC69" s="46" t="str">
        <x:v>Climate/temperature-linked lexical frequency; still not evidence of reception, voice, or affect without passage review.</x:v>
      </x:c>
    </x:row>
    <x:row r="70" ht="23" customHeight="1">
      <x:c r="A70" s="18" t="str">
        <x:v>FT-Q-V01-066</x:v>
      </x:c>
      <x:c r="B70" s="31" t="str">
        <x:v>rising global average sea level</x:v>
      </x:c>
      <x:c r="C70" s="19" t="str">
        <x:v>generic damage</x:v>
      </x:c>
      <x:c r="D70" s="19" t="str">
        <x:v>harm_loss_consequences</x:v>
      </x:c>
      <x:c r="E70" s="19" t="str">
        <x:v>D</x:v>
      </x:c>
      <x:c r="F70" s="31" t="str">
        <x:v>EXECUTABLE_NGRAM</x:v>
      </x:c>
      <x:c r="G70" s="19" t="str">
        <x:v>CONTEXT_REQUIRED</x:v>
      </x:c>
      <x:c r="H70" s="19" t="str">
        <x:v>eng</x:v>
      </x:c>
      <x:c r="I70" s="19" t="str">
        <x:v>current English corpus (July 2024 dataset; public shorthand eng; mutable current corpus)</x:v>
      </x:c>
      <x:c r="J70" s="19" t="str">
        <x:v>1842</x:v>
      </x:c>
      <x:c r="K70" s="19" t="str">
        <x:v>2022</x:v>
      </x:c>
      <x:c r="L70" s="28" t="n">
        <x:v>1953</x:v>
      </x:c>
      <x:c r="M70" s="28" t="n">
        <x:v>25</x:v>
      </x:c>
      <x:c r="N70" s="28" t="n">
        <x:v>2008</x:v>
      </x:c>
      <x:c r="O70" s="34" t="n">
        <x:v>6.8787042728502e-9</x:v>
      </x:c>
      <x:c r="P70" s="28" t="n">
        <x:v>6.523762641208464e-10</x:v>
      </x:c>
      <x:c r="Q70" s="34" t="n">
        <x:v>0</x:v>
      </x:c>
      <x:c r="R70" s="34" t="n">
        <x:v>0</x:v>
      </x:c>
      <x:c r="S70" s="34" t="n">
        <x:v>0</x:v>
      </x:c>
      <x:c r="T70" s="34" t="n">
        <x:v>0</x:v>
      </x:c>
      <x:c r="U70" s="34" t="n">
        <x:v>2.22026375062967e-9</x:v>
      </x:c>
      <x:c r="V70" s="34" t="n">
        <x:v>1.110131875314835e-9</x:v>
      </x:c>
      <x:c r="W70" s="34" t="n">
        <x:v>2.130764897856352e-9</x:v>
      </x:c>
      <x:c r="X70" s="34" t="n">
        <x:v>6.523762641208464e-10</x:v>
      </x:c>
      <x:c r="Y70" s="34" t="n">
        <x:v>6.523762641208464e-10</x:v>
      </x:c>
      <x:c r="Z70" s="28" t="n">
        <x:v>2022</x:v>
      </x:c>
      <x:c r="AA70" s="19" t="str">
        <x:v>AVAILABLE</x:v>
      </x:c>
      <x:c r="AB70" s="19" t="str">
        <x:v>AVAILABLE</x:v>
      </x:c>
      <x:c r="AC70" s="46" t="str">
        <x:v>Climate/temperature-linked lexical frequency; still not evidence of reception, voice, or affect without passage review.</x:v>
      </x:c>
    </x:row>
    <x:row r="71" ht="23" customHeight="1">
      <x:c r="A71" s="18" t="str">
        <x:v>FT-Q-V01-067</x:v>
      </x:c>
      <x:c r="B71" s="31" t="str">
        <x:v>widespread melting of snow and ice</x:v>
      </x:c>
      <x:c r="C71" s="19" t="str">
        <x:v>generic damage</x:v>
      </x:c>
      <x:c r="D71" s="19" t="str">
        <x:v>harm_loss_consequences</x:v>
      </x:c>
      <x:c r="E71" s="19" t="str">
        <x:v>D</x:v>
      </x:c>
      <x:c r="F71" s="31" t="str">
        <x:v>EXECUTABLE_NGRAM</x:v>
      </x:c>
      <x:c r="G71" s="19" t="str">
        <x:v>CONTEXT_REQUIRED</x:v>
      </x:c>
      <x:c r="H71" s="19" t="str">
        <x:v>eng</x:v>
      </x:c>
      <x:c r="I71" s="19" t="str">
        <x:v>current English corpus (July 2024 dataset; public shorthand eng; mutable current corpus)</x:v>
      </x:c>
      <x:c r="J71" s="19" t="str">
        <x:v>1842</x:v>
      </x:c>
      <x:c r="K71" s="19" t="str">
        <x:v>2022</x:v>
      </x:c>
      <x:c r="L71" s="28" t="n">
        <x:v>1949</x:v>
      </x:c>
      <x:c r="M71" s="28" t="n">
        <x:v>30</x:v>
      </x:c>
      <x:c r="N71" s="28" t="n">
        <x:v>2008</x:v>
      </x:c>
      <x:c r="O71" s="34" t="n">
        <x:v>1.122799098141058e-8</x:v>
      </x:c>
      <x:c r="P71" s="28" t="n">
        <x:v>1.104319413691712e-9</x:v>
      </x:c>
      <x:c r="Q71" s="34" t="n">
        <x:v>0</x:v>
      </x:c>
      <x:c r="R71" s="34" t="n">
        <x:v>0</x:v>
      </x:c>
      <x:c r="S71" s="34" t="n">
        <x:v>0</x:v>
      </x:c>
      <x:c r="T71" s="34" t="n">
        <x:v>2.503466045578051e-10</x:v>
      </x:c>
      <x:c r="U71" s="34" t="n">
        <x:v>5.074054509890402e-9</x:v>
      </x:c>
      <x:c r="V71" s="34" t="n">
        <x:v>2.662200557224104e-9</x:v>
      </x:c>
      <x:c r="W71" s="34" t="n">
        <x:v>3.451374075424951e-9</x:v>
      </x:c>
      <x:c r="X71" s="34" t="n">
        <x:v>1.104319413691712e-9</x:v>
      </x:c>
      <x:c r="Y71" s="34" t="n">
        <x:v>1.104319413691712e-9</x:v>
      </x:c>
      <x:c r="Z71" s="28" t="n">
        <x:v>2022</x:v>
      </x:c>
      <x:c r="AA71" s="19" t="str">
        <x:v>AVAILABLE</x:v>
      </x:c>
      <x:c r="AB71" s="19" t="str">
        <x:v>AVAILABLE</x:v>
      </x:c>
      <x:c r="AC71" s="46" t="str">
        <x:v>Climate/temperature-linked lexical frequency; still not evidence of reception, voice, or affect without passage review.</x:v>
      </x:c>
    </x:row>
    <x:row r="72" ht="23" customHeight="1">
      <x:c r="A72" s="18" t="str">
        <x:v>FT-Q-V01-068</x:v>
      </x:c>
      <x:c r="B72" s="31" t="str">
        <x:v>anthropogenic CO₂</x:v>
      </x:c>
      <x:c r="C72" s="19" t="str">
        <x:v>anthropogenic carbon-dioxide production</x:v>
      </x:c>
      <x:c r="D72" s="19" t="str">
        <x:v>carbon_greenhouse</x:v>
      </x:c>
      <x:c r="E72" s="19" t="str">
        <x:v>B</x:v>
      </x:c>
      <x:c r="F72" s="31" t="str">
        <x:v>EXECUTABLE_CORPUS_ONLY</x:v>
      </x:c>
      <x:c r="G72" s="19" t="str">
        <x:v>CONTEXT_REQUIRED</x:v>
      </x:c>
      <x:c r="H72" s="19" t="str">
        <x:v>eng</x:v>
      </x:c>
      <x:c r="I72" s="19" t="str">
        <x:v>current English corpus (July 2024 dataset; public shorthand eng; mutable current corpus)</x:v>
      </x:c>
      <x:c r="J72" s="19" t="str">
        <x:v>1842</x:v>
      </x:c>
      <x:c r="K72" s="19" t="str">
        <x:v>2022</x:v>
      </x:c>
      <x:c r="L72" s="28" t="str"/>
      <x:c r="M72" s="28" t="n">
        <x:v>0</x:v>
      </x:c>
      <x:c r="N72" s="28" t="str"/>
      <x:c r="O72" s="34" t="str"/>
      <x:c r="P72" s="28" t="str"/>
      <x:c r="Q72" s="34" t="str"/>
      <x:c r="R72" s="34" t="str"/>
      <x:c r="S72" s="34" t="str"/>
      <x:c r="T72" s="34" t="str"/>
      <x:c r="U72" s="34" t="str"/>
      <x:c r="V72" s="34" t="str"/>
      <x:c r="W72" s="34" t="str"/>
      <x:c r="X72" s="34" t="str"/>
      <x:c r="Y72" s="34" t="str"/>
      <x:c r="Z72" s="28" t="n">
        <x:v>2022</x:v>
      </x:c>
      <x:c r="AA72" s="19" t="str">
        <x:v>NO_SERIES</x:v>
      </x:c>
      <x:c r="AB72" s="19" t="str">
        <x:v>NOT_AVAILABLE</x:v>
      </x:c>
      <x:c r="AC72" s="46" t="str">
        <x:v>Climate/temperature-linked lexical frequency; still not evidence of reception, voice, or affect without passage review.</x:v>
      </x:c>
    </x:row>
    <x:row r="73" ht="23" customHeight="1">
      <x:c r="A73" s="18" t="str">
        <x:v>FT-Q-V01-069</x:v>
      </x:c>
      <x:c r="B73" s="31" t="str">
        <x:v>anthropogenic GHG emissions</x:v>
      </x:c>
      <x:c r="C73" s="19" t="str">
        <x:v>anthropogenic greenhouse-gas emissions</x:v>
      </x:c>
      <x:c r="D73" s="19" t="str">
        <x:v>carbon_greenhouse</x:v>
      </x:c>
      <x:c r="E73" s="19" t="str">
        <x:v>B</x:v>
      </x:c>
      <x:c r="F73" s="31" t="str">
        <x:v>EXECUTABLE_NGRAM</x:v>
      </x:c>
      <x:c r="G73" s="19" t="str">
        <x:v>CONTEXT_REQUIRED</x:v>
      </x:c>
      <x:c r="H73" s="19" t="str">
        <x:v>eng</x:v>
      </x:c>
      <x:c r="I73" s="19" t="str">
        <x:v>current English corpus (July 2024 dataset; public shorthand eng; mutable current corpus)</x:v>
      </x:c>
      <x:c r="J73" s="19" t="str">
        <x:v>1842</x:v>
      </x:c>
      <x:c r="K73" s="19" t="str">
        <x:v>2022</x:v>
      </x:c>
      <x:c r="L73" s="28" t="n">
        <x:v>1901</x:v>
      </x:c>
      <x:c r="M73" s="28" t="n">
        <x:v>36</x:v>
      </x:c>
      <x:c r="N73" s="28" t="n">
        <x:v>2022</x:v>
      </x:c>
      <x:c r="O73" s="34" t="n">
        <x:v>1.622341538887184e-8</x:v>
      </x:c>
      <x:c r="P73" s="28" t="n">
        <x:v>1.622341538887184e-8</x:v>
      </x:c>
      <x:c r="Q73" s="34" t="n">
        <x:v>0</x:v>
      </x:c>
      <x:c r="R73" s="34" t="n">
        <x:v>0</x:v>
      </x:c>
      <x:c r="S73" s="34" t="n">
        <x:v>0</x:v>
      </x:c>
      <x:c r="T73" s="34" t="n">
        <x:v>1.585399145298538e-9</x:v>
      </x:c>
      <x:c r="U73" s="34" t="n">
        <x:v>2.915473612530306e-9</x:v>
      </x:c>
      <x:c r="V73" s="34" t="n">
        <x:v>2.250436378914422e-9</x:v>
      </x:c>
      <x:c r="W73" s="34" t="n">
        <x:v>1.43962131382569e-8</x:v>
      </x:c>
      <x:c r="X73" s="34" t="n">
        <x:v>1.622341538887184e-8</x:v>
      </x:c>
      <x:c r="Y73" s="34" t="n">
        <x:v>1.622341538887184e-8</x:v>
      </x:c>
      <x:c r="Z73" s="28" t="n">
        <x:v>2022</x:v>
      </x:c>
      <x:c r="AA73" s="19" t="str">
        <x:v>AVAILABLE</x:v>
      </x:c>
      <x:c r="AB73" s="19" t="str">
        <x:v>AVAILABLE</x:v>
      </x:c>
      <x:c r="AC73" s="46" t="str">
        <x:v>Climate/temperature-linked lexical frequency; still not evidence of reception, voice, or affect without passage review.</x:v>
      </x:c>
    </x:row>
    <x:row r="74" ht="23" customHeight="1">
      <x:c r="A74" s="18" t="str">
        <x:v>FT-Q-V01-070</x:v>
      </x:c>
      <x:c r="B74" s="31" t="str">
        <x:v>climate change</x:v>
      </x:c>
      <x:c r="C74" s="19" t="str">
        <x:v>modern climate change</x:v>
      </x:c>
      <x:c r="D74" s="19" t="str">
        <x:v>climate</x:v>
      </x:c>
      <x:c r="E74" s="19" t="str">
        <x:v>B</x:v>
      </x:c>
      <x:c r="F74" s="31" t="str">
        <x:v>EXECUTABLE_NGRAM</x:v>
      </x:c>
      <x:c r="G74" s="19" t="str">
        <x:v>CLIMATE_SPECIFIC</x:v>
      </x:c>
      <x:c r="H74" s="19" t="str">
        <x:v>eng</x:v>
      </x:c>
      <x:c r="I74" s="19" t="str">
        <x:v>current English corpus (July 2024 dataset; public shorthand eng; mutable current corpus)</x:v>
      </x:c>
      <x:c r="J74" s="19" t="str">
        <x:v>1842</x:v>
      </x:c>
      <x:c r="K74" s="19" t="str">
        <x:v>2022</x:v>
      </x:c>
      <x:c r="L74" s="28" t="n">
        <x:v>1842</x:v>
      </x:c>
      <x:c r="M74" s="28" t="n">
        <x:v>180</x:v>
      </x:c>
      <x:c r="N74" s="28" t="n">
        <x:v>2022</x:v>
      </x:c>
      <x:c r="O74" s="34" t="n">
        <x:v>0.00002890008815206735</x:v>
      </x:c>
      <x:c r="P74" s="28" t="n">
        <x:v>0.00002890008815206735</x:v>
      </x:c>
      <x:c r="Q74" s="34" t="n">
        <x:v>5.159906557583582e-9</x:v>
      </x:c>
      <x:c r="R74" s="34" t="n">
        <x:v>2.561554912627884e-9</x:v>
      </x:c>
      <x:c r="S74" s="34" t="n">
        <x:v>0.000001240793510930149</x:v>
      </x:c>
      <x:c r="T74" s="34" t="n">
        <x:v>0.000008716473492563492</x:v>
      </x:c>
      <x:c r="U74" s="34" t="n">
        <x:v>0.00001319138383155949</x:v>
      </x:c>
      <x:c r="V74" s="34" t="n">
        <x:v>0.00001095392866206149</x:v>
      </x:c>
      <x:c r="W74" s="34" t="n">
        <x:v>0.00001967096413684616</x:v>
      </x:c>
      <x:c r="X74" s="34" t="n">
        <x:v>0.00002890008815206735</x:v>
      </x:c>
      <x:c r="Y74" s="34" t="n">
        <x:v>0.00002890008815206735</x:v>
      </x:c>
      <x:c r="Z74" s="28" t="n">
        <x:v>2022</x:v>
      </x:c>
      <x:c r="AA74" s="19" t="str">
        <x:v>AVAILABLE</x:v>
      </x:c>
      <x:c r="AB74" s="19" t="str">
        <x:v>AVAILABLE</x:v>
      </x:c>
      <x:c r="AC74" s="46" t="str">
        <x:v>Climate/temperature-linked lexical frequency; still not evidence of reception, voice, or affect without passage review.</x:v>
      </x:c>
    </x:row>
    <x:row r="75" ht="23" customHeight="1">
      <x:c r="A75" s="18" t="str">
        <x:v>FT-Q-V01-071</x:v>
      </x:c>
      <x:c r="B75" s="31" t="str">
        <x:v>global warming</x:v>
      </x:c>
      <x:c r="C75" s="19" t="str">
        <x:v>global warming as issue label</x:v>
      </x:c>
      <x:c r="D75" s="19" t="str">
        <x:v>warming</x:v>
      </x:c>
      <x:c r="E75" s="19" t="str">
        <x:v>A</x:v>
      </x:c>
      <x:c r="F75" s="31" t="str">
        <x:v>EXECUTABLE_NGRAM</x:v>
      </x:c>
      <x:c r="G75" s="19" t="str">
        <x:v>CLIMATE_SPECIFIC</x:v>
      </x:c>
      <x:c r="H75" s="19" t="str">
        <x:v>eng</x:v>
      </x:c>
      <x:c r="I75" s="19" t="str">
        <x:v>current English corpus (July 2024 dataset; public shorthand eng; mutable current corpus)</x:v>
      </x:c>
      <x:c r="J75" s="19" t="str">
        <x:v>1842</x:v>
      </x:c>
      <x:c r="K75" s="19" t="str">
        <x:v>2022</x:v>
      </x:c>
      <x:c r="L75" s="28" t="n">
        <x:v>1843</x:v>
      </x:c>
      <x:c r="M75" s="28" t="n">
        <x:v>138</x:v>
      </x:c>
      <x:c r="N75" s="28" t="n">
        <x:v>2009</x:v>
      </x:c>
      <x:c r="O75" s="34" t="n">
        <x:v>0.000005445639571555194</x:v>
      </x:c>
      <x:c r="P75" s="28" t="n">
        <x:v>0.000003963670369644401</x:v>
      </x:c>
      <x:c r="Q75" s="34" t="n">
        <x:v>0</x:v>
      </x:c>
      <x:c r="R75" s="34" t="n">
        <x:v>2.00469511824064e-9</x:v>
      </x:c>
      <x:c r="S75" s="34" t="n">
        <x:v>6.400895369296222e-7</x:v>
      </x:c>
      <x:c r="T75" s="34" t="n">
        <x:v>0.00000339393631278162</x:v>
      </x:c>
      <x:c r="U75" s="34" t="n">
        <x:v>0.00000496164442403968</x:v>
      </x:c>
      <x:c r="V75" s="34" t="n">
        <x:v>0.00000417779036841065</x:v>
      </x:c>
      <x:c r="W75" s="34" t="n">
        <x:v>0.000003293586607857474</x:v>
      </x:c>
      <x:c r="X75" s="34" t="n">
        <x:v>0.000003963670369644401</x:v>
      </x:c>
      <x:c r="Y75" s="34" t="n">
        <x:v>0.000003963670369644401</x:v>
      </x:c>
      <x:c r="Z75" s="28" t="n">
        <x:v>2022</x:v>
      </x:c>
      <x:c r="AA75" s="19" t="str">
        <x:v>AVAILABLE</x:v>
      </x:c>
      <x:c r="AB75" s="19" t="str">
        <x:v>AVAILABLE</x:v>
      </x:c>
      <x:c r="AC75" s="46" t="str">
        <x:v>Climate/temperature-linked lexical frequency; still not evidence of reception, voice, or affect without passage review.</x:v>
      </x:c>
    </x:row>
    <x:row r="76" ht="23" customHeight="1">
      <x:c r="A76" s="18" t="str">
        <x:v>FT-Q-V01-072</x:v>
      </x:c>
      <x:c r="B76" s="31" t="str">
        <x:v>serious global threat</x:v>
      </x:c>
      <x:c r="C76" s="19" t="str">
        <x:v>institutional climate threat</x:v>
      </x:c>
      <x:c r="D76" s="19" t="str">
        <x:v>danger_threat</x:v>
      </x:c>
      <x:c r="E76" s="19" t="str">
        <x:v>D</x:v>
      </x:c>
      <x:c r="F76" s="31" t="str">
        <x:v>EXECUTABLE_NGRAM</x:v>
      </x:c>
      <x:c r="G76" s="19" t="str">
        <x:v>CONTEXT_REQUIRED</x:v>
      </x:c>
      <x:c r="H76" s="19" t="str">
        <x:v>eng</x:v>
      </x:c>
      <x:c r="I76" s="19" t="str">
        <x:v>current English corpus (July 2024 dataset; public shorthand eng; mutable current corpus)</x:v>
      </x:c>
      <x:c r="J76" s="19" t="str">
        <x:v>1842</x:v>
      </x:c>
      <x:c r="K76" s="19" t="str">
        <x:v>2022</x:v>
      </x:c>
      <x:c r="L76" s="28" t="n">
        <x:v>1946</x:v>
      </x:c>
      <x:c r="M76" s="28" t="n">
        <x:v>51</x:v>
      </x:c>
      <x:c r="N76" s="28" t="n">
        <x:v>2022</x:v>
      </x:c>
      <x:c r="O76" s="34" t="n">
        <x:v>2.317630753978506e-9</x:v>
      </x:c>
      <x:c r="P76" s="28" t="n">
        <x:v>2.317630753978506e-9</x:v>
      </x:c>
      <x:c r="Q76" s="34" t="n">
        <x:v>0</x:v>
      </x:c>
      <x:c r="R76" s="34" t="n">
        <x:v>0</x:v>
      </x:c>
      <x:c r="S76" s="34" t="n">
        <x:v>7.568433657567653e-10</x:v>
      </x:c>
      <x:c r="T76" s="34" t="n">
        <x:v>8.422432751231668e-10</x:v>
      </x:c>
      <x:c r="U76" s="34" t="n">
        <x:v>1.749284272989371e-9</x:v>
      </x:c>
      <x:c r="V76" s="34" t="n">
        <x:v>1.295763774056269e-9</x:v>
      </x:c>
      <x:c r="W76" s="34" t="n">
        <x:v>6.498290794354489e-10</x:v>
      </x:c>
      <x:c r="X76" s="34" t="n">
        <x:v>2.317630753978506e-9</x:v>
      </x:c>
      <x:c r="Y76" s="34" t="n">
        <x:v>2.317630753978506e-9</x:v>
      </x:c>
      <x:c r="Z76" s="28" t="n">
        <x:v>2022</x:v>
      </x:c>
      <x:c r="AA76" s="19" t="str">
        <x:v>AVAILABLE</x:v>
      </x:c>
      <x:c r="AB76" s="19" t="str">
        <x:v>AVAILABLE</x:v>
      </x:c>
      <x:c r="AC76" s="46" t="str">
        <x:v>Climate/temperature-linked lexical frequency; still not evidence of reception, voice, or affect without passage review.</x:v>
      </x:c>
    </x:row>
    <x:row r="77" ht="23" customHeight="1">
      <x:c r="A77" s="18" t="str">
        <x:v>FT-Q-V01-073</x:v>
      </x:c>
      <x:c r="B77" s="31" t="str">
        <x:v>urgent global response</x:v>
      </x:c>
      <x:c r="C77" s="19" t="str">
        <x:v>generic damage</x:v>
      </x:c>
      <x:c r="D77" s="19" t="str">
        <x:v>harm_loss_consequences</x:v>
      </x:c>
      <x:c r="E77" s="19" t="str">
        <x:v>D</x:v>
      </x:c>
      <x:c r="F77" s="31" t="str">
        <x:v>EXECUTABLE_NGRAM</x:v>
      </x:c>
      <x:c r="G77" s="19" t="str">
        <x:v>CONTEXT_REQUIRED</x:v>
      </x:c>
      <x:c r="H77" s="19" t="str">
        <x:v>eng</x:v>
      </x:c>
      <x:c r="I77" s="19" t="str">
        <x:v>current English corpus (July 2024 dataset; public shorthand eng; mutable current corpus)</x:v>
      </x:c>
      <x:c r="J77" s="19" t="str">
        <x:v>1842</x:v>
      </x:c>
      <x:c r="K77" s="19" t="str">
        <x:v>2022</x:v>
      </x:c>
      <x:c r="L77" s="28" t="n">
        <x:v>1946</x:v>
      </x:c>
      <x:c r="M77" s="28" t="n">
        <x:v>34</x:v>
      </x:c>
      <x:c r="N77" s="28" t="n">
        <x:v>2007</x:v>
      </x:c>
      <x:c r="O77" s="34" t="n">
        <x:v>1.652101788707228e-9</x:v>
      </x:c>
      <x:c r="P77" s="28" t="n">
        <x:v>3.783887092545513e-10</x:v>
      </x:c>
      <x:c r="Q77" s="34" t="n">
        <x:v>0</x:v>
      </x:c>
      <x:c r="R77" s="34" t="n">
        <x:v>0</x:v>
      </x:c>
      <x:c r="S77" s="34" t="n">
        <x:v>5.406024239373863e-11</x:v>
      </x:c>
      <x:c r="T77" s="34" t="n">
        <x:v>6.440684097164251e-10</x:v>
      </x:c>
      <x:c r="U77" s="34" t="n">
        <x:v>1.652101788707228e-9</x:v>
      </x:c>
      <x:c r="V77" s="34" t="n">
        <x:v>1.148085099211826e-9</x:v>
      </x:c>
      <x:c r="W77" s="34" t="n">
        <x:v>7.997896234179791e-10</x:v>
      </x:c>
      <x:c r="X77" s="34" t="n">
        <x:v>3.783887092545513e-10</x:v>
      </x:c>
      <x:c r="Y77" s="34" t="n">
        <x:v>3.783887092545513e-10</x:v>
      </x:c>
      <x:c r="Z77" s="28" t="n">
        <x:v>2022</x:v>
      </x:c>
      <x:c r="AA77" s="19" t="str">
        <x:v>AVAILABLE</x:v>
      </x:c>
      <x:c r="AB77" s="19" t="str">
        <x:v>AVAILABLE</x:v>
      </x:c>
      <x:c r="AC77" s="46" t="str">
        <x:v>Climate/temperature-linked lexical frequency; still not evidence of reception, voice, or affect without passage review.</x:v>
      </x:c>
    </x:row>
    <x:row r="78" ht="23" customHeight="1">
      <x:c r="A78" s="18" t="str">
        <x:v>FT-Q-V01-074</x:v>
      </x:c>
      <x:c r="B78" s="31" t="str">
        <x:v>costs and risks of climate change</x:v>
      </x:c>
      <x:c r="C78" s="19" t="str">
        <x:v>modern climate change</x:v>
      </x:c>
      <x:c r="D78" s="19" t="str">
        <x:v>climate</x:v>
      </x:c>
      <x:c r="E78" s="19" t="str">
        <x:v>D</x:v>
      </x:c>
      <x:c r="F78" s="31" t="str">
        <x:v>EXECUTABLE_NGRAM</x:v>
      </x:c>
      <x:c r="G78" s="19" t="str">
        <x:v>CONTEXT_REQUIRED</x:v>
      </x:c>
      <x:c r="H78" s="19" t="str">
        <x:v>eng</x:v>
      </x:c>
      <x:c r="I78" s="19" t="str">
        <x:v>current English corpus (July 2024 dataset; public shorthand eng; mutable current corpus)</x:v>
      </x:c>
      <x:c r="J78" s="19" t="str">
        <x:v>1842</x:v>
      </x:c>
      <x:c r="K78" s="19" t="str">
        <x:v>2022</x:v>
      </x:c>
      <x:c r="L78" s="28" t="n">
        <x:v>1986</x:v>
      </x:c>
      <x:c r="M78" s="28" t="n">
        <x:v>22</x:v>
      </x:c>
      <x:c r="N78" s="28" t="n">
        <x:v>2009</x:v>
      </x:c>
      <x:c r="O78" s="34" t="n">
        <x:v>2.4810227206018e-9</x:v>
      </x:c>
      <x:c r="P78" s="28" t="n">
        <x:v>8.137091001003682e-10</x:v>
      </x:c>
      <x:c r="Q78" s="34" t="n">
        <x:v>0</x:v>
      </x:c>
      <x:c r="R78" s="34" t="n">
        <x:v>0</x:v>
      </x:c>
      <x:c r="S78" s="34" t="n">
        <x:v>7.065451002041812e-11</x:v>
      </x:c>
      <x:c r="T78" s="34" t="n">
        <x:v>7.510397859178397e-10</x:v>
      </x:c>
      <x:c r="U78" s="34" t="n">
        <x:v>1.650596104241231e-9</x:v>
      </x:c>
      <x:c r="V78" s="34" t="n">
        <x:v>1.200817945079535e-9</x:v>
      </x:c>
      <x:c r="W78" s="34" t="n">
        <x:v>4.930534314162571e-10</x:v>
      </x:c>
      <x:c r="X78" s="34" t="n">
        <x:v>8.137091001003682e-10</x:v>
      </x:c>
      <x:c r="Y78" s="34" t="n">
        <x:v>8.137091001003682e-10</x:v>
      </x:c>
      <x:c r="Z78" s="28" t="n">
        <x:v>2022</x:v>
      </x:c>
      <x:c r="AA78" s="19" t="str">
        <x:v>AVAILABLE</x:v>
      </x:c>
      <x:c r="AB78" s="19" t="str">
        <x:v>AVAILABLE</x:v>
      </x:c>
      <x:c r="AC78" s="46" t="str">
        <x:v>Climate/temperature-linked lexical frequency; still not evidence of reception, voice, or affect without passage review.</x:v>
      </x:c>
    </x:row>
    <x:row r="79" ht="23" customHeight="1">
      <x:c r="A79" s="18" t="str">
        <x:v>FT-Q-V01-075</x:v>
      </x:c>
      <x:c r="B79" s="31" t="str">
        <x:v>impacts of climate change</x:v>
      </x:c>
      <x:c r="C79" s="19" t="str">
        <x:v>modern climate change</x:v>
      </x:c>
      <x:c r="D79" s="19" t="str">
        <x:v>climate</x:v>
      </x:c>
      <x:c r="E79" s="19" t="str">
        <x:v>D</x:v>
      </x:c>
      <x:c r="F79" s="31" t="str">
        <x:v>EXECUTABLE_NGRAM</x:v>
      </x:c>
      <x:c r="G79" s="19" t="str">
        <x:v>CONTEXT_REQUIRED</x:v>
      </x:c>
      <x:c r="H79" s="19" t="str">
        <x:v>eng</x:v>
      </x:c>
      <x:c r="I79" s="19" t="str">
        <x:v>current English corpus (July 2024 dataset; public shorthand eng; mutable current corpus)</x:v>
      </x:c>
      <x:c r="J79" s="19" t="str">
        <x:v>1842</x:v>
      </x:c>
      <x:c r="K79" s="19" t="str">
        <x:v>2022</x:v>
      </x:c>
      <x:c r="L79" s="28" t="n">
        <x:v>1881</x:v>
      </x:c>
      <x:c r="M79" s="28" t="n">
        <x:v>87</x:v>
      </x:c>
      <x:c r="N79" s="28" t="n">
        <x:v>2022</x:v>
      </x:c>
      <x:c r="O79" s="34" t="n">
        <x:v>7.144630615740777e-7</x:v>
      </x:c>
      <x:c r="P79" s="28" t="n">
        <x:v>7.144630615740777e-7</x:v>
      </x:c>
      <x:c r="Q79" s="34" t="n">
        <x:v>0</x:v>
      </x:c>
      <x:c r="R79" s="34" t="n">
        <x:v>0</x:v>
      </x:c>
      <x:c r="S79" s="34" t="n">
        <x:v>4.559433364192955e-8</x:v>
      </x:c>
      <x:c r="T79" s="34" t="n">
        <x:v>2.229886647206469e-7</x:v>
      </x:c>
      <x:c r="U79" s="34" t="n">
        <x:v>3.110645994466865e-7</x:v>
      </x:c>
      <x:c r="V79" s="34" t="n">
        <x:v>2.670266320836667e-7</x:v>
      </x:c>
      <x:c r="W79" s="34" t="n">
        <x:v>5.157996520455121e-7</x:v>
      </x:c>
      <x:c r="X79" s="34" t="n">
        <x:v>7.144630615740777e-7</x:v>
      </x:c>
      <x:c r="Y79" s="34" t="n">
        <x:v>7.144630615740777e-7</x:v>
      </x:c>
      <x:c r="Z79" s="28" t="n">
        <x:v>2022</x:v>
      </x:c>
      <x:c r="AA79" s="19" t="str">
        <x:v>AVAILABLE</x:v>
      </x:c>
      <x:c r="AB79" s="19" t="str">
        <x:v>AVAILABLE</x:v>
      </x:c>
      <x:c r="AC79" s="46" t="str">
        <x:v>Climate/temperature-linked lexical frequency; still not evidence of reception, voice, or affect without passage review.</x:v>
      </x:c>
    </x:row>
    <x:row r="80" ht="23" customHeight="1">
      <x:c r="A80" s="18" t="str">
        <x:v>FT-Q-V01-076</x:v>
      </x:c>
      <x:c r="B80" s="31" t="str">
        <x:v>damage</x:v>
      </x:c>
      <x:c r="C80" s="19" t="str">
        <x:v>generic damage</x:v>
      </x:c>
      <x:c r="D80" s="19" t="str">
        <x:v>harm_loss_consequences</x:v>
      </x:c>
      <x:c r="E80" s="19" t="str">
        <x:v>D</x:v>
      </x:c>
      <x:c r="F80" s="31" t="str">
        <x:v>BACKGROUND_AMBIGUOUS</x:v>
      </x:c>
      <x:c r="G80" s="19" t="str">
        <x:v>BACKGROUND_AMBIGUOUS</x:v>
      </x:c>
      <x:c r="H80" s="19" t="str">
        <x:v>eng</x:v>
      </x:c>
      <x:c r="I80" s="19" t="str">
        <x:v>current English corpus (July 2024 dataset; public shorthand eng; mutable current corpus)</x:v>
      </x:c>
      <x:c r="J80" s="19" t="str">
        <x:v>1842</x:v>
      </x:c>
      <x:c r="K80" s="19" t="str">
        <x:v>2022</x:v>
      </x:c>
      <x:c r="L80" s="28" t="n">
        <x:v>1842</x:v>
      </x:c>
      <x:c r="M80" s="28" t="n">
        <x:v>181</x:v>
      </x:c>
      <x:c r="N80" s="28" t="n">
        <x:v>1986</x:v>
      </x:c>
      <x:c r="O80" s="34" t="n">
        <x:v>0.00005759856095523264</x:v>
      </x:c>
      <x:c r="P80" s="28" t="n">
        <x:v>0.00004813777670335459</x:v>
      </x:c>
      <x:c r="Q80" s="34" t="n">
        <x:v>0.0000140214699513308</x:v>
      </x:c>
      <x:c r="R80" s="34" t="n">
        <x:v>0.0000459952369169514</x:v>
      </x:c>
      <x:c r="S80" s="34" t="n">
        <x:v>0.00005460717676498972</x:v>
      </x:c>
      <x:c r="T80" s="34" t="n">
        <x:v>0.00004860308943087019</x:v>
      </x:c>
      <x:c r="U80" s="34" t="n">
        <x:v>0.00004797855570867759</x:v>
      </x:c>
      <x:c r="V80" s="34" t="n">
        <x:v>0.00004829082256977389</x:v>
      </x:c>
      <x:c r="W80" s="34" t="n">
        <x:v>0.00004768336144450602</x:v>
      </x:c>
      <x:c r="X80" s="34" t="n">
        <x:v>0.00004813777670335459</x:v>
      </x:c>
      <x:c r="Y80" s="34" t="n">
        <x:v>0.00004813777670335459</x:v>
      </x:c>
      <x:c r="Z80" s="28" t="n">
        <x:v>2022</x:v>
      </x:c>
      <x:c r="AA80" s="19" t="str">
        <x:v>AVAILABLE</x:v>
      </x:c>
      <x:c r="AB80" s="19" t="str">
        <x:v>AVAILABLE</x:v>
      </x:c>
      <x:c r="AC80" s="46" t="str">
        <x:v>Generic corpus string frequency; not climate-specific semantic frequency.</x:v>
      </x:c>
    </x:row>
    <x:row r="81" ht="23" customHeight="1">
      <x:c r="A81" s="18" t="str">
        <x:v>FT-Q-V01-077</x:v>
      </x:c>
      <x:c r="B81" s="31" t="str">
        <x:v>hunger</x:v>
      </x:c>
      <x:c r="C81" s="19" t="str">
        <x:v>generic damage</x:v>
      </x:c>
      <x:c r="D81" s="19" t="str">
        <x:v>harm_loss_consequences</x:v>
      </x:c>
      <x:c r="E81" s="19" t="str">
        <x:v>D</x:v>
      </x:c>
      <x:c r="F81" s="31" t="str">
        <x:v>EXECUTABLE_NGRAM</x:v>
      </x:c>
      <x:c r="G81" s="19" t="str">
        <x:v>CONTEXT_REQUIRED</x:v>
      </x:c>
      <x:c r="H81" s="19" t="str">
        <x:v>eng</x:v>
      </x:c>
      <x:c r="I81" s="19" t="str">
        <x:v>current English corpus (July 2024 dataset; public shorthand eng; mutable current corpus)</x:v>
      </x:c>
      <x:c r="J81" s="19" t="str">
        <x:v>1842</x:v>
      </x:c>
      <x:c r="K81" s="19" t="str">
        <x:v>2022</x:v>
      </x:c>
      <x:c r="L81" s="28" t="n">
        <x:v>1842</x:v>
      </x:c>
      <x:c r="M81" s="28" t="n">
        <x:v>181</x:v>
      </x:c>
      <x:c r="N81" s="28" t="n">
        <x:v>2015</x:v>
      </x:c>
      <x:c r="O81" s="34" t="n">
        <x:v>0.00001191392740906849</x:v>
      </x:c>
      <x:c r="P81" s="28" t="n">
        <x:v>0.00001147104043752734</x:v>
      </x:c>
      <x:c r="Q81" s="34" t="n">
        <x:v>0.000008491353739259466</x:v>
      </x:c>
      <x:c r="R81" s="34" t="n">
        <x:v>0.000003766231525759167</x:v>
      </x:c>
      <x:c r="S81" s="34" t="n">
        <x:v>0.000006137961449326212</x:v>
      </x:c>
      <x:c r="T81" s="34" t="n">
        <x:v>0.00000745067320195858</x:v>
      </x:c>
      <x:c r="U81" s="34" t="n">
        <x:v>0.000008010337945583978</x:v>
      </x:c>
      <x:c r="V81" s="34" t="n">
        <x:v>0.000007730505573771279</x:v>
      </x:c>
      <x:c r="W81" s="34" t="n">
        <x:v>0.00001191392740906849</x:v>
      </x:c>
      <x:c r="X81" s="34" t="n">
        <x:v>0.00001147104043752734</x:v>
      </x:c>
      <x:c r="Y81" s="34" t="n">
        <x:v>0.00001147104043752734</x:v>
      </x:c>
      <x:c r="Z81" s="28" t="n">
        <x:v>2022</x:v>
      </x:c>
      <x:c r="AA81" s="19" t="str">
        <x:v>AVAILABLE</x:v>
      </x:c>
      <x:c r="AB81" s="19" t="str">
        <x:v>AVAILABLE</x:v>
      </x:c>
      <x:c r="AC81" s="46" t="str">
        <x:v>Climate/temperature-linked lexical frequency; still not evidence of reception, voice, or affect without passage review.</x:v>
      </x:c>
    </x:row>
    <x:row r="82" ht="23" customHeight="1">
      <x:c r="A82" s="18" t="str">
        <x:v>FT-Q-V01-078</x:v>
      </x:c>
      <x:c r="B82" s="31" t="str">
        <x:v>water shortages</x:v>
      </x:c>
      <x:c r="C82" s="19" t="str">
        <x:v>generic damage</x:v>
      </x:c>
      <x:c r="D82" s="19" t="str">
        <x:v>harm_loss_consequences</x:v>
      </x:c>
      <x:c r="E82" s="19" t="str">
        <x:v>D</x:v>
      </x:c>
      <x:c r="F82" s="31" t="str">
        <x:v>EXECUTABLE_NGRAM</x:v>
      </x:c>
      <x:c r="G82" s="19" t="str">
        <x:v>CONTEXT_REQUIRED</x:v>
      </x:c>
      <x:c r="H82" s="19" t="str">
        <x:v>eng</x:v>
      </x:c>
      <x:c r="I82" s="19" t="str">
        <x:v>current English corpus (July 2024 dataset; public shorthand eng; mutable current corpus)</x:v>
      </x:c>
      <x:c r="J82" s="19" t="str">
        <x:v>1842</x:v>
      </x:c>
      <x:c r="K82" s="19" t="str">
        <x:v>2022</x:v>
      </x:c>
      <x:c r="L82" s="28" t="n">
        <x:v>1843</x:v>
      </x:c>
      <x:c r="M82" s="28" t="n">
        <x:v>143</x:v>
      </x:c>
      <x:c r="N82" s="28" t="n">
        <x:v>2009</x:v>
      </x:c>
      <x:c r="O82" s="34" t="n">
        <x:v>2.626209802403245e-7</x:v>
      </x:c>
      <x:c r="P82" s="28" t="n">
        <x:v>1.740838606878459e-7</x:v>
      </x:c>
      <x:c r="Q82" s="34" t="n">
        <x:v>0</x:v>
      </x:c>
      <x:c r="R82" s="34" t="n">
        <x:v>4.131899500325886e-8</x:v>
      </x:c>
      <x:c r="S82" s="34" t="n">
        <x:v>1.448085923394515e-7</x:v>
      </x:c>
      <x:c r="T82" s="34" t="n">
        <x:v>2.040491388077825e-7</x:v>
      </x:c>
      <x:c r="U82" s="34" t="n">
        <x:v>2.140380712667422e-7</x:v>
      </x:c>
      <x:c r="V82" s="34" t="n">
        <x:v>2.090436050372624e-7</x:v>
      </x:c>
      <x:c r="W82" s="34" t="n">
        <x:v>1.87883369612285e-7</x:v>
      </x:c>
      <x:c r="X82" s="34" t="n">
        <x:v>1.740838606878459e-7</x:v>
      </x:c>
      <x:c r="Y82" s="34" t="n">
        <x:v>1.740838606878459e-7</x:v>
      </x:c>
      <x:c r="Z82" s="28" t="n">
        <x:v>2022</x:v>
      </x:c>
      <x:c r="AA82" s="19" t="str">
        <x:v>AVAILABLE</x:v>
      </x:c>
      <x:c r="AB82" s="19" t="str">
        <x:v>AVAILABLE</x:v>
      </x:c>
      <x:c r="AC82" s="46" t="str">
        <x:v>Climate/temperature-linked lexical frequency; still not evidence of reception, voice, or affect without passage review.</x:v>
      </x:c>
    </x:row>
    <x:row r="83" ht="23" customHeight="1">
      <x:c r="A83" s="18" t="str">
        <x:v>FT-Q-V01-079</x:v>
      </x:c>
      <x:c r="B83" s="31" t="str">
        <x:v>coastal flooding</x:v>
      </x:c>
      <x:c r="C83" s="19" t="str">
        <x:v>generic damage</x:v>
      </x:c>
      <x:c r="D83" s="19" t="str">
        <x:v>harm_loss_consequences</x:v>
      </x:c>
      <x:c r="E83" s="19" t="str">
        <x:v>D</x:v>
      </x:c>
      <x:c r="F83" s="31" t="str">
        <x:v>EXECUTABLE_NGRAM</x:v>
      </x:c>
      <x:c r="G83" s="19" t="str">
        <x:v>CONTEXT_REQUIRED</x:v>
      </x:c>
      <x:c r="H83" s="19" t="str">
        <x:v>eng</x:v>
      </x:c>
      <x:c r="I83" s="19" t="str">
        <x:v>current English corpus (July 2024 dataset; public shorthand eng; mutable current corpus)</x:v>
      </x:c>
      <x:c r="J83" s="19" t="str">
        <x:v>1842</x:v>
      </x:c>
      <x:c r="K83" s="19" t="str">
        <x:v>2022</x:v>
      </x:c>
      <x:c r="L83" s="28" t="n">
        <x:v>1843</x:v>
      </x:c>
      <x:c r="M83" s="28" t="n">
        <x:v>92</x:v>
      </x:c>
      <x:c r="N83" s="28" t="n">
        <x:v>2022</x:v>
      </x:c>
      <x:c r="O83" s="34" t="n">
        <x:v>1.034327956617176e-7</x:v>
      </x:c>
      <x:c r="P83" s="28" t="n">
        <x:v>1.034327956617176e-7</x:v>
      </x:c>
      <x:c r="Q83" s="34" t="n">
        <x:v>0</x:v>
      </x:c>
      <x:c r="R83" s="34" t="n">
        <x:v>4.454877994275463e-10</x:v>
      </x:c>
      <x:c r="S83" s="34" t="n">
        <x:v>2.620769057326555e-8</x:v>
      </x:c>
      <x:c r="T83" s="34" t="n">
        <x:v>4.335529258867044e-8</x:v>
      </x:c>
      <x:c r="U83" s="34" t="n">
        <x:v>5.518485168831688e-8</x:v>
      </x:c>
      <x:c r="V83" s="34" t="n">
        <x:v>4.927007213849366e-8</x:v>
      </x:c>
      <x:c r="W83" s="34" t="n">
        <x:v>5.272690167812399e-8</x:v>
      </x:c>
      <x:c r="X83" s="34" t="n">
        <x:v>1.034327956617176e-7</x:v>
      </x:c>
      <x:c r="Y83" s="34" t="n">
        <x:v>1.034327956617176e-7</x:v>
      </x:c>
      <x:c r="Z83" s="28" t="n">
        <x:v>2022</x:v>
      </x:c>
      <x:c r="AA83" s="19" t="str">
        <x:v>AVAILABLE</x:v>
      </x:c>
      <x:c r="AB83" s="19" t="str">
        <x:v>AVAILABLE</x:v>
      </x:c>
      <x:c r="AC83" s="46" t="str">
        <x:v>Climate/temperature-linked lexical frequency; still not evidence of reception, voice, or affect without passage review.</x:v>
      </x:c>
    </x:row>
    <x:row r="84" ht="23" customHeight="1">
      <x:c r="A84" s="18" t="str">
        <x:v>FT-Q-V01-080</x:v>
      </x:c>
      <x:c r="B84" s="31" t="str">
        <x:v>worst impacts</x:v>
      </x:c>
      <x:c r="C84" s="19" t="str">
        <x:v>generic damage</x:v>
      </x:c>
      <x:c r="D84" s="19" t="str">
        <x:v>harm_loss_consequences</x:v>
      </x:c>
      <x:c r="E84" s="19" t="str">
        <x:v>D</x:v>
      </x:c>
      <x:c r="F84" s="31" t="str">
        <x:v>EXECUTABLE_NGRAM</x:v>
      </x:c>
      <x:c r="G84" s="19" t="str">
        <x:v>CONTEXT_REQUIRED</x:v>
      </x:c>
      <x:c r="H84" s="19" t="str">
        <x:v>eng</x:v>
      </x:c>
      <x:c r="I84" s="19" t="str">
        <x:v>current English corpus (July 2024 dataset; public shorthand eng; mutable current corpus)</x:v>
      </x:c>
      <x:c r="J84" s="19" t="str">
        <x:v>1842</x:v>
      </x:c>
      <x:c r="K84" s="19" t="str">
        <x:v>2022</x:v>
      </x:c>
      <x:c r="L84" s="28" t="n">
        <x:v>1906</x:v>
      </x:c>
      <x:c r="M84" s="28" t="n">
        <x:v>80</x:v>
      </x:c>
      <x:c r="N84" s="28" t="n">
        <x:v>2022</x:v>
      </x:c>
      <x:c r="O84" s="34" t="n">
        <x:v>1.9288579872212e-8</x:v>
      </x:c>
      <x:c r="P84" s="28" t="n">
        <x:v>1.9288579872212e-8</x:v>
      </x:c>
      <x:c r="Q84" s="34" t="n">
        <x:v>0</x:v>
      </x:c>
      <x:c r="R84" s="34" t="n">
        <x:v>1.113719533263335e-10</x:v>
      </x:c>
      <x:c r="S84" s="34" t="n">
        <x:v>1.332594479208637e-9</x:v>
      </x:c>
      <x:c r="T84" s="34" t="n">
        <x:v>7.691329351189324e-9</x:v>
      </x:c>
      <x:c r="U84" s="34" t="n">
        <x:v>8.09557739248068e-9</x:v>
      </x:c>
      <x:c r="V84" s="34" t="n">
        <x:v>7.893453371835002e-9</x:v>
      </x:c>
      <x:c r="W84" s="34" t="n">
        <x:v>1.125525539436012e-8</x:v>
      </x:c>
      <x:c r="X84" s="34" t="n">
        <x:v>1.9288579872212e-8</x:v>
      </x:c>
      <x:c r="Y84" s="34" t="n">
        <x:v>1.9288579872212e-8</x:v>
      </x:c>
      <x:c r="Z84" s="28" t="n">
        <x:v>2022</x:v>
      </x:c>
      <x:c r="AA84" s="19" t="str">
        <x:v>AVAILABLE</x:v>
      </x:c>
      <x:c r="AB84" s="19" t="str">
        <x:v>AVAILABLE</x:v>
      </x:c>
      <x:c r="AC84" s="46" t="str">
        <x:v>Climate/temperature-linked lexical frequency; still not evidence of reception, voice, or affect without passage review.</x:v>
      </x:c>
    </x:row>
    <x:row r="85" ht="23" customHeight="1">
      <x:c r="A85" s="18" t="str">
        <x:v>FT-Q-V01-081</x:v>
      </x:c>
      <x:c r="B85" s="31" t="str">
        <x:v>climate change</x:v>
      </x:c>
      <x:c r="C85" s="19" t="str">
        <x:v>modern climate change</x:v>
      </x:c>
      <x:c r="D85" s="19" t="str">
        <x:v>climate</x:v>
      </x:c>
      <x:c r="E85" s="19" t="str">
        <x:v>B</x:v>
      </x:c>
      <x:c r="F85" s="31" t="str">
        <x:v>EXECUTABLE_NGRAM</x:v>
      </x:c>
      <x:c r="G85" s="19" t="str">
        <x:v>CLIMATE_SPECIFIC</x:v>
      </x:c>
      <x:c r="H85" s="19" t="str">
        <x:v>eng</x:v>
      </x:c>
      <x:c r="I85" s="19" t="str">
        <x:v>current English corpus (July 2024 dataset; public shorthand eng; mutable current corpus)</x:v>
      </x:c>
      <x:c r="J85" s="19" t="str">
        <x:v>1842</x:v>
      </x:c>
      <x:c r="K85" s="19" t="str">
        <x:v>2022</x:v>
      </x:c>
      <x:c r="L85" s="28" t="n">
        <x:v>1842</x:v>
      </x:c>
      <x:c r="M85" s="28" t="n">
        <x:v>180</x:v>
      </x:c>
      <x:c r="N85" s="28" t="n">
        <x:v>2022</x:v>
      </x:c>
      <x:c r="O85" s="34" t="n">
        <x:v>0.00002890008815206735</x:v>
      </x:c>
      <x:c r="P85" s="28" t="n">
        <x:v>0.00002890008815206735</x:v>
      </x:c>
      <x:c r="Q85" s="34" t="n">
        <x:v>5.159906557583582e-9</x:v>
      </x:c>
      <x:c r="R85" s="34" t="n">
        <x:v>2.561554912627884e-9</x:v>
      </x:c>
      <x:c r="S85" s="34" t="n">
        <x:v>0.000001240793510930149</x:v>
      </x:c>
      <x:c r="T85" s="34" t="n">
        <x:v>0.000008716473492563492</x:v>
      </x:c>
      <x:c r="U85" s="34" t="n">
        <x:v>0.00001319138383155949</x:v>
      </x:c>
      <x:c r="V85" s="34" t="n">
        <x:v>0.00001095392866206149</x:v>
      </x:c>
      <x:c r="W85" s="34" t="n">
        <x:v>0.00001967096413684616</x:v>
      </x:c>
      <x:c r="X85" s="34" t="n">
        <x:v>0.00002890008815206735</x:v>
      </x:c>
      <x:c r="Y85" s="34" t="n">
        <x:v>0.00002890008815206735</x:v>
      </x:c>
      <x:c r="Z85" s="28" t="n">
        <x:v>2022</x:v>
      </x:c>
      <x:c r="AA85" s="19" t="str">
        <x:v>AVAILABLE</x:v>
      </x:c>
      <x:c r="AB85" s="19" t="str">
        <x:v>AVAILABLE</x:v>
      </x:c>
      <x:c r="AC85" s="46" t="str">
        <x:v>Climate/temperature-linked lexical frequency; still not evidence of reception, voice, or affect without passage review.</x:v>
      </x:c>
    </x:row>
    <x:row r="86" ht="23" customHeight="1">
      <x:c r="A86" s="18" t="str">
        <x:v>FT-Q-V01-082</x:v>
      </x:c>
      <x:c r="B86" s="31" t="str">
        <x:v>threat of climate change</x:v>
      </x:c>
      <x:c r="C86" s="19" t="str">
        <x:v>modern climate change</x:v>
      </x:c>
      <x:c r="D86" s="19" t="str">
        <x:v>climate</x:v>
      </x:c>
      <x:c r="E86" s="19" t="str">
        <x:v>D</x:v>
      </x:c>
      <x:c r="F86" s="31" t="str">
        <x:v>EXECUTABLE_NGRAM</x:v>
      </x:c>
      <x:c r="G86" s="19" t="str">
        <x:v>CONTEXT_REQUIRED</x:v>
      </x:c>
      <x:c r="H86" s="19" t="str">
        <x:v>eng</x:v>
      </x:c>
      <x:c r="I86" s="19" t="str">
        <x:v>current English corpus (July 2024 dataset; public shorthand eng; mutable current corpus)</x:v>
      </x:c>
      <x:c r="J86" s="19" t="str">
        <x:v>1842</x:v>
      </x:c>
      <x:c r="K86" s="19" t="str">
        <x:v>2022</x:v>
      </x:c>
      <x:c r="L86" s="28" t="n">
        <x:v>1900</x:v>
      </x:c>
      <x:c r="M86" s="28" t="n">
        <x:v>61</x:v>
      </x:c>
      <x:c r="N86" s="28" t="n">
        <x:v>2021</x:v>
      </x:c>
      <x:c r="O86" s="34" t="n">
        <x:v>1.160401951333379e-7</x:v>
      </x:c>
      <x:c r="P86" s="28" t="n">
        <x:v>1.140722242637393e-7</x:v>
      </x:c>
      <x:c r="Q86" s="34" t="n">
        <x:v>0</x:v>
      </x:c>
      <x:c r="R86" s="34" t="n">
        <x:v>0</x:v>
      </x:c>
      <x:c r="S86" s="34" t="n">
        <x:v>2.210996594143033e-9</x:v>
      </x:c>
      <x:c r="T86" s="34" t="n">
        <x:v>2.31571378392359e-8</x:v>
      </x:c>
      <x:c r="U86" s="34" t="n">
        <x:v>3.566648866526467e-8</x:v>
      </x:c>
      <x:c r="V86" s="34" t="n">
        <x:v>2.941181325225029e-8</x:v>
      </x:c>
      <x:c r="W86" s="34" t="n">
        <x:v>4.538047629343289e-8</x:v>
      </x:c>
      <x:c r="X86" s="34" t="n">
        <x:v>1.140722242637393e-7</x:v>
      </x:c>
      <x:c r="Y86" s="34" t="n">
        <x:v>1.140722242637393e-7</x:v>
      </x:c>
      <x:c r="Z86" s="28" t="n">
        <x:v>2022</x:v>
      </x:c>
      <x:c r="AA86" s="19" t="str">
        <x:v>AVAILABLE</x:v>
      </x:c>
      <x:c r="AB86" s="19" t="str">
        <x:v>AVAILABLE</x:v>
      </x:c>
      <x:c r="AC86" s="46" t="str">
        <x:v>Climate/temperature-linked lexical frequency; still not evidence of reception, voice, or affect without passage review.</x:v>
      </x:c>
    </x:row>
    <x:row r="87" ht="23" customHeight="1">
      <x:c r="A87" s="18" t="str">
        <x:v>FT-Q-V01-083</x:v>
      </x:c>
      <x:c r="B87" s="31" t="str">
        <x:v>global average temperature</x:v>
      </x:c>
      <x:c r="C87" s="19" t="str">
        <x:v>global aggregate temperature</x:v>
      </x:c>
      <x:c r="D87" s="19" t="str">
        <x:v>temperature_threshold</x:v>
      </x:c>
      <x:c r="E87" s="19" t="str">
        <x:v>A</x:v>
      </x:c>
      <x:c r="F87" s="31" t="str">
        <x:v>EXECUTABLE_NGRAM</x:v>
      </x:c>
      <x:c r="G87" s="19" t="str">
        <x:v>CLIMATE_SPECIFIC</x:v>
      </x:c>
      <x:c r="H87" s="19" t="str">
        <x:v>eng</x:v>
      </x:c>
      <x:c r="I87" s="19" t="str">
        <x:v>current English corpus (July 2024 dataset; public shorthand eng; mutable current corpus)</x:v>
      </x:c>
      <x:c r="J87" s="19" t="str">
        <x:v>1842</x:v>
      </x:c>
      <x:c r="K87" s="19" t="str">
        <x:v>2022</x:v>
      </x:c>
      <x:c r="L87" s="28" t="n">
        <x:v>1869</x:v>
      </x:c>
      <x:c r="M87" s="28" t="n">
        <x:v>73</x:v>
      </x:c>
      <x:c r="N87" s="28" t="n">
        <x:v>2022</x:v>
      </x:c>
      <x:c r="O87" s="34" t="n">
        <x:v>7.577234045763603e-8</x:v>
      </x:c>
      <x:c r="P87" s="28" t="n">
        <x:v>7.577234045763603e-8</x:v>
      </x:c>
      <x:c r="Q87" s="34" t="n">
        <x:v>0</x:v>
      </x:c>
      <x:c r="R87" s="34" t="n">
        <x:v>0</x:v>
      </x:c>
      <x:c r="S87" s="34" t="n">
        <x:v>6.216928000180033e-9</x:v>
      </x:c>
      <x:c r="T87" s="34" t="n">
        <x:v>1.575490385374856e-8</x:v>
      </x:c>
      <x:c r="U87" s="34" t="n">
        <x:v>2.793995544647654e-8</x:v>
      </x:c>
      <x:c r="V87" s="34" t="n">
        <x:v>2.184742965011255e-8</x:v>
      </x:c>
      <x:c r="W87" s="34" t="n">
        <x:v>4.038937463646253e-8</x:v>
      </x:c>
      <x:c r="X87" s="34" t="n">
        <x:v>7.577234045763603e-8</x:v>
      </x:c>
      <x:c r="Y87" s="34" t="n">
        <x:v>7.577234045763603e-8</x:v>
      </x:c>
      <x:c r="Z87" s="28" t="n">
        <x:v>2022</x:v>
      </x:c>
      <x:c r="AA87" s="19" t="str">
        <x:v>AVAILABLE</x:v>
      </x:c>
      <x:c r="AB87" s="19" t="str">
        <x:v>AVAILABLE</x:v>
      </x:c>
      <x:c r="AC87" s="46" t="str">
        <x:v>Climate/temperature-linked lexical frequency; still not evidence of reception, voice, or affect without passage review.</x:v>
      </x:c>
    </x:row>
    <x:row r="88" ht="23" customHeight="1">
      <x:c r="A88" s="18" t="str">
        <x:v>FT-Q-V01-084</x:v>
      </x:c>
      <x:c r="B88" s="31" t="str">
        <x:v>well below 2°C above pre-industrial levels</x:v>
      </x:c>
      <x:c r="C88" s="19" t="str">
        <x:v>2°C threshold</x:v>
      </x:c>
      <x:c r="D88" s="19" t="str">
        <x:v>temperature_threshold</x:v>
      </x:c>
      <x:c r="E88" s="19" t="str">
        <x:v>A</x:v>
      </x:c>
      <x:c r="F88" s="31" t="str">
        <x:v>EXECUTABLE_CORPUS_ONLY</x:v>
      </x:c>
      <x:c r="G88" s="19" t="str">
        <x:v>CONTEXT_REQUIRED</x:v>
      </x:c>
      <x:c r="H88" s="19" t="str">
        <x:v>eng</x:v>
      </x:c>
      <x:c r="I88" s="19" t="str">
        <x:v>current English corpus (July 2024 dataset; public shorthand eng; mutable current corpus)</x:v>
      </x:c>
      <x:c r="J88" s="19" t="str">
        <x:v>1842</x:v>
      </x:c>
      <x:c r="K88" s="19" t="str">
        <x:v>2022</x:v>
      </x:c>
      <x:c r="L88" s="28" t="str"/>
      <x:c r="M88" s="28" t="n">
        <x:v>0</x:v>
      </x:c>
      <x:c r="N88" s="28" t="str"/>
      <x:c r="O88" s="34" t="str"/>
      <x:c r="P88" s="28" t="str"/>
      <x:c r="Q88" s="34" t="str"/>
      <x:c r="R88" s="34" t="str"/>
      <x:c r="S88" s="34" t="str"/>
      <x:c r="T88" s="34" t="str"/>
      <x:c r="U88" s="34" t="str"/>
      <x:c r="V88" s="34" t="str"/>
      <x:c r="W88" s="34" t="str"/>
      <x:c r="X88" s="34" t="str"/>
      <x:c r="Y88" s="34" t="str"/>
      <x:c r="Z88" s="28" t="n">
        <x:v>2022</x:v>
      </x:c>
      <x:c r="AA88" s="19" t="str">
        <x:v>NO_SERIES</x:v>
      </x:c>
      <x:c r="AB88" s="19" t="str">
        <x:v>NOT_AVAILABLE</x:v>
      </x:c>
      <x:c r="AC88" s="46" t="str">
        <x:v>Climate/temperature-linked lexical frequency; still not evidence of reception, voice, or affect without passage review.</x:v>
      </x:c>
    </x:row>
    <x:row r="89" ht="23" customHeight="1">
      <x:c r="A89" s="18" t="str">
        <x:v>FT-Q-V01-085</x:v>
      </x:c>
      <x:c r="B89" s="31" t="str">
        <x:v>1.5°C above pre-industrial levels</x:v>
      </x:c>
      <x:c r="C89" s="19" t="str">
        <x:v>1.5°C threshold</x:v>
      </x:c>
      <x:c r="D89" s="19" t="str">
        <x:v>temperature_threshold</x:v>
      </x:c>
      <x:c r="E89" s="19" t="str">
        <x:v>A</x:v>
      </x:c>
      <x:c r="F89" s="31" t="str">
        <x:v>EXECUTABLE_CORPUS_ONLY</x:v>
      </x:c>
      <x:c r="G89" s="19" t="str">
        <x:v>CONTEXT_REQUIRED</x:v>
      </x:c>
      <x:c r="H89" s="19" t="str">
        <x:v>eng</x:v>
      </x:c>
      <x:c r="I89" s="19" t="str">
        <x:v>current English corpus (July 2024 dataset; public shorthand eng; mutable current corpus)</x:v>
      </x:c>
      <x:c r="J89" s="19" t="str">
        <x:v>1842</x:v>
      </x:c>
      <x:c r="K89" s="19" t="str">
        <x:v>2022</x:v>
      </x:c>
      <x:c r="L89" s="28" t="str"/>
      <x:c r="M89" s="28" t="n">
        <x:v>0</x:v>
      </x:c>
      <x:c r="N89" s="28" t="str"/>
      <x:c r="O89" s="34" t="str"/>
      <x:c r="P89" s="28" t="str"/>
      <x:c r="Q89" s="34" t="str"/>
      <x:c r="R89" s="34" t="str"/>
      <x:c r="S89" s="34" t="str"/>
      <x:c r="T89" s="34" t="str"/>
      <x:c r="U89" s="34" t="str"/>
      <x:c r="V89" s="34" t="str"/>
      <x:c r="W89" s="34" t="str"/>
      <x:c r="X89" s="34" t="str"/>
      <x:c r="Y89" s="34" t="str"/>
      <x:c r="Z89" s="28" t="n">
        <x:v>2022</x:v>
      </x:c>
      <x:c r="AA89" s="19" t="str">
        <x:v>NO_SERIES</x:v>
      </x:c>
      <x:c r="AB89" s="19" t="str">
        <x:v>NOT_AVAILABLE</x:v>
      </x:c>
      <x:c r="AC89" s="46" t="str">
        <x:v>Climate/temperature-linked lexical frequency; still not evidence of reception, voice, or affect without passage review.</x:v>
      </x:c>
    </x:row>
    <x:row r="90" ht="23" customHeight="1">
      <x:c r="A90" s="18" t="str">
        <x:v>FT-Q-V01-086</x:v>
      </x:c>
      <x:c r="B90" s="31" t="str">
        <x:v>pre-industrial levels</x:v>
      </x:c>
      <x:c r="C90" s="19" t="str">
        <x:v>historical climate / climatological condition</x:v>
      </x:c>
      <x:c r="D90" s="19" t="str">
        <x:v>climate</x:v>
      </x:c>
      <x:c r="E90" s="19" t="str">
        <x:v>B</x:v>
      </x:c>
      <x:c r="F90" s="31" t="str">
        <x:v>EXECUTABLE_NGRAM</x:v>
      </x:c>
      <x:c r="G90" s="19" t="str">
        <x:v>CONTEXT_REQUIRED</x:v>
      </x:c>
      <x:c r="H90" s="19" t="str">
        <x:v>eng</x:v>
      </x:c>
      <x:c r="I90" s="19" t="str">
        <x:v>current English corpus (July 2024 dataset; public shorthand eng; mutable current corpus)</x:v>
      </x:c>
      <x:c r="J90" s="19" t="str">
        <x:v>1842</x:v>
      </x:c>
      <x:c r="K90" s="19" t="str">
        <x:v>2022</x:v>
      </x:c>
      <x:c r="L90" s="28" t="n">
        <x:v>1843</x:v>
      </x:c>
      <x:c r="M90" s="28" t="n">
        <x:v>71</x:v>
      </x:c>
      <x:c r="N90" s="28" t="n">
        <x:v>2022</x:v>
      </x:c>
      <x:c r="O90" s="34" t="n">
        <x:v>1.564491737549023e-7</x:v>
      </x:c>
      <x:c r="P90" s="28" t="n">
        <x:v>1.564491737549023e-7</x:v>
      </x:c>
      <x:c r="Q90" s="34" t="n">
        <x:v>0</x:v>
      </x:c>
      <x:c r="R90" s="34" t="n">
        <x:v>0</x:v>
      </x:c>
      <x:c r="S90" s="34" t="n">
        <x:v>3.406129822636217e-9</x:v>
      </x:c>
      <x:c r="T90" s="34" t="n">
        <x:v>1.92166460591392e-8</x:v>
      </x:c>
      <x:c r="U90" s="34" t="n">
        <x:v>2.43588904463854e-8</x:v>
      </x:c>
      <x:c r="V90" s="34" t="n">
        <x:v>2.17877682527623e-8</x:v>
      </x:c>
      <x:c r="W90" s="34" t="n">
        <x:v>3.183085471591962e-8</x:v>
      </x:c>
      <x:c r="X90" s="34" t="n">
        <x:v>1.564491737549023e-7</x:v>
      </x:c>
      <x:c r="Y90" s="34" t="n">
        <x:v>1.564491737549023e-7</x:v>
      </x:c>
      <x:c r="Z90" s="28" t="n">
        <x:v>2022</x:v>
      </x:c>
      <x:c r="AA90" s="19" t="str">
        <x:v>AVAILABLE</x:v>
      </x:c>
      <x:c r="AB90" s="19" t="str">
        <x:v>AVAILABLE</x:v>
      </x:c>
      <x:c r="AC90" s="46" t="str">
        <x:v>Climate/temperature-linked lexical frequency; still not evidence of reception, voice, or affect without passage review.</x:v>
      </x:c>
    </x:row>
    <x:row r="91" ht="23" customHeight="1">
      <x:c r="A91" s="18" t="str">
        <x:v>FT-Q-V01-087</x:v>
      </x:c>
      <x:c r="B91" s="31" t="str">
        <x:v>risks and impacts</x:v>
      </x:c>
      <x:c r="C91" s="19" t="str">
        <x:v>administrative risk assessment</x:v>
      </x:c>
      <x:c r="D91" s="19" t="str">
        <x:v>risk</x:v>
      </x:c>
      <x:c r="E91" s="19" t="str">
        <x:v>D</x:v>
      </x:c>
      <x:c r="F91" s="31" t="str">
        <x:v>EXECUTABLE_NGRAM</x:v>
      </x:c>
      <x:c r="G91" s="19" t="str">
        <x:v>CONTEXT_REQUIRED</x:v>
      </x:c>
      <x:c r="H91" s="19" t="str">
        <x:v>eng</x:v>
      </x:c>
      <x:c r="I91" s="19" t="str">
        <x:v>current English corpus (July 2024 dataset; public shorthand eng; mutable current corpus)</x:v>
      </x:c>
      <x:c r="J91" s="19" t="str">
        <x:v>1842</x:v>
      </x:c>
      <x:c r="K91" s="19" t="str">
        <x:v>2022</x:v>
      </x:c>
      <x:c r="L91" s="28" t="n">
        <x:v>1901</x:v>
      </x:c>
      <x:c r="M91" s="28" t="n">
        <x:v>64</x:v>
      </x:c>
      <x:c r="N91" s="28" t="n">
        <x:v>2022</x:v>
      </x:c>
      <x:c r="O91" s="34" t="n">
        <x:v>4.441337393690237e-8</x:v>
      </x:c>
      <x:c r="P91" s="28" t="n">
        <x:v>4.441337393690237e-8</x:v>
      </x:c>
      <x:c r="Q91" s="34" t="n">
        <x:v>0</x:v>
      </x:c>
      <x:c r="R91" s="34" t="n">
        <x:v>0</x:v>
      </x:c>
      <x:c r="S91" s="34" t="n">
        <x:v>3.730156780679117e-9</x:v>
      </x:c>
      <x:c r="T91" s="34" t="n">
        <x:v>8.719695195058552e-9</x:v>
      </x:c>
      <x:c r="U91" s="34" t="n">
        <x:v>1.171048619186266e-8</x:v>
      </x:c>
      <x:c r="V91" s="34" t="n">
        <x:v>1.02150906934606e-8</x:v>
      </x:c>
      <x:c r="W91" s="34" t="n">
        <x:v>1.904498948129829e-8</x:v>
      </x:c>
      <x:c r="X91" s="34" t="n">
        <x:v>4.441337393690237e-8</x:v>
      </x:c>
      <x:c r="Y91" s="34" t="n">
        <x:v>4.441337393690237e-8</x:v>
      </x:c>
      <x:c r="Z91" s="28" t="n">
        <x:v>2022</x:v>
      </x:c>
      <x:c r="AA91" s="19" t="str">
        <x:v>AVAILABLE</x:v>
      </x:c>
      <x:c r="AB91" s="19" t="str">
        <x:v>AVAILABLE</x:v>
      </x:c>
      <x:c r="AC91" s="46" t="str">
        <x:v>Climate/temperature-linked lexical frequency; still not evidence of reception, voice, or affect without passage review.</x:v>
      </x:c>
    </x:row>
    <x:row r="92" ht="23" customHeight="1">
      <x:c r="A92" s="18" t="str">
        <x:v>FT-Q-V01-088</x:v>
      </x:c>
      <x:c r="B92" s="31" t="str">
        <x:v>adverse impacts</x:v>
      </x:c>
      <x:c r="C92" s="19" t="str">
        <x:v>generic damage</x:v>
      </x:c>
      <x:c r="D92" s="19" t="str">
        <x:v>harm_loss_consequences</x:v>
      </x:c>
      <x:c r="E92" s="19" t="str">
        <x:v>D</x:v>
      </x:c>
      <x:c r="F92" s="31" t="str">
        <x:v>EXECUTABLE_NGRAM</x:v>
      </x:c>
      <x:c r="G92" s="19" t="str">
        <x:v>CONTEXT_REQUIRED</x:v>
      </x:c>
      <x:c r="H92" s="19" t="str">
        <x:v>eng</x:v>
      </x:c>
      <x:c r="I92" s="19" t="str">
        <x:v>current English corpus (July 2024 dataset; public shorthand eng; mutable current corpus)</x:v>
      </x:c>
      <x:c r="J92" s="19" t="str">
        <x:v>1842</x:v>
      </x:c>
      <x:c r="K92" s="19" t="str">
        <x:v>2022</x:v>
      </x:c>
      <x:c r="L92" s="28" t="n">
        <x:v>1847</x:v>
      </x:c>
      <x:c r="M92" s="28" t="n">
        <x:v>118</x:v>
      </x:c>
      <x:c r="N92" s="28" t="n">
        <x:v>2008</x:v>
      </x:c>
      <x:c r="O92" s="34" t="n">
        <x:v>0.00000126370956696209</x:v>
      </x:c>
      <x:c r="P92" s="28" t="n">
        <x:v>3.134836589757661e-7</x:v>
      </x:c>
      <x:c r="Q92" s="34" t="n">
        <x:v>0</x:v>
      </x:c>
      <x:c r="R92" s="34" t="n">
        <x:v>3.341158461012128e-10</x:v>
      </x:c>
      <x:c r="S92" s="34" t="n">
        <x:v>7.824303560610701e-7</x:v>
      </x:c>
      <x:c r="T92" s="34" t="n">
        <x:v>0.000001002482367784552</x:v>
      </x:c>
      <x:c r="U92" s="34" t="n">
        <x:v>8.86375771003145e-7</x:v>
      </x:c>
      <x:c r="V92" s="34" t="n">
        <x:v>9.444290693938484e-7</x:v>
      </x:c>
      <x:c r="W92" s="34" t="n">
        <x:v>2.372477044543242e-7</x:v>
      </x:c>
      <x:c r="X92" s="34" t="n">
        <x:v>3.134836589757661e-7</x:v>
      </x:c>
      <x:c r="Y92" s="34" t="n">
        <x:v>3.134836589757661e-7</x:v>
      </x:c>
      <x:c r="Z92" s="28" t="n">
        <x:v>2022</x:v>
      </x:c>
      <x:c r="AA92" s="19" t="str">
        <x:v>AVAILABLE</x:v>
      </x:c>
      <x:c r="AB92" s="19" t="str">
        <x:v>AVAILABLE</x:v>
      </x:c>
      <x:c r="AC92" s="46" t="str">
        <x:v>Climate/temperature-linked lexical frequency; still not evidence of reception, voice, or affect without passage review.</x:v>
      </x:c>
    </x:row>
    <x:row r="93" ht="23" customHeight="1">
      <x:c r="A93" s="18" t="str">
        <x:v>FT-Q-V01-089</x:v>
      </x:c>
      <x:c r="B93" s="31" t="str">
        <x:v>adverse effects of climate change</x:v>
      </x:c>
      <x:c r="C93" s="19" t="str">
        <x:v>modern climate change</x:v>
      </x:c>
      <x:c r="D93" s="19" t="str">
        <x:v>climate</x:v>
      </x:c>
      <x:c r="E93" s="19" t="str">
        <x:v>D</x:v>
      </x:c>
      <x:c r="F93" s="31" t="str">
        <x:v>EXECUTABLE_NGRAM</x:v>
      </x:c>
      <x:c r="G93" s="19" t="str">
        <x:v>CONTEXT_REQUIRED</x:v>
      </x:c>
      <x:c r="H93" s="19" t="str">
        <x:v>eng</x:v>
      </x:c>
      <x:c r="I93" s="19" t="str">
        <x:v>current English corpus (July 2024 dataset; public shorthand eng; mutable current corpus)</x:v>
      </x:c>
      <x:c r="J93" s="19" t="str">
        <x:v>1842</x:v>
      </x:c>
      <x:c r="K93" s="19" t="str">
        <x:v>2022</x:v>
      </x:c>
      <x:c r="L93" s="28" t="n">
        <x:v>1901</x:v>
      </x:c>
      <x:c r="M93" s="28" t="n">
        <x:v>55</x:v>
      </x:c>
      <x:c r="N93" s="28" t="n">
        <x:v>2021</x:v>
      </x:c>
      <x:c r="O93" s="34" t="n">
        <x:v>6.824104539782105e-8</x:v>
      </x:c>
      <x:c r="P93" s="28" t="n">
        <x:v>6.007298156140983e-8</x:v>
      </x:c>
      <x:c r="Q93" s="34" t="n">
        <x:v>0</x:v>
      </x:c>
      <x:c r="R93" s="34" t="n">
        <x:v>0</x:v>
      </x:c>
      <x:c r="S93" s="34" t="n">
        <x:v>8.47171111040268e-10</x:v>
      </x:c>
      <x:c r="T93" s="34" t="n">
        <x:v>1.892433779820957e-8</x:v>
      </x:c>
      <x:c r="U93" s="34" t="n">
        <x:v>1.759132076811776e-8</x:v>
      </x:c>
      <x:c r="V93" s="34" t="n">
        <x:v>1.825782928316366e-8</x:v>
      </x:c>
      <x:c r="W93" s="34" t="n">
        <x:v>3.449535698751838e-8</x:v>
      </x:c>
      <x:c r="X93" s="34" t="n">
        <x:v>6.007298156140983e-8</x:v>
      </x:c>
      <x:c r="Y93" s="34" t="n">
        <x:v>6.007298156140983e-8</x:v>
      </x:c>
      <x:c r="Z93" s="28" t="n">
        <x:v>2022</x:v>
      </x:c>
      <x:c r="AA93" s="19" t="str">
        <x:v>AVAILABLE</x:v>
      </x:c>
      <x:c r="AB93" s="19" t="str">
        <x:v>AVAILABLE</x:v>
      </x:c>
      <x:c r="AC93" s="46" t="str">
        <x:v>Climate/temperature-linked lexical frequency; still not evidence of reception, voice, or affect without passage review.</x:v>
      </x:c>
    </x:row>
    <x:row r="94" ht="23" customHeight="1">
      <x:c r="A94" s="18" t="str">
        <x:v>FT-Q-V01-090</x:v>
      </x:c>
      <x:c r="B94" s="31" t="str">
        <x:v>greenhouse gas emissions</x:v>
      </x:c>
      <x:c r="C94" s="19" t="str">
        <x:v>anthropogenic greenhouse-gas emissions</x:v>
      </x:c>
      <x:c r="D94" s="19" t="str">
        <x:v>carbon_greenhouse</x:v>
      </x:c>
      <x:c r="E94" s="19" t="str">
        <x:v>B</x:v>
      </x:c>
      <x:c r="F94" s="31" t="str">
        <x:v>EXECUTABLE_NGRAM</x:v>
      </x:c>
      <x:c r="G94" s="19" t="str">
        <x:v>CONTEXT_REQUIRED</x:v>
      </x:c>
      <x:c r="H94" s="19" t="str">
        <x:v>eng</x:v>
      </x:c>
      <x:c r="I94" s="19" t="str">
        <x:v>current English corpus (July 2024 dataset; public shorthand eng; mutable current corpus)</x:v>
      </x:c>
      <x:c r="J94" s="19" t="str">
        <x:v>1842</x:v>
      </x:c>
      <x:c r="K94" s="19" t="str">
        <x:v>2022</x:v>
      </x:c>
      <x:c r="L94" s="28" t="n">
        <x:v>1843</x:v>
      </x:c>
      <x:c r="M94" s="28" t="n">
        <x:v>102</x:v>
      </x:c>
      <x:c r="N94" s="28" t="n">
        <x:v>2009</x:v>
      </x:c>
      <x:c r="O94" s="34" t="n">
        <x:v>0.000002058088877550379</x:v>
      </x:c>
      <x:c r="P94" s="28" t="n">
        <x:v>0.000001669261770767538</x:v>
      </x:c>
      <x:c r="Q94" s="34" t="n">
        <x:v>0</x:v>
      </x:c>
      <x:c r="R94" s="34" t="n">
        <x:v>0</x:v>
      </x:c>
      <x:c r="S94" s="34" t="n">
        <x:v>6.1250253577394e-8</x:v>
      </x:c>
      <x:c r="T94" s="34" t="n">
        <x:v>0.000001090903233809393</x:v>
      </x:c>
      <x:c r="U94" s="34" t="n">
        <x:v>0.000001668671410881561</x:v>
      </x:c>
      <x:c r="V94" s="34" t="n">
        <x:v>0.000001379787322345477</x:v>
      </x:c>
      <x:c r="W94" s="34" t="n">
        <x:v>0.000001287461367946441</x:v>
      </x:c>
      <x:c r="X94" s="34" t="n">
        <x:v>0.000001669261770767538</x:v>
      </x:c>
      <x:c r="Y94" s="34" t="n">
        <x:v>0.000001669261770767538</x:v>
      </x:c>
      <x:c r="Z94" s="28" t="n">
        <x:v>2022</x:v>
      </x:c>
      <x:c r="AA94" s="19" t="str">
        <x:v>AVAILABLE</x:v>
      </x:c>
      <x:c r="AB94" s="19" t="str">
        <x:v>AVAILABLE</x:v>
      </x:c>
      <x:c r="AC94" s="46" t="str">
        <x:v>Climate/temperature-linked lexical frequency; still not evidence of reception, voice, or affect without passage review.</x:v>
      </x:c>
    </x:row>
    <x:row r="95" ht="23" customHeight="1">
      <x:c r="A95" s="18" t="str">
        <x:v>FT-Q-V01-091</x:v>
      </x:c>
      <x:c r="B95" s="31" t="str">
        <x:v>climate resilience</x:v>
      </x:c>
      <x:c r="C95" s="19" t="str">
        <x:v>generic damage</x:v>
      </x:c>
      <x:c r="D95" s="19" t="str">
        <x:v>harm_loss_consequences</x:v>
      </x:c>
      <x:c r="E95" s="19" t="str">
        <x:v>D</x:v>
      </x:c>
      <x:c r="F95" s="31" t="str">
        <x:v>EXECUTABLE_NGRAM</x:v>
      </x:c>
      <x:c r="G95" s="19" t="str">
        <x:v>CONTEXT_REQUIRED</x:v>
      </x:c>
      <x:c r="H95" s="19" t="str">
        <x:v>eng</x:v>
      </x:c>
      <x:c r="I95" s="19" t="str">
        <x:v>current English corpus (July 2024 dataset; public shorthand eng; mutable current corpus)</x:v>
      </x:c>
      <x:c r="J95" s="19" t="str">
        <x:v>1842</x:v>
      </x:c>
      <x:c r="K95" s="19" t="str">
        <x:v>2022</x:v>
      </x:c>
      <x:c r="L95" s="28" t="n">
        <x:v>1901</x:v>
      </x:c>
      <x:c r="M95" s="28" t="n">
        <x:v>30</x:v>
      </x:c>
      <x:c r="N95" s="28" t="n">
        <x:v>2022</x:v>
      </x:c>
      <x:c r="O95" s="34" t="n">
        <x:v>2.377892628357969e-7</x:v>
      </x:c>
      <x:c r="P95" s="28" t="n">
        <x:v>2.377892628357969e-7</x:v>
      </x:c>
      <x:c r="Q95" s="34" t="n">
        <x:v>0</x:v>
      </x:c>
      <x:c r="R95" s="34" t="n">
        <x:v>0</x:v>
      </x:c>
      <x:c r="S95" s="34" t="n">
        <x:v>0</x:v>
      </x:c>
      <x:c r="T95" s="34" t="n">
        <x:v>7.782892767760341e-10</x:v>
      </x:c>
      <x:c r="U95" s="34" t="n">
        <x:v>1.07941033888892e-9</x:v>
      </x:c>
      <x:c r="V95" s="34" t="n">
        <x:v>9.288498078324769e-10</x:v>
      </x:c>
      <x:c r="W95" s="34" t="n">
        <x:v>6.192725596904092e-8</x:v>
      </x:c>
      <x:c r="X95" s="34" t="n">
        <x:v>2.377892628357969e-7</x:v>
      </x:c>
      <x:c r="Y95" s="34" t="n">
        <x:v>2.377892628357969e-7</x:v>
      </x:c>
      <x:c r="Z95" s="28" t="n">
        <x:v>2022</x:v>
      </x:c>
      <x:c r="AA95" s="19" t="str">
        <x:v>AVAILABLE</x:v>
      </x:c>
      <x:c r="AB95" s="19" t="str">
        <x:v>AVAILABLE</x:v>
      </x:c>
      <x:c r="AC95" s="46" t="str">
        <x:v>Climate/temperature-linked lexical frequency; still not evidence of reception, voice, or affect without passage review.</x:v>
      </x:c>
    </x:row>
    <x:row r="96" ht="23" customHeight="1">
      <x:c r="A96" s="18" t="str">
        <x:v>FT-Q-V01-092</x:v>
      </x:c>
      <x:c r="B96" s="31" t="str">
        <x:v>vulnerability</x:v>
      </x:c>
      <x:c r="C96" s="19" t="str">
        <x:v>vulnerability</x:v>
      </x:c>
      <x:c r="D96" s="19" t="str">
        <x:v>harm_loss_consequences</x:v>
      </x:c>
      <x:c r="E96" s="19" t="str">
        <x:v>D</x:v>
      </x:c>
      <x:c r="F96" s="31" t="str">
        <x:v>EXECUTABLE_NGRAM</x:v>
      </x:c>
      <x:c r="G96" s="19" t="str">
        <x:v>CONTEXT_REQUIRED</x:v>
      </x:c>
      <x:c r="H96" s="19" t="str">
        <x:v>eng</x:v>
      </x:c>
      <x:c r="I96" s="19" t="str">
        <x:v>current English corpus (July 2024 dataset; public shorthand eng; mutable current corpus)</x:v>
      </x:c>
      <x:c r="J96" s="19" t="str">
        <x:v>1842</x:v>
      </x:c>
      <x:c r="K96" s="19" t="str">
        <x:v>2022</x:v>
      </x:c>
      <x:c r="L96" s="28" t="n">
        <x:v>1842</x:v>
      </x:c>
      <x:c r="M96" s="28" t="n">
        <x:v>181</x:v>
      </x:c>
      <x:c r="N96" s="28" t="n">
        <x:v>2021</x:v>
      </x:c>
      <x:c r="O96" s="34" t="n">
        <x:v>0.00001211419347413312</x:v>
      </x:c>
      <x:c r="P96" s="28" t="n">
        <x:v>0.0000117803589603227</x:v>
      </x:c>
      <x:c r="Q96" s="34" t="n">
        <x:v>4.866453906515744e-9</x:v>
      </x:c>
      <x:c r="R96" s="34" t="n">
        <x:v>3.175859246695723e-7</x:v>
      </x:c>
      <x:c r="S96" s="34" t="n">
        <x:v>0.000003529738691554485</x:v>
      </x:c>
      <x:c r="T96" s="34" t="n">
        <x:v>0.000007107033283659803</x:v>
      </x:c>
      <x:c r="U96" s="34" t="n">
        <x:v>0.000007274388785560859</x:v>
      </x:c>
      <x:c r="V96" s="34" t="n">
        <x:v>0.000007190711034610331</x:v>
      </x:c>
      <x:c r="W96" s="34" t="n">
        <x:v>0.000009355508542086</x:v>
      </x:c>
      <x:c r="X96" s="34" t="n">
        <x:v>0.0000117803589603227</x:v>
      </x:c>
      <x:c r="Y96" s="34" t="n">
        <x:v>0.0000117803589603227</x:v>
      </x:c>
      <x:c r="Z96" s="28" t="n">
        <x:v>2022</x:v>
      </x:c>
      <x:c r="AA96" s="19" t="str">
        <x:v>AVAILABLE</x:v>
      </x:c>
      <x:c r="AB96" s="19" t="str">
        <x:v>AVAILABLE</x:v>
      </x:c>
      <x:c r="AC96" s="46" t="str">
        <x:v>Climate/temperature-linked lexical frequency; still not evidence of reception, voice, or affect without passage review.</x:v>
      </x:c>
    </x:row>
    <x:row r="97" ht="23" customHeight="1">
      <x:c r="A97" s="18" t="str">
        <x:v>FT-Q-V01-093</x:v>
      </x:c>
      <x:c r="B97" s="31" t="str">
        <x:v>vulnerable groups</x:v>
      </x:c>
      <x:c r="C97" s="19" t="str">
        <x:v>vulnerability</x:v>
      </x:c>
      <x:c r="D97" s="19" t="str">
        <x:v>harm_loss_consequences</x:v>
      </x:c>
      <x:c r="E97" s="19" t="str">
        <x:v>D</x:v>
      </x:c>
      <x:c r="F97" s="31" t="str">
        <x:v>EXECUTABLE_NGRAM</x:v>
      </x:c>
      <x:c r="G97" s="19" t="str">
        <x:v>CONTEXT_REQUIRED</x:v>
      </x:c>
      <x:c r="H97" s="19" t="str">
        <x:v>eng</x:v>
      </x:c>
      <x:c r="I97" s="19" t="str">
        <x:v>current English corpus (July 2024 dataset; public shorthand eng; mutable current corpus)</x:v>
      </x:c>
      <x:c r="J97" s="19" t="str">
        <x:v>1842</x:v>
      </x:c>
      <x:c r="K97" s="19" t="str">
        <x:v>2022</x:v>
      </x:c>
      <x:c r="L97" s="28" t="n">
        <x:v>1869</x:v>
      </x:c>
      <x:c r="M97" s="28" t="n">
        <x:v>117</x:v>
      </x:c>
      <x:c r="N97" s="28" t="n">
        <x:v>2022</x:v>
      </x:c>
      <x:c r="O97" s="34" t="n">
        <x:v>6.561656151760076e-7</x:v>
      </x:c>
      <x:c r="P97" s="28" t="n">
        <x:v>6.561656151760076e-7</x:v>
      </x:c>
      <x:c r="Q97" s="34" t="n">
        <x:v>0</x:v>
      </x:c>
      <x:c r="R97" s="34" t="n">
        <x:v>2.561554898750096e-9</x:v>
      </x:c>
      <x:c r="S97" s="34" t="n">
        <x:v>1.830589990703402e-7</x:v>
      </x:c>
      <x:c r="T97" s="34" t="n">
        <x:v>5.319378349119552e-7</x:v>
      </x:c>
      <x:c r="U97" s="34" t="n">
        <x:v>4.877135600170335e-7</x:v>
      </x:c>
      <x:c r="V97" s="34" t="n">
        <x:v>5.098256974644944e-7</x:v>
      </x:c>
      <x:c r="W97" s="34" t="n">
        <x:v>4.145763595753138e-7</x:v>
      </x:c>
      <x:c r="X97" s="34" t="n">
        <x:v>6.561656151760076e-7</x:v>
      </x:c>
      <x:c r="Y97" s="34" t="n">
        <x:v>6.561656151760076e-7</x:v>
      </x:c>
      <x:c r="Z97" s="28" t="n">
        <x:v>2022</x:v>
      </x:c>
      <x:c r="AA97" s="19" t="str">
        <x:v>AVAILABLE</x:v>
      </x:c>
      <x:c r="AB97" s="19" t="str">
        <x:v>AVAILABLE</x:v>
      </x:c>
      <x:c r="AC97" s="46" t="str">
        <x:v>Climate/temperature-linked lexical frequency; still not evidence of reception, voice, or affect without passage review.</x:v>
      </x:c>
    </x:row>
    <x:row r="98" ht="23" customHeight="1">
      <x:c r="A98" s="18" t="str">
        <x:v>FT-Q-V01-094</x:v>
      </x:c>
      <x:c r="B98" s="31" t="str">
        <x:v>loss and damage</x:v>
      </x:c>
      <x:c r="C98" s="19" t="str">
        <x:v>loss and damage</x:v>
      </x:c>
      <x:c r="D98" s="19" t="str">
        <x:v>harm_loss_consequences</x:v>
      </x:c>
      <x:c r="E98" s="19" t="str">
        <x:v>D</x:v>
      </x:c>
      <x:c r="F98" s="31" t="str">
        <x:v>EXECUTABLE_NGRAM</x:v>
      </x:c>
      <x:c r="G98" s="19" t="str">
        <x:v>CLIMATE_SPECIFIC</x:v>
      </x:c>
      <x:c r="H98" s="19" t="str">
        <x:v>eng</x:v>
      </x:c>
      <x:c r="I98" s="19" t="str">
        <x:v>current English corpus (July 2024 dataset; public shorthand eng; mutable current corpus)</x:v>
      </x:c>
      <x:c r="J98" s="19" t="str">
        <x:v>1842</x:v>
      </x:c>
      <x:c r="K98" s="19" t="str">
        <x:v>2022</x:v>
      </x:c>
      <x:c r="L98" s="28" t="n">
        <x:v>1842</x:v>
      </x:c>
      <x:c r="M98" s="28" t="n">
        <x:v>181</x:v>
      </x:c>
      <x:c r="N98" s="28" t="n">
        <x:v>1947</x:v>
      </x:c>
      <x:c r="O98" s="34" t="n">
        <x:v>0.000001543076207422001</x:v>
      </x:c>
      <x:c r="P98" s="28" t="n">
        <x:v>1.615246781744295e-7</x:v>
      </x:c>
      <x:c r="Q98" s="34" t="n">
        <x:v>1.379619247732222e-7</x:v>
      </x:c>
      <x:c r="R98" s="34" t="n">
        <x:v>8.379211266507092e-7</x:v>
      </x:c>
      <x:c r="S98" s="34" t="n">
        <x:v>1.054715317444499e-7</x:v>
      </x:c>
      <x:c r="T98" s="34" t="n">
        <x:v>7.471193348013161e-8</x:v>
      </x:c>
      <x:c r="U98" s="34" t="n">
        <x:v>7.050587146062437e-8</x:v>
      </x:c>
      <x:c r="V98" s="34" t="n">
        <x:v>7.260890247037799e-8</x:v>
      </x:c>
      <x:c r="W98" s="34" t="n">
        <x:v>8.407788263178895e-8</x:v>
      </x:c>
      <x:c r="X98" s="34" t="n">
        <x:v>1.615246781744295e-7</x:v>
      </x:c>
      <x:c r="Y98" s="34" t="n">
        <x:v>1.615246781744295e-7</x:v>
      </x:c>
      <x:c r="Z98" s="28" t="n">
        <x:v>2022</x:v>
      </x:c>
      <x:c r="AA98" s="19" t="str">
        <x:v>AVAILABLE</x:v>
      </x:c>
      <x:c r="AB98" s="19" t="str">
        <x:v>AVAILABLE</x:v>
      </x:c>
      <x:c r="AC98" s="46" t="str">
        <x:v>Climate/temperature-linked lexical frequency; still not evidence of reception, voice, or affect without passage review.</x:v>
      </x:c>
    </x:row>
    <x:row r="99" ht="23" customHeight="1">
      <x:c r="A99" s="18" t="str">
        <x:v>FT-Q-V01-095</x:v>
      </x:c>
      <x:c r="B99" s="31" t="str">
        <x:v>extreme weather events</x:v>
      </x:c>
      <x:c r="C99" s="19" t="str">
        <x:v>generic damage</x:v>
      </x:c>
      <x:c r="D99" s="19" t="str">
        <x:v>harm_loss_consequences</x:v>
      </x:c>
      <x:c r="E99" s="19" t="str">
        <x:v>D</x:v>
      </x:c>
      <x:c r="F99" s="31" t="str">
        <x:v>EXECUTABLE_NGRAM</x:v>
      </x:c>
      <x:c r="G99" s="19" t="str">
        <x:v>CONTEXT_REQUIRED</x:v>
      </x:c>
      <x:c r="H99" s="19" t="str">
        <x:v>eng</x:v>
      </x:c>
      <x:c r="I99" s="19" t="str">
        <x:v>current English corpus (July 2024 dataset; public shorthand eng; mutable current corpus)</x:v>
      </x:c>
      <x:c r="J99" s="19" t="str">
        <x:v>1842</x:v>
      </x:c>
      <x:c r="K99" s="19" t="str">
        <x:v>2022</x:v>
      </x:c>
      <x:c r="L99" s="28" t="n">
        <x:v>1843</x:v>
      </x:c>
      <x:c r="M99" s="28" t="n">
        <x:v>85</x:v>
      </x:c>
      <x:c r="N99" s="28" t="n">
        <x:v>2022</x:v>
      </x:c>
      <x:c r="O99" s="34" t="n">
        <x:v>4.511812501384327e-7</x:v>
      </x:c>
      <x:c r="P99" s="28" t="n">
        <x:v>4.511812501384327e-7</x:v>
      </x:c>
      <x:c r="Q99" s="34" t="n">
        <x:v>0</x:v>
      </x:c>
      <x:c r="R99" s="34" t="n">
        <x:v>0</x:v>
      </x:c>
      <x:c r="S99" s="34" t="n">
        <x:v>3.405795367950049e-9</x:v>
      </x:c>
      <x:c r="T99" s="34" t="n">
        <x:v>8.521520449000786e-8</x:v>
      </x:c>
      <x:c r="U99" s="34" t="n">
        <x:v>1.065605648165047e-7</x:v>
      </x:c>
      <x:c r="V99" s="34" t="n">
        <x:v>9.588788465325626e-8</x:v>
      </x:c>
      <x:c r="W99" s="34" t="n">
        <x:v>2.641805035841216e-7</x:v>
      </x:c>
      <x:c r="X99" s="34" t="n">
        <x:v>4.511812501384327e-7</x:v>
      </x:c>
      <x:c r="Y99" s="34" t="n">
        <x:v>4.511812501384327e-7</x:v>
      </x:c>
      <x:c r="Z99" s="28" t="n">
        <x:v>2022</x:v>
      </x:c>
      <x:c r="AA99" s="19" t="str">
        <x:v>AVAILABLE</x:v>
      </x:c>
      <x:c r="AB99" s="19" t="str">
        <x:v>AVAILABLE</x:v>
      </x:c>
      <x:c r="AC99" s="46" t="str">
        <x:v>Climate/temperature-linked lexical frequency; still not evidence of reception, voice, or affect without passage review.</x:v>
      </x:c>
    </x:row>
    <x:row r="100" ht="23" customHeight="1">
      <x:c r="A100" s="18" t="str">
        <x:v>FT-Q-V01-096</x:v>
      </x:c>
      <x:c r="B100" s="31" t="str">
        <x:v>slow onset events</x:v>
      </x:c>
      <x:c r="C100" s="19" t="str">
        <x:v>generic damage</x:v>
      </x:c>
      <x:c r="D100" s="19" t="str">
        <x:v>harm_loss_consequences</x:v>
      </x:c>
      <x:c r="E100" s="19" t="str">
        <x:v>D</x:v>
      </x:c>
      <x:c r="F100" s="31" t="str">
        <x:v>EXECUTABLE_NGRAM</x:v>
      </x:c>
      <x:c r="G100" s="19" t="str">
        <x:v>CONTEXT_REQUIRED</x:v>
      </x:c>
      <x:c r="H100" s="19" t="str">
        <x:v>eng</x:v>
      </x:c>
      <x:c r="I100" s="19" t="str">
        <x:v>current English corpus (July 2024 dataset; public shorthand eng; mutable current corpus)</x:v>
      </x:c>
      <x:c r="J100" s="19" t="str">
        <x:v>1842</x:v>
      </x:c>
      <x:c r="K100" s="19" t="str">
        <x:v>2022</x:v>
      </x:c>
      <x:c r="L100" s="28" t="n">
        <x:v>1964</x:v>
      </x:c>
      <x:c r="M100" s="28" t="n">
        <x:v>25</x:v>
      </x:c>
      <x:c r="N100" s="28" t="n">
        <x:v>2021</x:v>
      </x:c>
      <x:c r="O100" s="34" t="n">
        <x:v>7.283442959860054e-9</x:v>
      </x:c>
      <x:c r="P100" s="28" t="n">
        <x:v>5.013650494767319e-9</x:v>
      </x:c>
      <x:c r="Q100" s="34" t="n">
        <x:v>0</x:v>
      </x:c>
      <x:c r="R100" s="34" t="n">
        <x:v>0</x:v>
      </x:c>
      <x:c r="S100" s="34" t="n">
        <x:v>0</x:v>
      </x:c>
      <x:c r="T100" s="34" t="n">
        <x:v>2.477186233917905e-10</x:v>
      </x:c>
      <x:c r="U100" s="34" t="n">
        <x:v>4.859122965106266e-10</x:v>
      </x:c>
      <x:c r="V100" s="34" t="n">
        <x:v>3.668154599512086e-10</x:v>
      </x:c>
      <x:c r="W100" s="34" t="n">
        <x:v>2.049460948172488e-9</x:v>
      </x:c>
      <x:c r="X100" s="34" t="n">
        <x:v>5.013650494767319e-9</x:v>
      </x:c>
      <x:c r="Y100" s="34" t="n">
        <x:v>5.013650494767319e-9</x:v>
      </x:c>
      <x:c r="Z100" s="28" t="n">
        <x:v>2022</x:v>
      </x:c>
      <x:c r="AA100" s="19" t="str">
        <x:v>AVAILABLE</x:v>
      </x:c>
      <x:c r="AB100" s="19" t="str">
        <x:v>AVAILABLE</x:v>
      </x:c>
      <x:c r="AC100" s="46" t="str">
        <x:v>Climate/temperature-linked lexical frequency; still not evidence of reception, voice, or affect without passage review.</x:v>
      </x:c>
    </x:row>
    <x:row r="101" ht="23" customHeight="1">
      <x:c r="A101" s="18" t="str">
        <x:v>FT-Q-V01-097</x:v>
      </x:c>
      <x:c r="B101" s="31" t="str">
        <x:v>risk of loss and damage</x:v>
      </x:c>
      <x:c r="C101" s="19" t="str">
        <x:v>administrative risk assessment</x:v>
      </x:c>
      <x:c r="D101" s="19" t="str">
        <x:v>risk</x:v>
      </x:c>
      <x:c r="E101" s="19" t="str">
        <x:v>D</x:v>
      </x:c>
      <x:c r="F101" s="31" t="str">
        <x:v>EXECUTABLE_NGRAM</x:v>
      </x:c>
      <x:c r="G101" s="19" t="str">
        <x:v>CONTEXT_REQUIRED</x:v>
      </x:c>
      <x:c r="H101" s="19" t="str">
        <x:v>eng</x:v>
      </x:c>
      <x:c r="I101" s="19" t="str">
        <x:v>current English corpus (July 2024 dataset; public shorthand eng; mutable current corpus)</x:v>
      </x:c>
      <x:c r="J101" s="19" t="str">
        <x:v>1842</x:v>
      </x:c>
      <x:c r="K101" s="19" t="str">
        <x:v>2022</x:v>
      </x:c>
      <x:c r="L101" s="28" t="n">
        <x:v>1842</x:v>
      </x:c>
      <x:c r="M101" s="28" t="n">
        <x:v>165</x:v>
      </x:c>
      <x:c r="N101" s="28" t="n">
        <x:v>1956</x:v>
      </x:c>
      <x:c r="O101" s="34" t="n">
        <x:v>7.821105985073018e-9</x:v>
      </x:c>
      <x:c r="P101" s="28" t="n">
        <x:v>2.065858161620637e-9</x:v>
      </x:c>
      <x:c r="Q101" s="34" t="n">
        <x:v>7.81099351865322e-10</x:v>
      </x:c>
      <x:c r="R101" s="34" t="n">
        <x:v>5.767837332748549e-9</x:v>
      </x:c>
      <x:c r="S101" s="34" t="n">
        <x:v>6.516700790104579e-10</x:v>
      </x:c>
      <x:c r="T101" s="34" t="n">
        <x:v>8.152023084351256e-10</x:v>
      </x:c>
      <x:c r="U101" s="34" t="n">
        <x:v>6.262282359337235e-10</x:v>
      </x:c>
      <x:c r="V101" s="34" t="n">
        <x:v>7.207152721844245e-10</x:v>
      </x:c>
      <x:c r="W101" s="34" t="n">
        <x:v>9.214118357192547e-10</x:v>
      </x:c>
      <x:c r="X101" s="34" t="n">
        <x:v>2.065858161620637e-9</x:v>
      </x:c>
      <x:c r="Y101" s="34" t="n">
        <x:v>2.065858161620637e-9</x:v>
      </x:c>
      <x:c r="Z101" s="28" t="n">
        <x:v>2022</x:v>
      </x:c>
      <x:c r="AA101" s="19" t="str">
        <x:v>AVAILABLE</x:v>
      </x:c>
      <x:c r="AB101" s="19" t="str">
        <x:v>AVAILABLE</x:v>
      </x:c>
      <x:c r="AC101" s="46" t="str">
        <x:v>Climate/temperature-linked lexical frequency; still not evidence of reception, voice, or affect without passage review.</x:v>
      </x:c>
    </x:row>
    <x:row r="102" ht="23" customHeight="1">
      <x:c r="A102" s="18" t="str">
        <x:v>FT-Q-V01-098</x:v>
      </x:c>
      <x:c r="B102" s="31" t="str">
        <x:v>early warning systems</x:v>
      </x:c>
      <x:c r="C102" s="19" t="str">
        <x:v>generic damage</x:v>
      </x:c>
      <x:c r="D102" s="19" t="str">
        <x:v>harm_loss_consequences</x:v>
      </x:c>
      <x:c r="E102" s="19" t="str">
        <x:v>D</x:v>
      </x:c>
      <x:c r="F102" s="31" t="str">
        <x:v>EXECUTABLE_NGRAM</x:v>
      </x:c>
      <x:c r="G102" s="19" t="str">
        <x:v>CONTEXT_REQUIRED</x:v>
      </x:c>
      <x:c r="H102" s="19" t="str">
        <x:v>eng</x:v>
      </x:c>
      <x:c r="I102" s="19" t="str">
        <x:v>current English corpus (July 2024 dataset; public shorthand eng; mutable current corpus)</x:v>
      </x:c>
      <x:c r="J102" s="19" t="str">
        <x:v>1842</x:v>
      </x:c>
      <x:c r="K102" s="19" t="str">
        <x:v>2022</x:v>
      </x:c>
      <x:c r="L102" s="28" t="n">
        <x:v>1869</x:v>
      </x:c>
      <x:c r="M102" s="28" t="n">
        <x:v>99</x:v>
      </x:c>
      <x:c r="N102" s="28" t="n">
        <x:v>2022</x:v>
      </x:c>
      <x:c r="O102" s="34" t="n">
        <x:v>2.00640613789993e-7</x:v>
      </x:c>
      <x:c r="P102" s="28" t="n">
        <x:v>2.00640613789993e-7</x:v>
      </x:c>
      <x:c r="Q102" s="34" t="n">
        <x:v>0</x:v>
      </x:c>
      <x:c r="R102" s="34" t="n">
        <x:v>0</x:v>
      </x:c>
      <x:c r="S102" s="34" t="n">
        <x:v>9.379452314828285e-8</x:v>
      </x:c>
      <x:c r="T102" s="34" t="n">
        <x:v>1.387224217164196e-7</x:v>
      </x:c>
      <x:c r="U102" s="34" t="n">
        <x:v>1.297385822940367e-7</x:v>
      </x:c>
      <x:c r="V102" s="34" t="n">
        <x:v>1.342305020052281e-7</x:v>
      </x:c>
      <x:c r="W102" s="34" t="n">
        <x:v>1.42312563317093e-7</x:v>
      </x:c>
      <x:c r="X102" s="34" t="n">
        <x:v>2.00640613789993e-7</x:v>
      </x:c>
      <x:c r="Y102" s="34" t="n">
        <x:v>2.00640613789993e-7</x:v>
      </x:c>
      <x:c r="Z102" s="28" t="n">
        <x:v>2022</x:v>
      </x:c>
      <x:c r="AA102" s="19" t="str">
        <x:v>AVAILABLE</x:v>
      </x:c>
      <x:c r="AB102" s="19" t="str">
        <x:v>AVAILABLE</x:v>
      </x:c>
      <x:c r="AC102" s="46" t="str">
        <x:v>Climate/temperature-linked lexical frequency; still not evidence of reception, voice, or affect without passage review.</x:v>
      </x:c>
    </x:row>
    <x:row r="103" ht="23" customHeight="1">
      <x:c r="A103" s="18" t="str">
        <x:v>FT-Q-V01-099</x:v>
      </x:c>
      <x:c r="B103" s="31" t="str">
        <x:v>emergency preparedness</x:v>
      </x:c>
      <x:c r="C103" s="19" t="str">
        <x:v>emergency response category</x:v>
      </x:c>
      <x:c r="D103" s="19" t="str">
        <x:v>crisis_emergency</x:v>
      </x:c>
      <x:c r="E103" s="19" t="str">
        <x:v>D</x:v>
      </x:c>
      <x:c r="F103" s="31" t="str">
        <x:v>EXECUTABLE_NGRAM</x:v>
      </x:c>
      <x:c r="G103" s="19" t="str">
        <x:v>CONTEXT_REQUIRED</x:v>
      </x:c>
      <x:c r="H103" s="19" t="str">
        <x:v>eng</x:v>
      </x:c>
      <x:c r="I103" s="19" t="str">
        <x:v>current English corpus (July 2024 dataset; public shorthand eng; mutable current corpus)</x:v>
      </x:c>
      <x:c r="J103" s="19" t="str">
        <x:v>1842</x:v>
      </x:c>
      <x:c r="K103" s="19" t="str">
        <x:v>2022</x:v>
      </x:c>
      <x:c r="L103" s="28" t="n">
        <x:v>1847</x:v>
      </x:c>
      <x:c r="M103" s="28" t="n">
        <x:v>122</x:v>
      </x:c>
      <x:c r="N103" s="28" t="n">
        <x:v>1986</x:v>
      </x:c>
      <x:c r="O103" s="34" t="n">
        <x:v>0.000002826408131394176</x:v>
      </x:c>
      <x:c r="P103" s="28" t="n">
        <x:v>2.663239674349782e-7</x:v>
      </x:c>
      <x:c r="Q103" s="34" t="n">
        <x:v>0</x:v>
      </x:c>
      <x:c r="R103" s="34" t="n">
        <x:v>3.563902506442673e-9</x:v>
      </x:c>
      <x:c r="S103" s="34" t="n">
        <x:v>0.000001046481490560303</x:v>
      </x:c>
      <x:c r="T103" s="34" t="n">
        <x:v>8.403235325082914e-7</x:v>
      </x:c>
      <x:c r="U103" s="34" t="n">
        <x:v>7.499652697369463e-7</x:v>
      </x:c>
      <x:c r="V103" s="34" t="n">
        <x:v>7.951444011226189e-7</x:v>
      </x:c>
      <x:c r="W103" s="34" t="n">
        <x:v>3.295314575553487e-7</x:v>
      </x:c>
      <x:c r="X103" s="34" t="n">
        <x:v>2.663239674349782e-7</x:v>
      </x:c>
      <x:c r="Y103" s="34" t="n">
        <x:v>2.663239674349782e-7</x:v>
      </x:c>
      <x:c r="Z103" s="28" t="n">
        <x:v>2022</x:v>
      </x:c>
      <x:c r="AA103" s="19" t="str">
        <x:v>AVAILABLE</x:v>
      </x:c>
      <x:c r="AB103" s="19" t="str">
        <x:v>AVAILABLE</x:v>
      </x:c>
      <x:c r="AC103" s="46" t="str">
        <x:v>Climate/temperature-linked lexical frequency; still not evidence of reception, voice, or affect without passage review.</x:v>
      </x:c>
    </x:row>
    <x:row r="104" ht="23" customHeight="1">
      <x:c r="A104" s="18" t="str">
        <x:v>FT-Q-V01-100</x:v>
      </x:c>
      <x:c r="B104" s="31" t="str">
        <x:v>irreversible and permanent loss and damage</x:v>
      </x:c>
      <x:c r="C104" s="19" t="str">
        <x:v>loss and damage</x:v>
      </x:c>
      <x:c r="D104" s="19" t="str">
        <x:v>harm_loss_consequences</x:v>
      </x:c>
      <x:c r="E104" s="19" t="str">
        <x:v>D</x:v>
      </x:c>
      <x:c r="F104" s="31" t="str">
        <x:v>EXECUTABLE_NGRAM</x:v>
      </x:c>
      <x:c r="G104" s="19" t="str">
        <x:v>CONTEXT_REQUIRED</x:v>
      </x:c>
      <x:c r="H104" s="19" t="str">
        <x:v>eng</x:v>
      </x:c>
      <x:c r="I104" s="19" t="str">
        <x:v>current English corpus (July 2024 dataset; public shorthand eng; mutable current corpus)</x:v>
      </x:c>
      <x:c r="J104" s="19" t="str">
        <x:v>1842</x:v>
      </x:c>
      <x:c r="K104" s="19" t="str">
        <x:v>2022</x:v>
      </x:c>
      <x:c r="L104" s="28" t="n">
        <x:v>2015</x:v>
      </x:c>
      <x:c r="M104" s="28" t="n">
        <x:v>8</x:v>
      </x:c>
      <x:c r="N104" s="28" t="n">
        <x:v>2021</x:v>
      </x:c>
      <x:c r="O104" s="34" t="n">
        <x:v>8.163354991985727e-10</x:v>
      </x:c>
      <x:c r="P104" s="28" t="n">
        <x:v>6.393428564344106e-10</x:v>
      </x:c>
      <x:c r="Q104" s="34" t="n">
        <x:v>0</x:v>
      </x:c>
      <x:c r="R104" s="34" t="n">
        <x:v>0</x:v>
      </x:c>
      <x:c r="S104" s="34" t="n">
        <x:v>0</x:v>
      </x:c>
      <x:c r="T104" s="34" t="n">
        <x:v>0</x:v>
      </x:c>
      <x:c r="U104" s="34" t="n">
        <x:v>0</x:v>
      </x:c>
      <x:c r="V104" s="34" t="n">
        <x:v>0</x:v>
      </x:c>
      <x:c r="W104" s="34" t="n">
        <x:v>6.163167892703214e-11</x:v>
      </x:c>
      <x:c r="X104" s="34" t="n">
        <x:v>6.393428564344106e-10</x:v>
      </x:c>
      <x:c r="Y104" s="34" t="n">
        <x:v>6.393428564344106e-10</x:v>
      </x:c>
      <x:c r="Z104" s="28" t="n">
        <x:v>2022</x:v>
      </x:c>
      <x:c r="AA104" s="19" t="str">
        <x:v>SPARSE</x:v>
      </x:c>
      <x:c r="AB104" s="19" t="str">
        <x:v>AVAILABLE</x:v>
      </x:c>
      <x:c r="AC104" s="46" t="str">
        <x:v>Climate/temperature-linked lexical frequency; still not evidence of reception, voice, or affect without passage review.</x:v>
      </x:c>
    </x:row>
    <x:row r="105" ht="23" customHeight="1">
      <x:c r="A105" s="18" t="str">
        <x:v>FT-Q-V01-101</x:v>
      </x:c>
      <x:c r="B105" s="31" t="str">
        <x:v>climate change</x:v>
      </x:c>
      <x:c r="C105" s="19" t="str">
        <x:v>modern climate change</x:v>
      </x:c>
      <x:c r="D105" s="19" t="str">
        <x:v>climate</x:v>
      </x:c>
      <x:c r="E105" s="19" t="str">
        <x:v>B</x:v>
      </x:c>
      <x:c r="F105" s="31" t="str">
        <x:v>EXECUTABLE_NGRAM</x:v>
      </x:c>
      <x:c r="G105" s="19" t="str">
        <x:v>CLIMATE_SPECIFIC</x:v>
      </x:c>
      <x:c r="H105" s="19" t="str">
        <x:v>eng</x:v>
      </x:c>
      <x:c r="I105" s="19" t="str">
        <x:v>current English corpus (July 2024 dataset; public shorthand eng; mutable current corpus)</x:v>
      </x:c>
      <x:c r="J105" s="19" t="str">
        <x:v>1842</x:v>
      </x:c>
      <x:c r="K105" s="19" t="str">
        <x:v>2022</x:v>
      </x:c>
      <x:c r="L105" s="28" t="n">
        <x:v>1842</x:v>
      </x:c>
      <x:c r="M105" s="28" t="n">
        <x:v>180</x:v>
      </x:c>
      <x:c r="N105" s="28" t="n">
        <x:v>2022</x:v>
      </x:c>
      <x:c r="O105" s="34" t="n">
        <x:v>0.00002890008815206735</x:v>
      </x:c>
      <x:c r="P105" s="28" t="n">
        <x:v>0.00002890008815206735</x:v>
      </x:c>
      <x:c r="Q105" s="34" t="n">
        <x:v>5.159906557583582e-9</x:v>
      </x:c>
      <x:c r="R105" s="34" t="n">
        <x:v>2.561554912627884e-9</x:v>
      </x:c>
      <x:c r="S105" s="34" t="n">
        <x:v>0.000001240793510930149</x:v>
      </x:c>
      <x:c r="T105" s="34" t="n">
        <x:v>0.000008716473492563492</x:v>
      </x:c>
      <x:c r="U105" s="34" t="n">
        <x:v>0.00001319138383155949</x:v>
      </x:c>
      <x:c r="V105" s="34" t="n">
        <x:v>0.00001095392866206149</x:v>
      </x:c>
      <x:c r="W105" s="34" t="n">
        <x:v>0.00001967096413684616</x:v>
      </x:c>
      <x:c r="X105" s="34" t="n">
        <x:v>0.00002890008815206735</x:v>
      </x:c>
      <x:c r="Y105" s="34" t="n">
        <x:v>0.00002890008815206735</x:v>
      </x:c>
      <x:c r="Z105" s="28" t="n">
        <x:v>2022</x:v>
      </x:c>
      <x:c r="AA105" s="19" t="str">
        <x:v>AVAILABLE</x:v>
      </x:c>
      <x:c r="AB105" s="19" t="str">
        <x:v>AVAILABLE</x:v>
      </x:c>
      <x:c r="AC105" s="46" t="str">
        <x:v>Climate/temperature-linked lexical frequency; still not evidence of reception, voice, or affect without passage review.</x:v>
      </x:c>
    </x:row>
    <x:row r="106" ht="23" customHeight="1">
      <x:c r="A106" s="18" t="str">
        <x:v>FT-Q-V01-102</x:v>
      </x:c>
      <x:c r="B106" s="31" t="str">
        <x:v>global warming</x:v>
      </x:c>
      <x:c r="C106" s="19" t="str">
        <x:v>global warming as issue label</x:v>
      </x:c>
      <x:c r="D106" s="19" t="str">
        <x:v>warming</x:v>
      </x:c>
      <x:c r="E106" s="19" t="str">
        <x:v>A</x:v>
      </x:c>
      <x:c r="F106" s="31" t="str">
        <x:v>EXECUTABLE_NGRAM</x:v>
      </x:c>
      <x:c r="G106" s="19" t="str">
        <x:v>CLIMATE_SPECIFIC</x:v>
      </x:c>
      <x:c r="H106" s="19" t="str">
        <x:v>eng</x:v>
      </x:c>
      <x:c r="I106" s="19" t="str">
        <x:v>current English corpus (July 2024 dataset; public shorthand eng; mutable current corpus)</x:v>
      </x:c>
      <x:c r="J106" s="19" t="str">
        <x:v>1842</x:v>
      </x:c>
      <x:c r="K106" s="19" t="str">
        <x:v>2022</x:v>
      </x:c>
      <x:c r="L106" s="28" t="n">
        <x:v>1843</x:v>
      </x:c>
      <x:c r="M106" s="28" t="n">
        <x:v>138</x:v>
      </x:c>
      <x:c r="N106" s="28" t="n">
        <x:v>2009</x:v>
      </x:c>
      <x:c r="O106" s="34" t="n">
        <x:v>0.000005445639571555194</x:v>
      </x:c>
      <x:c r="P106" s="28" t="n">
        <x:v>0.000003963670369644401</x:v>
      </x:c>
      <x:c r="Q106" s="34" t="n">
        <x:v>0</x:v>
      </x:c>
      <x:c r="R106" s="34" t="n">
        <x:v>2.00469511824064e-9</x:v>
      </x:c>
      <x:c r="S106" s="34" t="n">
        <x:v>6.400895369296222e-7</x:v>
      </x:c>
      <x:c r="T106" s="34" t="n">
        <x:v>0.00000339393631278162</x:v>
      </x:c>
      <x:c r="U106" s="34" t="n">
        <x:v>0.00000496164442403968</x:v>
      </x:c>
      <x:c r="V106" s="34" t="n">
        <x:v>0.00000417779036841065</x:v>
      </x:c>
      <x:c r="W106" s="34" t="n">
        <x:v>0.000003293586607857474</x:v>
      </x:c>
      <x:c r="X106" s="34" t="n">
        <x:v>0.000003963670369644401</x:v>
      </x:c>
      <x:c r="Y106" s="34" t="n">
        <x:v>0.000003963670369644401</x:v>
      </x:c>
      <x:c r="Z106" s="28" t="n">
        <x:v>2022</x:v>
      </x:c>
      <x:c r="AA106" s="19" t="str">
        <x:v>AVAILABLE</x:v>
      </x:c>
      <x:c r="AB106" s="19" t="str">
        <x:v>AVAILABLE</x:v>
      </x:c>
      <x:c r="AC106" s="46" t="str">
        <x:v>Climate/temperature-linked lexical frequency; still not evidence of reception, voice, or affect without passage review.</x:v>
      </x:c>
    </x:row>
    <x:row r="107" ht="23" customHeight="1">
      <x:c r="A107" s="18" t="str">
        <x:v>FT-Q-V01-103</x:v>
      </x:c>
      <x:c r="B107" s="31" t="str">
        <x:v>very worried</x:v>
      </x:c>
      <x:c r="C107" s="19" t="str">
        <x:v>participant worry endorsement</x:v>
      </x:c>
      <x:c r="D107" s="19" t="str">
        <x:v>worry</x:v>
      </x:c>
      <x:c r="E107" s="19" t="str">
        <x:v>C</x:v>
      </x:c>
      <x:c r="F107" s="31" t="str">
        <x:v>EXECUTABLE_NGRAM</x:v>
      </x:c>
      <x:c r="G107" s="19" t="str">
        <x:v>CONTEXT_REQUIRED</x:v>
      </x:c>
      <x:c r="H107" s="19" t="str">
        <x:v>eng</x:v>
      </x:c>
      <x:c r="I107" s="19" t="str">
        <x:v>current English corpus (July 2024 dataset; public shorthand eng; mutable current corpus)</x:v>
      </x:c>
      <x:c r="J107" s="19" t="str">
        <x:v>1842</x:v>
      </x:c>
      <x:c r="K107" s="19" t="str">
        <x:v>2022</x:v>
      </x:c>
      <x:c r="L107" s="28" t="n">
        <x:v>1843</x:v>
      </x:c>
      <x:c r="M107" s="28" t="n">
        <x:v>167</x:v>
      </x:c>
      <x:c r="N107" s="28" t="n">
        <x:v>2020</x:v>
      </x:c>
      <x:c r="O107" s="34" t="n">
        <x:v>0.000001237675283025097</x:v>
      </x:c>
      <x:c r="P107" s="28" t="n">
        <x:v>3.79268325273463e-7</x:v>
      </x:c>
      <x:c r="Q107" s="34" t="n">
        <x:v>0</x:v>
      </x:c>
      <x:c r="R107" s="34" t="n">
        <x:v>5.757930103544862e-8</x:v>
      </x:c>
      <x:c r="S107" s="34" t="n">
        <x:v>1.573942034760467e-7</x:v>
      </x:c>
      <x:c r="T107" s="34" t="n">
        <x:v>2.430551577989326e-7</x:v>
      </x:c>
      <x:c r="U107" s="34" t="n">
        <x:v>2.654000055557493e-7</x:v>
      </x:c>
      <x:c r="V107" s="34" t="n">
        <x:v>2.542275816773409e-7</x:v>
      </x:c>
      <x:c r="W107" s="34" t="n">
        <x:v>4.244305496919898e-7</x:v>
      </x:c>
      <x:c r="X107" s="34" t="n">
        <x:v>3.79268325273463e-7</x:v>
      </x:c>
      <x:c r="Y107" s="34" t="n">
        <x:v>3.79268325273463e-7</x:v>
      </x:c>
      <x:c r="Z107" s="28" t="n">
        <x:v>2022</x:v>
      </x:c>
      <x:c r="AA107" s="19" t="str">
        <x:v>AVAILABLE</x:v>
      </x:c>
      <x:c r="AB107" s="19" t="str">
        <x:v>AVAILABLE</x:v>
      </x:c>
      <x:c r="AC107" s="46" t="str">
        <x:v>Climate/temperature-linked lexical frequency; still not evidence of reception, voice, or affect without passage review.</x:v>
      </x:c>
    </x:row>
    <x:row r="108" ht="23" customHeight="1">
      <x:c r="A108" s="18" t="str">
        <x:v>FT-Q-V01-104</x:v>
      </x:c>
      <x:c r="B108" s="31" t="str">
        <x:v>somewhat worried</x:v>
      </x:c>
      <x:c r="C108" s="19" t="str">
        <x:v>participant worry endorsement</x:v>
      </x:c>
      <x:c r="D108" s="19" t="str">
        <x:v>worry</x:v>
      </x:c>
      <x:c r="E108" s="19" t="str">
        <x:v>C</x:v>
      </x:c>
      <x:c r="F108" s="31" t="str">
        <x:v>EXECUTABLE_NGRAM</x:v>
      </x:c>
      <x:c r="G108" s="19" t="str">
        <x:v>CONTEXT_REQUIRED</x:v>
      </x:c>
      <x:c r="H108" s="19" t="str">
        <x:v>eng</x:v>
      </x:c>
      <x:c r="I108" s="19" t="str">
        <x:v>current English corpus (July 2024 dataset; public shorthand eng; mutable current corpus)</x:v>
      </x:c>
      <x:c r="J108" s="19" t="str">
        <x:v>1842</x:v>
      </x:c>
      <x:c r="K108" s="19" t="str">
        <x:v>2022</x:v>
      </x:c>
      <x:c r="L108" s="28" t="n">
        <x:v>1842</x:v>
      </x:c>
      <x:c r="M108" s="28" t="n">
        <x:v>172</x:v>
      </x:c>
      <x:c r="N108" s="28" t="n">
        <x:v>2020</x:v>
      </x:c>
      <x:c r="O108" s="34" t="n">
        <x:v>1.002190667918901e-7</x:v>
      </x:c>
      <x:c r="P108" s="28" t="n">
        <x:v>1.698810697670083e-8</x:v>
      </x:c>
      <x:c r="Q108" s="34" t="n">
        <x:v>1.289976681029259e-9</x:v>
      </x:c>
      <x:c r="R108" s="34" t="n">
        <x:v>1.046896380696438e-8</x:v>
      </x:c>
      <x:c r="S108" s="34" t="n">
        <x:v>8.686541097535638e-9</x:v>
      </x:c>
      <x:c r="T108" s="34" t="n">
        <x:v>1.190324738775672e-8</x:v>
      </x:c>
      <x:c r="U108" s="34" t="n">
        <x:v>1.241321874456691e-8</x:v>
      </x:c>
      <x:c r="V108" s="34" t="n">
        <x:v>1.215823306616182e-8</x:v>
      </x:c>
      <x:c r="W108" s="34" t="n">
        <x:v>1.569197416104173e-8</x:v>
      </x:c>
      <x:c r="X108" s="34" t="n">
        <x:v>1.698810697670083e-8</x:v>
      </x:c>
      <x:c r="Y108" s="34" t="n">
        <x:v>1.698810697670083e-8</x:v>
      </x:c>
      <x:c r="Z108" s="28" t="n">
        <x:v>2022</x:v>
      </x:c>
      <x:c r="AA108" s="19" t="str">
        <x:v>AVAILABLE</x:v>
      </x:c>
      <x:c r="AB108" s="19" t="str">
        <x:v>AVAILABLE</x:v>
      </x:c>
      <x:c r="AC108" s="46" t="str">
        <x:v>Climate/temperature-linked lexical frequency; still not evidence of reception, voice, or affect without passage review.</x:v>
      </x:c>
    </x:row>
    <x:row r="109" ht="23" customHeight="1">
      <x:c r="A109" s="18" t="str">
        <x:v>FT-Q-V01-105</x:v>
      </x:c>
      <x:c r="B109" s="31" t="str">
        <x:v>afraid</x:v>
      </x:c>
      <x:c r="C109" s="19" t="str">
        <x:v>participant afraid endorsement</x:v>
      </x:c>
      <x:c r="D109" s="19" t="str">
        <x:v>fear_afraid</x:v>
      </x:c>
      <x:c r="E109" s="19" t="str">
        <x:v>C</x:v>
      </x:c>
      <x:c r="F109" s="31" t="str">
        <x:v>BACKGROUND_AMBIGUOUS</x:v>
      </x:c>
      <x:c r="G109" s="19" t="str">
        <x:v>BACKGROUND_AMBIGUOUS</x:v>
      </x:c>
      <x:c r="H109" s="19" t="str">
        <x:v>eng</x:v>
      </x:c>
      <x:c r="I109" s="19" t="str">
        <x:v>current English corpus (July 2024 dataset; public shorthand eng; mutable current corpus)</x:v>
      </x:c>
      <x:c r="J109" s="19" t="str">
        <x:v>1842</x:v>
      </x:c>
      <x:c r="K109" s="19" t="str">
        <x:v>2022</x:v>
      </x:c>
      <x:c r="L109" s="28" t="n">
        <x:v>1842</x:v>
      </x:c>
      <x:c r="M109" s="28" t="n">
        <x:v>181</x:v>
      </x:c>
      <x:c r="N109" s="28" t="n">
        <x:v>2020</x:v>
      </x:c>
      <x:c r="O109" s="34" t="n">
        <x:v>0.00007990909915633893</x:v>
      </x:c>
      <x:c r="P109" s="28" t="n">
        <x:v>0.00004233809789883428</x:v>
      </x:c>
      <x:c r="Q109" s="34" t="n">
        <x:v>0.00002212168256576774</x:v>
      </x:c>
      <x:c r="R109" s="34" t="n">
        <x:v>0.00001400559003883473</x:v>
      </x:c>
      <x:c r="S109" s="34" t="n">
        <x:v>0.0000109846374348882</x:v>
      </x:c>
      <x:c r="T109" s="34" t="n">
        <x:v>0.00001976880774634537</x:v>
      </x:c>
      <x:c r="U109" s="34" t="n">
        <x:v>0.00002159649101456107</x:v>
      </x:c>
      <x:c r="V109" s="34" t="n">
        <x:v>0.00002068264938045322</x:v>
      </x:c>
      <x:c r="W109" s="34" t="n">
        <x:v>0.00004288384451456295</x:v>
      </x:c>
      <x:c r="X109" s="34" t="n">
        <x:v>0.00004233809789883428</x:v>
      </x:c>
      <x:c r="Y109" s="34" t="n">
        <x:v>0.00004233809789883428</x:v>
      </x:c>
      <x:c r="Z109" s="28" t="n">
        <x:v>2022</x:v>
      </x:c>
      <x:c r="AA109" s="19" t="str">
        <x:v>AVAILABLE</x:v>
      </x:c>
      <x:c r="AB109" s="19" t="str">
        <x:v>AVAILABLE</x:v>
      </x:c>
      <x:c r="AC109" s="46" t="str">
        <x:v>Generic corpus string frequency; not climate-specific semantic frequency.</x:v>
      </x:c>
    </x:row>
    <x:row r="110" ht="23" customHeight="1">
      <x:c r="A110" s="18" t="str">
        <x:v>FT-Q-V01-106</x:v>
      </x:c>
      <x:c r="B110" s="31" t="str">
        <x:v>anxious</x:v>
      </x:c>
      <x:c r="C110" s="19" t="str">
        <x:v>anxious affect</x:v>
      </x:c>
      <x:c r="D110" s="19" t="str">
        <x:v>anxiety</x:v>
      </x:c>
      <x:c r="E110" s="19" t="str">
        <x:v>C</x:v>
      </x:c>
      <x:c r="F110" s="31" t="str">
        <x:v>EXECUTABLE_NGRAM</x:v>
      </x:c>
      <x:c r="G110" s="19" t="str">
        <x:v>CONTEXT_REQUIRED</x:v>
      </x:c>
      <x:c r="H110" s="19" t="str">
        <x:v>eng</x:v>
      </x:c>
      <x:c r="I110" s="19" t="str">
        <x:v>current English corpus (July 2024 dataset; public shorthand eng; mutable current corpus)</x:v>
      </x:c>
      <x:c r="J110" s="19" t="str">
        <x:v>1842</x:v>
      </x:c>
      <x:c r="K110" s="19" t="str">
        <x:v>2022</x:v>
      </x:c>
      <x:c r="L110" s="28" t="n">
        <x:v>1842</x:v>
      </x:c>
      <x:c r="M110" s="28" t="n">
        <x:v>181</x:v>
      </x:c>
      <x:c r="N110" s="28" t="n">
        <x:v>1844</x:v>
      </x:c>
      <x:c r="O110" s="34" t="n">
        <x:v>0.00004193757599324499</x:v>
      </x:c>
      <x:c r="P110" s="28" t="n">
        <x:v>0.00001753054791498593</x:v>
      </x:c>
      <x:c r="Q110" s="34" t="n">
        <x:v>0.00003869925836497146</x:v>
      </x:c>
      <x:c r="R110" s="34" t="n">
        <x:v>0.00001130616075784019</x:v>
      </x:c>
      <x:c r="S110" s="34" t="n">
        <x:v>0.000006107358935025786</x:v>
      </x:c>
      <x:c r="T110" s="34" t="n">
        <x:v>0.000008508186313434252</x:v>
      </x:c>
      <x:c r="U110" s="34" t="n">
        <x:v>0.000009368124114672582</x:v>
      </x:c>
      <x:c r="V110" s="34" t="n">
        <x:v>0.000008938155214053417</x:v>
      </x:c>
      <x:c r="W110" s="34" t="n">
        <x:v>0.00001482205210834309</x:v>
      </x:c>
      <x:c r="X110" s="34" t="n">
        <x:v>0.00001753054791498593</x:v>
      </x:c>
      <x:c r="Y110" s="34" t="n">
        <x:v>0.00001753054791498593</x:v>
      </x:c>
      <x:c r="Z110" s="28" t="n">
        <x:v>2022</x:v>
      </x:c>
      <x:c r="AA110" s="19" t="str">
        <x:v>AVAILABLE</x:v>
      </x:c>
      <x:c r="AB110" s="19" t="str">
        <x:v>AVAILABLE</x:v>
      </x:c>
      <x:c r="AC110" s="46" t="str">
        <x:v>Climate/temperature-linked lexical frequency; still not evidence of reception, voice, or affect without passage review.</x:v>
      </x:c>
    </x:row>
    <x:row r="111" ht="23" customHeight="1">
      <x:c r="A111" s="18" t="str">
        <x:v>FT-Q-V01-107</x:v>
      </x:c>
      <x:c r="B111" s="31" t="str">
        <x:v>hopeless</x:v>
      </x:c>
      <x:c r="C111" s="19" t="str">
        <x:v>depressed affect</x:v>
      </x:c>
      <x:c r="D111" s="19" t="str">
        <x:v>distress_depression</x:v>
      </x:c>
      <x:c r="E111" s="19" t="str">
        <x:v>C</x:v>
      </x:c>
      <x:c r="F111" s="31" t="str">
        <x:v>EXECUTABLE_NGRAM</x:v>
      </x:c>
      <x:c r="G111" s="19" t="str">
        <x:v>CONTEXT_REQUIRED</x:v>
      </x:c>
      <x:c r="H111" s="19" t="str">
        <x:v>eng</x:v>
      </x:c>
      <x:c r="I111" s="19" t="str">
        <x:v>current English corpus (July 2024 dataset; public shorthand eng; mutable current corpus)</x:v>
      </x:c>
      <x:c r="J111" s="19" t="str">
        <x:v>1842</x:v>
      </x:c>
      <x:c r="K111" s="19" t="str">
        <x:v>2022</x:v>
      </x:c>
      <x:c r="L111" s="28" t="n">
        <x:v>1842</x:v>
      </x:c>
      <x:c r="M111" s="28" t="n">
        <x:v>181</x:v>
      </x:c>
      <x:c r="N111" s="28" t="n">
        <x:v>1848</x:v>
      </x:c>
      <x:c r="O111" s="34" t="n">
        <x:v>0.000008843983238193687</x:v>
      </x:c>
      <x:c r="P111" s="28" t="n">
        <x:v>0.000004716772487256549</x:v>
      </x:c>
      <x:c r="Q111" s="34" t="n">
        <x:v>0.0000077498279829058</x:v>
      </x:c>
      <x:c r="R111" s="34" t="n">
        <x:v>0.000003078077401852397</x:v>
      </x:c>
      <x:c r="S111" s="34" t="n">
        <x:v>0.000001574195990450278</x:v>
      </x:c>
      <x:c r="T111" s="34" t="n">
        <x:v>0.000002366883613547088</x:v>
      </x:c>
      <x:c r="U111" s="34" t="n">
        <x:v>0.000002603596225725369</x:v>
      </x:c>
      <x:c r="V111" s="34" t="n">
        <x:v>0.000002485239919636228</x:v>
      </x:c>
      <x:c r="W111" s="34" t="n">
        <x:v>0.000004200327168746298</x:v>
      </x:c>
      <x:c r="X111" s="34" t="n">
        <x:v>0.000004716772487256549</x:v>
      </x:c>
      <x:c r="Y111" s="34" t="n">
        <x:v>0.000004716772487256549</x:v>
      </x:c>
      <x:c r="Z111" s="28" t="n">
        <x:v>2022</x:v>
      </x:c>
      <x:c r="AA111" s="19" t="str">
        <x:v>AVAILABLE</x:v>
      </x:c>
      <x:c r="AB111" s="19" t="str">
        <x:v>AVAILABLE</x:v>
      </x:c>
      <x:c r="AC111" s="46" t="str">
        <x:v>Climate/temperature-linked lexical frequency; still not evidence of reception, voice, or affect without passage review.</x:v>
      </x:c>
    </x:row>
    <x:row r="112" ht="23" customHeight="1">
      <x:c r="A112" s="18" t="str">
        <x:v>FT-Q-V01-108</x:v>
      </x:c>
      <x:c r="B112" s="31" t="str">
        <x:v>sad</x:v>
      </x:c>
      <x:c r="C112" s="19" t="str">
        <x:v>depressed affect</x:v>
      </x:c>
      <x:c r="D112" s="19" t="str">
        <x:v>distress_depression</x:v>
      </x:c>
      <x:c r="E112" s="19" t="str">
        <x:v>C</x:v>
      </x:c>
      <x:c r="F112" s="31" t="str">
        <x:v>EXECUTABLE_NGRAM</x:v>
      </x:c>
      <x:c r="G112" s="19" t="str">
        <x:v>CONTEXT_REQUIRED</x:v>
      </x:c>
      <x:c r="H112" s="19" t="str">
        <x:v>eng</x:v>
      </x:c>
      <x:c r="I112" s="19" t="str">
        <x:v>current English corpus (July 2024 dataset; public shorthand eng; mutable current corpus)</x:v>
      </x:c>
      <x:c r="J112" s="19" t="str">
        <x:v>1842</x:v>
      </x:c>
      <x:c r="K112" s="19" t="str">
        <x:v>2022</x:v>
      </x:c>
      <x:c r="L112" s="28" t="n">
        <x:v>1842</x:v>
      </x:c>
      <x:c r="M112" s="28" t="n">
        <x:v>181</x:v>
      </x:c>
      <x:c r="N112" s="28" t="n">
        <x:v>1850</x:v>
      </x:c>
      <x:c r="O112" s="34" t="n">
        <x:v>0.00003509316660199602</x:v>
      </x:c>
      <x:c r="P112" s="28" t="n">
        <x:v>0.00002540873449891415</x:v>
      </x:c>
      <x:c r="Q112" s="34" t="n">
        <x:v>0.00002810681350240429</x:v>
      </x:c>
      <x:c r="R112" s="34" t="n">
        <x:v>0.000007116686279312612</x:v>
      </x:c>
      <x:c r="S112" s="34" t="n">
        <x:v>0.000007082451503964693</x:v>
      </x:c>
      <x:c r="T112" s="34" t="n">
        <x:v>0.00001270232452813339</x:v>
      </x:c>
      <x:c r="U112" s="34" t="n">
        <x:v>0.00001357899595096079</x:v>
      </x:c>
      <x:c r="V112" s="34" t="n">
        <x:v>0.00001314066023954709</x:v>
      </x:c>
      <x:c r="W112" s="34" t="n">
        <x:v>0.00002244314198969477</x:v>
      </x:c>
      <x:c r="X112" s="34" t="n">
        <x:v>0.00002540873449891415</x:v>
      </x:c>
      <x:c r="Y112" s="34" t="n">
        <x:v>0.00002540873449891415</x:v>
      </x:c>
      <x:c r="Z112" s="28" t="n">
        <x:v>2022</x:v>
      </x:c>
      <x:c r="AA112" s="19" t="str">
        <x:v>AVAILABLE</x:v>
      </x:c>
      <x:c r="AB112" s="19" t="str">
        <x:v>AVAILABLE</x:v>
      </x:c>
      <x:c r="AC112" s="46" t="str">
        <x:v>Climate/temperature-linked lexical frequency; still not evidence of reception, voice, or affect without passage review.</x:v>
      </x:c>
    </x:row>
    <x:row r="113" ht="23" customHeight="1">
      <x:c r="A113" s="18" t="str">
        <x:v>FT-Q-V01-109</x:v>
      </x:c>
      <x:c r="B113" s="31" t="str">
        <x:v>angry</x:v>
      </x:c>
      <x:c r="C113" s="19" t="str">
        <x:v>depressed affect</x:v>
      </x:c>
      <x:c r="D113" s="19" t="str">
        <x:v>distress_depression</x:v>
      </x:c>
      <x:c r="E113" s="19" t="str">
        <x:v>C</x:v>
      </x:c>
      <x:c r="F113" s="31" t="str">
        <x:v>EXECUTABLE_NGRAM</x:v>
      </x:c>
      <x:c r="G113" s="19" t="str">
        <x:v>CONTEXT_REQUIRED</x:v>
      </x:c>
      <x:c r="H113" s="19" t="str">
        <x:v>eng</x:v>
      </x:c>
      <x:c r="I113" s="19" t="str">
        <x:v>current English corpus (July 2024 dataset; public shorthand eng; mutable current corpus)</x:v>
      </x:c>
      <x:c r="J113" s="19" t="str">
        <x:v>1842</x:v>
      </x:c>
      <x:c r="K113" s="19" t="str">
        <x:v>2022</x:v>
      </x:c>
      <x:c r="L113" s="28" t="n">
        <x:v>1842</x:v>
      </x:c>
      <x:c r="M113" s="28" t="n">
        <x:v>181</x:v>
      </x:c>
      <x:c r="N113" s="28" t="n">
        <x:v>2020</x:v>
      </x:c>
      <x:c r="O113" s="34" t="n">
        <x:v>0.00005484382637632734</x:v>
      </x:c>
      <x:c r="P113" s="28" t="n">
        <x:v>0.00003134844381236235</x:v>
      </x:c>
      <x:c r="Q113" s="34" t="n">
        <x:v>0.00001486580042708852</x:v>
      </x:c>
      <x:c r="R113" s="34" t="n">
        <x:v>0.000004559940654402794</x:v>
      </x:c>
      <x:c r="S113" s="34" t="n">
        <x:v>0.00000751778329544095</x:v>
      </x:c>
      <x:c r="T113" s="34" t="n">
        <x:v>0.0000153830203544203</x:v>
      </x:c>
      <x:c r="U113" s="34" t="n">
        <x:v>0.00001647590850950564</x:v>
      </x:c>
      <x:c r="V113" s="34" t="n">
        <x:v>0.00001592946443196297</x:v>
      </x:c>
      <x:c r="W113" s="34" t="n">
        <x:v>0.00003206412924328106</x:v>
      </x:c>
      <x:c r="X113" s="34" t="n">
        <x:v>0.00003134844381236235</x:v>
      </x:c>
      <x:c r="Y113" s="34" t="n">
        <x:v>0.00003134844381236235</x:v>
      </x:c>
      <x:c r="Z113" s="28" t="n">
        <x:v>2022</x:v>
      </x:c>
      <x:c r="AA113" s="19" t="str">
        <x:v>AVAILABLE</x:v>
      </x:c>
      <x:c r="AB113" s="19" t="str">
        <x:v>AVAILABLE</x:v>
      </x:c>
      <x:c r="AC113" s="46" t="str">
        <x:v>Climate/temperature-linked lexical frequency; still not evidence of reception, voice, or affect without passage review.</x:v>
      </x:c>
    </x:row>
    <x:row r="114" ht="23" customHeight="1">
      <x:c r="A114" s="18" t="str">
        <x:v>FT-Q-V01-110</x:v>
      </x:c>
      <x:c r="B114" s="31" t="str">
        <x:v>frustrated</x:v>
      </x:c>
      <x:c r="C114" s="19" t="str">
        <x:v>depressed affect</x:v>
      </x:c>
      <x:c r="D114" s="19" t="str">
        <x:v>distress_depression</x:v>
      </x:c>
      <x:c r="E114" s="19" t="str">
        <x:v>C</x:v>
      </x:c>
      <x:c r="F114" s="31" t="str">
        <x:v>EXECUTABLE_NGRAM</x:v>
      </x:c>
      <x:c r="G114" s="19" t="str">
        <x:v>CONTEXT_REQUIRED</x:v>
      </x:c>
      <x:c r="H114" s="19" t="str">
        <x:v>eng</x:v>
      </x:c>
      <x:c r="I114" s="19" t="str">
        <x:v>current English corpus (July 2024 dataset; public shorthand eng; mutable current corpus)</x:v>
      </x:c>
      <x:c r="J114" s="19" t="str">
        <x:v>1842</x:v>
      </x:c>
      <x:c r="K114" s="19" t="str">
        <x:v>2022</x:v>
      </x:c>
      <x:c r="L114" s="28" t="n">
        <x:v>1842</x:v>
      </x:c>
      <x:c r="M114" s="28" t="n">
        <x:v>181</x:v>
      </x:c>
      <x:c r="N114" s="28" t="n">
        <x:v>2015</x:v>
      </x:c>
      <x:c r="O114" s="34" t="n">
        <x:v>0.000008185089514611832</x:v>
      </x:c>
      <x:c r="P114" s="28" t="n">
        <x:v>0.000007597455986996238</x:v>
      </x:c>
      <x:c r="Q114" s="34" t="n">
        <x:v>0.000002472158670219216</x:v>
      </x:c>
      <x:c r="R114" s="34" t="n">
        <x:v>9.431432204110024e-7</x:v>
      </x:c>
      <x:c r="S114" s="34" t="n">
        <x:v>0.000003289961124863794</x:v>
      </x:c>
      <x:c r="T114" s="34" t="n">
        <x:v>0.000005059109890126479</x:v>
      </x:c>
      <x:c r="U114" s="34" t="n">
        <x:v>0.000005217783510147456</x:v>
      </x:c>
      <x:c r="V114" s="34" t="n">
        <x:v>0.000005138446700136967</x:v>
      </x:c>
      <x:c r="W114" s="34" t="n">
        <x:v>0.000008185089514611832</x:v>
      </x:c>
      <x:c r="X114" s="34" t="n">
        <x:v>0.000007597455986996238</x:v>
      </x:c>
      <x:c r="Y114" s="34" t="n">
        <x:v>0.000007597455986996238</x:v>
      </x:c>
      <x:c r="Z114" s="28" t="n">
        <x:v>2022</x:v>
      </x:c>
      <x:c r="AA114" s="19" t="str">
        <x:v>AVAILABLE</x:v>
      </x:c>
      <x:c r="AB114" s="19" t="str">
        <x:v>AVAILABLE</x:v>
      </x:c>
      <x:c r="AC114" s="46" t="str">
        <x:v>Climate/temperature-linked lexical frequency; still not evidence of reception, voice, or affect without passage review.</x:v>
      </x:c>
    </x:row>
    <x:row r="115" ht="23" customHeight="1">
      <x:c r="A115" s="18" t="str">
        <x:v>FT-Q-V01-111</x:v>
      </x:c>
      <x:c r="B115" s="31" t="str">
        <x:v>hopeful</x:v>
      </x:c>
      <x:c r="C115" s="19" t="str">
        <x:v>personal concern</x:v>
      </x:c>
      <x:c r="D115" s="19" t="str">
        <x:v>concern_alarm</x:v>
      </x:c>
      <x:c r="E115" s="19" t="str">
        <x:v>C</x:v>
      </x:c>
      <x:c r="F115" s="31" t="str">
        <x:v>EXECUTABLE_NGRAM</x:v>
      </x:c>
      <x:c r="G115" s="19" t="str">
        <x:v>CONTEXT_REQUIRED</x:v>
      </x:c>
      <x:c r="H115" s="19" t="str">
        <x:v>eng</x:v>
      </x:c>
      <x:c r="I115" s="19" t="str">
        <x:v>current English corpus (July 2024 dataset; public shorthand eng; mutable current corpus)</x:v>
      </x:c>
      <x:c r="J115" s="19" t="str">
        <x:v>1842</x:v>
      </x:c>
      <x:c r="K115" s="19" t="str">
        <x:v>2022</x:v>
      </x:c>
      <x:c r="L115" s="28" t="n">
        <x:v>1842</x:v>
      </x:c>
      <x:c r="M115" s="28" t="n">
        <x:v>181</x:v>
      </x:c>
      <x:c r="N115" s="28" t="n">
        <x:v>1862</x:v>
      </x:c>
      <x:c r="O115" s="34" t="n">
        <x:v>0.000005405065621744143</x:v>
      </x:c>
      <x:c r="P115" s="28" t="n">
        <x:v>0.000004994718922901598</x:v>
      </x:c>
      <x:c r="Q115" s="34" t="n">
        <x:v>0.000002357188563451018</x:v>
      </x:c>
      <x:c r="R115" s="34" t="n">
        <x:v>0.000003194065403278046</x:v>
      </x:c>
      <x:c r="S115" s="34" t="n">
        <x:v>0.000002021741480007222</x:v>
      </x:c>
      <x:c r="T115" s="34" t="n">
        <x:v>0.000002639803955872821</x:v>
      </x:c>
      <x:c r="U115" s="34" t="n">
        <x:v>0.000002804317349003327</x:v>
      </x:c>
      <x:c r="V115" s="34" t="n">
        <x:v>0.000002722060652438074</x:v>
      </x:c>
      <x:c r="W115" s="34" t="n">
        <x:v>0.000004381402916919797</x:v>
      </x:c>
      <x:c r="X115" s="34" t="n">
        <x:v>0.000004994718922901598</x:v>
      </x:c>
      <x:c r="Y115" s="34" t="n">
        <x:v>0.000004994718922901598</x:v>
      </x:c>
      <x:c r="Z115" s="28" t="n">
        <x:v>2022</x:v>
      </x:c>
      <x:c r="AA115" s="19" t="str">
        <x:v>AVAILABLE</x:v>
      </x:c>
      <x:c r="AB115" s="19" t="str">
        <x:v>AVAILABLE</x:v>
      </x:c>
      <x:c r="AC115" s="46" t="str">
        <x:v>Climate/temperature-linked lexical frequency; still not evidence of reception, voice, or affect without passage review.</x:v>
      </x:c>
    </x:row>
    <x:row r="116" ht="23" customHeight="1">
      <x:c r="A116" s="18" t="str">
        <x:v>FT-Q-V01-112</x:v>
      </x:c>
      <x:c r="B116" s="31" t="str">
        <x:v>disgusted</x:v>
      </x:c>
      <x:c r="C116" s="19" t="str">
        <x:v>depressed affect</x:v>
      </x:c>
      <x:c r="D116" s="19" t="str">
        <x:v>distress_depression</x:v>
      </x:c>
      <x:c r="E116" s="19" t="str">
        <x:v>C</x:v>
      </x:c>
      <x:c r="F116" s="31" t="str">
        <x:v>EXECUTABLE_NGRAM</x:v>
      </x:c>
      <x:c r="G116" s="19" t="str">
        <x:v>CONTEXT_REQUIRED</x:v>
      </x:c>
      <x:c r="H116" s="19" t="str">
        <x:v>eng</x:v>
      </x:c>
      <x:c r="I116" s="19" t="str">
        <x:v>current English corpus (July 2024 dataset; public shorthand eng; mutable current corpus)</x:v>
      </x:c>
      <x:c r="J116" s="19" t="str">
        <x:v>1842</x:v>
      </x:c>
      <x:c r="K116" s="19" t="str">
        <x:v>2022</x:v>
      </x:c>
      <x:c r="L116" s="28" t="n">
        <x:v>1842</x:v>
      </x:c>
      <x:c r="M116" s="28" t="n">
        <x:v>181</x:v>
      </x:c>
      <x:c r="N116" s="28" t="n">
        <x:v>2020</x:v>
      </x:c>
      <x:c r="O116" s="34" t="n">
        <x:v>0.000003836883327501539</x:v>
      </x:c>
      <x:c r="P116" s="28" t="n">
        <x:v>0.000002543607640959067</x:v>
      </x:c>
      <x:c r="Q116" s="34" t="n">
        <x:v>0.000002792127986595005</x:v>
      </x:c>
      <x:c r="R116" s="34" t="n">
        <x:v>8.480208872896355e-7</x:v>
      </x:c>
      <x:c r="S116" s="34" t="n">
        <x:v>5.909761447986384e-7</x:v>
      </x:c>
      <x:c r="T116" s="34" t="n">
        <x:v>0.000001171719041792585</x:v>
      </x:c>
      <x:c r="U116" s="34" t="n">
        <x:v>0.000001319191128779096</x:v>
      </x:c>
      <x:c r="V116" s="34" t="n">
        <x:v>0.00000124545508528584</x:v>
      </x:c>
      <x:c r="W116" s="34" t="n">
        <x:v>0.000002510783113862658</x:v>
      </x:c>
      <x:c r="X116" s="34" t="n">
        <x:v>0.000002543607640959067</x:v>
      </x:c>
      <x:c r="Y116" s="34" t="n">
        <x:v>0.000002543607640959067</x:v>
      </x:c>
      <x:c r="Z116" s="28" t="n">
        <x:v>2022</x:v>
      </x:c>
      <x:c r="AA116" s="19" t="str">
        <x:v>AVAILABLE</x:v>
      </x:c>
      <x:c r="AB116" s="19" t="str">
        <x:v>AVAILABLE</x:v>
      </x:c>
      <x:c r="AC116" s="46" t="str">
        <x:v>Climate/temperature-linked lexical frequency; still not evidence of reception, voice, or affect without passage review.</x:v>
      </x:c>
    </x:row>
    <x:row r="117" ht="23" customHeight="1">
      <x:c r="A117" s="18" t="str">
        <x:v>FT-Q-V01-113</x:v>
      </x:c>
      <x:c r="B117" s="31" t="str">
        <x:v>outraged</x:v>
      </x:c>
      <x:c r="C117" s="19" t="str">
        <x:v>depressed affect</x:v>
      </x:c>
      <x:c r="D117" s="19" t="str">
        <x:v>distress_depression</x:v>
      </x:c>
      <x:c r="E117" s="19" t="str">
        <x:v>C</x:v>
      </x:c>
      <x:c r="F117" s="31" t="str">
        <x:v>EXECUTABLE_NGRAM</x:v>
      </x:c>
      <x:c r="G117" s="19" t="str">
        <x:v>CONTEXT_REQUIRED</x:v>
      </x:c>
      <x:c r="H117" s="19" t="str">
        <x:v>eng</x:v>
      </x:c>
      <x:c r="I117" s="19" t="str">
        <x:v>current English corpus (July 2024 dataset; public shorthand eng; mutable current corpus)</x:v>
      </x:c>
      <x:c r="J117" s="19" t="str">
        <x:v>1842</x:v>
      </x:c>
      <x:c r="K117" s="19" t="str">
        <x:v>2022</x:v>
      </x:c>
      <x:c r="L117" s="28" t="n">
        <x:v>1842</x:v>
      </x:c>
      <x:c r="M117" s="28" t="n">
        <x:v>181</x:v>
      </x:c>
      <x:c r="N117" s="28" t="n">
        <x:v>2014</x:v>
      </x:c>
      <x:c r="O117" s="34" t="n">
        <x:v>0.000002010090121018493</x:v>
      </x:c>
      <x:c r="P117" s="28" t="n">
        <x:v>0.00000170548937417081</x:v>
      </x:c>
      <x:c r="Q117" s="34" t="n">
        <x:v>0.000001254328481969935</x:v>
      </x:c>
      <x:c r="R117" s="34" t="n">
        <x:v>6.021347390694487e-7</x:v>
      </x:c>
      <x:c r="S117" s="34" t="n">
        <x:v>8.586316730951893e-7</x:v>
      </x:c>
      <x:c r="T117" s="34" t="n">
        <x:v>0.00000127507472225119</x:v>
      </x:c>
      <x:c r="U117" s="34" t="n">
        <x:v>0.000001373316791397627</x:v>
      </x:c>
      <x:c r="V117" s="34" t="n">
        <x:v>0.000001324195756824409</x:v>
      </x:c>
      <x:c r="W117" s="34" t="n">
        <x:v>0.000001949325438399541</x:v>
      </x:c>
      <x:c r="X117" s="34" t="n">
        <x:v>0.00000170548937417081</x:v>
      </x:c>
      <x:c r="Y117" s="34" t="n">
        <x:v>0.00000170548937417081</x:v>
      </x:c>
      <x:c r="Z117" s="28" t="n">
        <x:v>2022</x:v>
      </x:c>
      <x:c r="AA117" s="19" t="str">
        <x:v>AVAILABLE</x:v>
      </x:c>
      <x:c r="AB117" s="19" t="str">
        <x:v>AVAILABLE</x:v>
      </x:c>
      <x:c r="AC117" s="46" t="str">
        <x:v>Climate/temperature-linked lexical frequency; still not evidence of reception, voice, or affect without passage review.</x:v>
      </x:c>
    </x:row>
    <x:row r="118" ht="23" customHeight="1">
      <x:c r="A118" s="18" t="str">
        <x:v>FT-Q-V01-114</x:v>
      </x:c>
      <x:c r="B118" s="31" t="str">
        <x:v>depressed</x:v>
      </x:c>
      <x:c r="C118" s="19" t="str">
        <x:v>depressed affect</x:v>
      </x:c>
      <x:c r="D118" s="19" t="str">
        <x:v>distress_depression</x:v>
      </x:c>
      <x:c r="E118" s="19" t="str">
        <x:v>C</x:v>
      </x:c>
      <x:c r="F118" s="31" t="str">
        <x:v>BACKGROUND_AMBIGUOUS</x:v>
      </x:c>
      <x:c r="G118" s="19" t="str">
        <x:v>BACKGROUND_AMBIGUOUS</x:v>
      </x:c>
      <x:c r="H118" s="19" t="str">
        <x:v>eng</x:v>
      </x:c>
      <x:c r="I118" s="19" t="str">
        <x:v>current English corpus (July 2024 dataset; public shorthand eng; mutable current corpus)</x:v>
      </x:c>
      <x:c r="J118" s="19" t="str">
        <x:v>1842</x:v>
      </x:c>
      <x:c r="K118" s="19" t="str">
        <x:v>2022</x:v>
      </x:c>
      <x:c r="L118" s="28" t="n">
        <x:v>1842</x:v>
      </x:c>
      <x:c r="M118" s="28" t="n">
        <x:v>181</x:v>
      </x:c>
      <x:c r="N118" s="28" t="n">
        <x:v>1843</x:v>
      </x:c>
      <x:c r="O118" s="34" t="n">
        <x:v>0.00001112499241706644</x:v>
      </x:c>
      <x:c r="P118" s="28" t="n">
        <x:v>0.000006592711166319987</x:v>
      </x:c>
      <x:c r="Q118" s="34" t="n">
        <x:v>0.000009307701199112728</x:v>
      </x:c>
      <x:c r="R118" s="34" t="n">
        <x:v>0.000006043337837269291</x:v>
      </x:c>
      <x:c r="S118" s="34" t="n">
        <x:v>0.000007711703084112287</x:v>
      </x:c>
      <x:c r="T118" s="34" t="n">
        <x:v>0.000006793051444020648</x:v>
      </x:c>
      <x:c r="U118" s="34" t="n">
        <x:v>0.000007274933071954592</x:v>
      </x:c>
      <x:c r="V118" s="34" t="n">
        <x:v>0.00000703399225798762</x:v>
      </x:c>
      <x:c r="W118" s="34" t="n">
        <x:v>0.000007909356614987928</x:v>
      </x:c>
      <x:c r="X118" s="34" t="n">
        <x:v>0.000006592711166319987</x:v>
      </x:c>
      <x:c r="Y118" s="34" t="n">
        <x:v>0.000006592711166319987</x:v>
      </x:c>
      <x:c r="Z118" s="28" t="n">
        <x:v>2022</x:v>
      </x:c>
      <x:c r="AA118" s="19" t="str">
        <x:v>AVAILABLE</x:v>
      </x:c>
      <x:c r="AB118" s="19" t="str">
        <x:v>AVAILABLE</x:v>
      </x:c>
      <x:c r="AC118" s="46" t="str">
        <x:v>Generic corpus string frequency; not climate-specific semantic frequency.</x:v>
      </x:c>
    </x:row>
    <x:row r="119" ht="23" customHeight="1">
      <x:c r="A119" s="18" t="str">
        <x:v>FT-Q-V01-115</x:v>
      </x:c>
      <x:c r="B119" s="31" t="str">
        <x:v>symptoms of anxiety</x:v>
      </x:c>
      <x:c r="C119" s="19" t="str">
        <x:v>anxiety symptom measure</x:v>
      </x:c>
      <x:c r="D119" s="19" t="str">
        <x:v>anxiety</x:v>
      </x:c>
      <x:c r="E119" s="19" t="str">
        <x:v>C</x:v>
      </x:c>
      <x:c r="F119" s="31" t="str">
        <x:v>EXECUTABLE_NGRAM</x:v>
      </x:c>
      <x:c r="G119" s="19" t="str">
        <x:v>CONTEXT_REQUIRED</x:v>
      </x:c>
      <x:c r="H119" s="19" t="str">
        <x:v>eng</x:v>
      </x:c>
      <x:c r="I119" s="19" t="str">
        <x:v>current English corpus (July 2024 dataset; public shorthand eng; mutable current corpus)</x:v>
      </x:c>
      <x:c r="J119" s="19" t="str">
        <x:v>1842</x:v>
      </x:c>
      <x:c r="K119" s="19" t="str">
        <x:v>2022</x:v>
      </x:c>
      <x:c r="L119" s="28" t="n">
        <x:v>1842</x:v>
      </x:c>
      <x:c r="M119" s="28" t="n">
        <x:v>179</x:v>
      </x:c>
      <x:c r="N119" s="28" t="n">
        <x:v>2022</x:v>
      </x:c>
      <x:c r="O119" s="34" t="n">
        <x:v>1.926471570046218e-7</x:v>
      </x:c>
      <x:c r="P119" s="28" t="n">
        <x:v>1.926471570046218e-7</x:v>
      </x:c>
      <x:c r="Q119" s="34" t="n">
        <x:v>4.118266616615074e-9</x:v>
      </x:c>
      <x:c r="R119" s="34" t="n">
        <x:v>4.033755884869095e-9</x:v>
      </x:c>
      <x:c r="S119" s="34" t="n">
        <x:v>7.033237547915405e-8</x:v>
      </x:c>
      <x:c r="T119" s="34" t="n">
        <x:v>1.017628106780855e-7</x:v>
      </x:c>
      <x:c r="U119" s="34" t="n">
        <x:v>1.071436565580619e-7</x:v>
      </x:c>
      <x:c r="V119" s="34" t="n">
        <x:v>1.044532336180737e-7</x:v>
      </x:c>
      <x:c r="W119" s="34" t="n">
        <x:v>1.362641557159372e-7</x:v>
      </x:c>
      <x:c r="X119" s="34" t="n">
        <x:v>1.926471570046218e-7</x:v>
      </x:c>
      <x:c r="Y119" s="34" t="n">
        <x:v>1.926471570046218e-7</x:v>
      </x:c>
      <x:c r="Z119" s="28" t="n">
        <x:v>2022</x:v>
      </x:c>
      <x:c r="AA119" s="19" t="str">
        <x:v>AVAILABLE</x:v>
      </x:c>
      <x:c r="AB119" s="19" t="str">
        <x:v>AVAILABLE</x:v>
      </x:c>
      <x:c r="AC119" s="46" t="str">
        <x:v>Climate/temperature-linked lexical frequency; still not evidence of reception, voice, or affect without passage review.</x:v>
      </x:c>
    </x:row>
    <x:row r="120" ht="23" customHeight="1">
      <x:c r="A120" s="18" t="str">
        <x:v>FT-Q-V01-116</x:v>
      </x:c>
      <x:c r="B120" s="31" t="str">
        <x:v>climate anxiety</x:v>
      </x:c>
      <x:c r="C120" s="19" t="str">
        <x:v>climate anxiety research construct</x:v>
      </x:c>
      <x:c r="D120" s="19" t="str">
        <x:v>anxiety</x:v>
      </x:c>
      <x:c r="E120" s="19" t="str">
        <x:v>C</x:v>
      </x:c>
      <x:c r="F120" s="31" t="str">
        <x:v>EXECUTABLE_NGRAM</x:v>
      </x:c>
      <x:c r="G120" s="19" t="str">
        <x:v>CLIMATE_SPECIFIC</x:v>
      </x:c>
      <x:c r="H120" s="19" t="str">
        <x:v>eng</x:v>
      </x:c>
      <x:c r="I120" s="19" t="str">
        <x:v>current English corpus (July 2024 dataset; public shorthand eng; mutable current corpus)</x:v>
      </x:c>
      <x:c r="J120" s="19" t="str">
        <x:v>1842</x:v>
      </x:c>
      <x:c r="K120" s="19" t="str">
        <x:v>2022</x:v>
      </x:c>
      <x:c r="L120" s="28" t="n">
        <x:v>1972</x:v>
      </x:c>
      <x:c r="M120" s="28" t="n">
        <x:v>17</x:v>
      </x:c>
      <x:c r="N120" s="28" t="n">
        <x:v>2022</x:v>
      </x:c>
      <x:c r="O120" s="34" t="n">
        <x:v>3.579004737019886e-8</x:v>
      </x:c>
      <x:c r="P120" s="28" t="n">
        <x:v>3.579004737019886e-8</x:v>
      </x:c>
      <x:c r="Q120" s="34" t="n">
        <x:v>0</x:v>
      </x:c>
      <x:c r="R120" s="34" t="n">
        <x:v>0</x:v>
      </x:c>
      <x:c r="S120" s="34" t="n">
        <x:v>0</x:v>
      </x:c>
      <x:c r="T120" s="34" t="n">
        <x:v>0</x:v>
      </x:c>
      <x:c r="U120" s="34" t="n">
        <x:v>4.497542963055601e-11</x:v>
      </x:c>
      <x:c r="V120" s="34" t="n">
        <x:v>2.2487714815278e-11</x:v>
      </x:c>
      <x:c r="W120" s="34" t="n">
        <x:v>1.86809217400663e-10</x:v>
      </x:c>
      <x:c r="X120" s="34" t="n">
        <x:v>3.579004737019886e-8</x:v>
      </x:c>
      <x:c r="Y120" s="34" t="n">
        <x:v>3.579004737019886e-8</x:v>
      </x:c>
      <x:c r="Z120" s="28" t="n">
        <x:v>2022</x:v>
      </x:c>
      <x:c r="AA120" s="19" t="str">
        <x:v>AVAILABLE</x:v>
      </x:c>
      <x:c r="AB120" s="19" t="str">
        <x:v>AVAILABLE</x:v>
      </x:c>
      <x:c r="AC120" s="46" t="str">
        <x:v>Climate/temperature-linked lexical frequency; still not evidence of reception, voice, or affect without passage review.</x:v>
      </x:c>
    </x:row>
    <x:row r="121" ht="23" customHeight="1">
      <x:c r="A121" s="18" t="str">
        <x:v>FT-Q-V01-117</x:v>
      </x:c>
      <x:c r="B121" s="31" t="str">
        <x:v>eco-anxiety</x:v>
      </x:c>
      <x:c r="C121" s="19" t="str">
        <x:v>eco-anxiety research construct</x:v>
      </x:c>
      <x:c r="D121" s="19" t="str">
        <x:v>anxiety</x:v>
      </x:c>
      <x:c r="E121" s="19" t="str">
        <x:v>C</x:v>
      </x:c>
      <x:c r="F121" s="31" t="str">
        <x:v>EXECUTABLE_NGRAM</x:v>
      </x:c>
      <x:c r="G121" s="19" t="str">
        <x:v>CLIMATE_SPECIFIC</x:v>
      </x:c>
      <x:c r="H121" s="19" t="str">
        <x:v>eng</x:v>
      </x:c>
      <x:c r="I121" s="19" t="str">
        <x:v>current English corpus (July 2024 dataset; public shorthand eng; mutable current corpus)</x:v>
      </x:c>
      <x:c r="J121" s="19" t="str">
        <x:v>1842</x:v>
      </x:c>
      <x:c r="K121" s="19" t="str">
        <x:v>2022</x:v>
      </x:c>
      <x:c r="L121" s="28" t="n">
        <x:v>1901</x:v>
      </x:c>
      <x:c r="M121" s="28" t="n">
        <x:v>23</x:v>
      </x:c>
      <x:c r="N121" s="28" t="n">
        <x:v>2022</x:v>
      </x:c>
      <x:c r="O121" s="34" t="n">
        <x:v>5.496096178170262e-8</x:v>
      </x:c>
      <x:c r="P121" s="28" t="n">
        <x:v>5.496096178170262e-8</x:v>
      </x:c>
      <x:c r="Q121" s="34" t="n">
        <x:v>0</x:v>
      </x:c>
      <x:c r="R121" s="34" t="n">
        <x:v>0</x:v>
      </x:c>
      <x:c r="S121" s="34" t="n">
        <x:v>0</x:v>
      </x:c>
      <x:c r="T121" s="34" t="n">
        <x:v>4.954372329057932e-11</x:v>
      </x:c>
      <x:c r="U121" s="34" t="n">
        <x:v>7.774596660903299e-10</x:v>
      </x:c>
      <x:c r="V121" s="34" t="n">
        <x:v>4.135016946904546e-10</x:v>
      </x:c>
      <x:c r="W121" s="34" t="n">
        <x:v>8.997633402230143e-10</x:v>
      </x:c>
      <x:c r="X121" s="34" t="n">
        <x:v>5.496096178170262e-8</x:v>
      </x:c>
      <x:c r="Y121" s="34" t="n">
        <x:v>5.496096178170262e-8</x:v>
      </x:c>
      <x:c r="Z121" s="28" t="n">
        <x:v>2022</x:v>
      </x:c>
      <x:c r="AA121" s="19" t="str">
        <x:v>AVAILABLE</x:v>
      </x:c>
      <x:c r="AB121" s="19" t="str">
        <x:v>AVAILABLE</x:v>
      </x:c>
      <x:c r="AC121" s="46" t="str">
        <x:v>Climate/temperature-linked lexical frequency; still not evidence of reception, voice, or affect without passage review.</x:v>
      </x:c>
    </x:row>
    <x:row r="122" ht="23" customHeight="1">
      <x:c r="A122" s="18" t="str">
        <x:v>FT-Q-V01-118</x:v>
      </x:c>
      <x:c r="B122" s="31" t="str">
        <x:v>psychological distress</x:v>
      </x:c>
      <x:c r="C122" s="19" t="str">
        <x:v>psychological distress</x:v>
      </x:c>
      <x:c r="D122" s="19" t="str">
        <x:v>distress_depression</x:v>
      </x:c>
      <x:c r="E122" s="19" t="str">
        <x:v>C</x:v>
      </x:c>
      <x:c r="F122" s="31" t="str">
        <x:v>EXECUTABLE_NGRAM</x:v>
      </x:c>
      <x:c r="G122" s="19" t="str">
        <x:v>CONTEXT_REQUIRED</x:v>
      </x:c>
      <x:c r="H122" s="19" t="str">
        <x:v>eng</x:v>
      </x:c>
      <x:c r="I122" s="19" t="str">
        <x:v>current English corpus (July 2024 dataset; public shorthand eng; mutable current corpus)</x:v>
      </x:c>
      <x:c r="J122" s="19" t="str">
        <x:v>1842</x:v>
      </x:c>
      <x:c r="K122" s="19" t="str">
        <x:v>2022</x:v>
      </x:c>
      <x:c r="L122" s="28" t="n">
        <x:v>1886</x:v>
      </x:c>
      <x:c r="M122" s="28" t="n">
        <x:v>115</x:v>
      </x:c>
      <x:c r="N122" s="28" t="n">
        <x:v>2022</x:v>
      </x:c>
      <x:c r="O122" s="34" t="n">
        <x:v>8.442735095481879e-7</x:v>
      </x:c>
      <x:c r="P122" s="28" t="n">
        <x:v>8.442735095481879e-7</x:v>
      </x:c>
      <x:c r="Q122" s="34" t="n">
        <x:v>0</x:v>
      </x:c>
      <x:c r="R122" s="34" t="n">
        <x:v>6.682316922024256e-10</x:v>
      </x:c>
      <x:c r="S122" s="34" t="n">
        <x:v>1.915481164793675e-7</x:v>
      </x:c>
      <x:c r="T122" s="34" t="n">
        <x:v>4.426177031557899e-7</x:v>
      </x:c>
      <x:c r="U122" s="34" t="n">
        <x:v>3.763993797756271e-7</x:v>
      </x:c>
      <x:c r="V122" s="34" t="n">
        <x:v>4.095085414657085e-7</x:v>
      </x:c>
      <x:c r="W122" s="34" t="n">
        <x:v>4.692647605497591e-7</x:v>
      </x:c>
      <x:c r="X122" s="34" t="n">
        <x:v>8.442735095481879e-7</x:v>
      </x:c>
      <x:c r="Y122" s="34" t="n">
        <x:v>8.442735095481879e-7</x:v>
      </x:c>
      <x:c r="Z122" s="28" t="n">
        <x:v>2022</x:v>
      </x:c>
      <x:c r="AA122" s="19" t="str">
        <x:v>AVAILABLE</x:v>
      </x:c>
      <x:c r="AB122" s="19" t="str">
        <x:v>AVAILABLE</x:v>
      </x:c>
      <x:c r="AC122" s="46" t="str">
        <x:v>Climate/temperature-linked lexical frequency; still not evidence of reception, voice, or affect without passage review.</x:v>
      </x:c>
    </x:row>
    <x:row r="123" ht="23" customHeight="1">
      <x:c r="A123" s="18" t="str">
        <x:v>FT-Q-V01-119</x:v>
      </x:c>
      <x:c r="B123" s="31" t="str">
        <x:v>distress</x:v>
      </x:c>
      <x:c r="C123" s="19" t="str">
        <x:v>psychological distress</x:v>
      </x:c>
      <x:c r="D123" s="19" t="str">
        <x:v>distress_depression</x:v>
      </x:c>
      <x:c r="E123" s="19" t="str">
        <x:v>C</x:v>
      </x:c>
      <x:c r="F123" s="31" t="str">
        <x:v>BACKGROUND_AMBIGUOUS</x:v>
      </x:c>
      <x:c r="G123" s="19" t="str">
        <x:v>BACKGROUND_AMBIGUOUS</x:v>
      </x:c>
      <x:c r="H123" s="19" t="str">
        <x:v>eng</x:v>
      </x:c>
      <x:c r="I123" s="19" t="str">
        <x:v>current English corpus (July 2024 dataset; public shorthand eng; mutable current corpus)</x:v>
      </x:c>
      <x:c r="J123" s="19" t="str">
        <x:v>1842</x:v>
      </x:c>
      <x:c r="K123" s="19" t="str">
        <x:v>2022</x:v>
      </x:c>
      <x:c r="L123" s="28" t="n">
        <x:v>1842</x:v>
      </x:c>
      <x:c r="M123" s="28" t="n">
        <x:v>181</x:v>
      </x:c>
      <x:c r="N123" s="28" t="n">
        <x:v>1842</x:v>
      </x:c>
      <x:c r="O123" s="34" t="n">
        <x:v>0.0000452841779292612</x:v>
      </x:c>
      <x:c r="P123" s="28" t="n">
        <x:v>0.00001530569114294167</x:v>
      </x:c>
      <x:c r="Q123" s="34" t="n">
        <x:v>0.0000452841779292612</x:v>
      </x:c>
      <x:c r="R123" s="34" t="n">
        <x:v>0.000007339661380001417</x:v>
      </x:c>
      <x:c r="S123" s="34" t="n">
        <x:v>0.000008156161257488748</x:v>
      </x:c>
      <x:c r="T123" s="34" t="n">
        <x:v>0.00001067856989322991</x:v>
      </x:c>
      <x:c r="U123" s="34" t="n">
        <x:v>0.00001097895778201519</x:v>
      </x:c>
      <x:c r="V123" s="34" t="n">
        <x:v>0.00001082876383762255</x:v>
      </x:c>
      <x:c r="W123" s="34" t="n">
        <x:v>0.00001367328086843145</x:v>
      </x:c>
      <x:c r="X123" s="34" t="n">
        <x:v>0.00001530569114294167</x:v>
      </x:c>
      <x:c r="Y123" s="34" t="n">
        <x:v>0.00001530569114294167</x:v>
      </x:c>
      <x:c r="Z123" s="28" t="n">
        <x:v>2022</x:v>
      </x:c>
      <x:c r="AA123" s="19" t="str">
        <x:v>AVAILABLE</x:v>
      </x:c>
      <x:c r="AB123" s="19" t="str">
        <x:v>AVAILABLE</x:v>
      </x:c>
      <x:c r="AC123" s="46" t="str">
        <x:v>Generic corpus string frequency; not climate-specific semantic frequency.</x:v>
      </x:c>
    </x:row>
    <x:row r="124" ht="23" customHeight="1">
      <x:c r="A124" s="18" t="str">
        <x:v>FT-Q-V01-120</x:v>
      </x:c>
      <x:c r="B124" s="31" t="str">
        <x:v>powerlessness</x:v>
      </x:c>
      <x:c r="C124" s="19" t="str">
        <x:v>depressed affect</x:v>
      </x:c>
      <x:c r="D124" s="19" t="str">
        <x:v>distress_depression</x:v>
      </x:c>
      <x:c r="E124" s="19" t="str">
        <x:v>C</x:v>
      </x:c>
      <x:c r="F124" s="31" t="str">
        <x:v>EXECUTABLE_NGRAM</x:v>
      </x:c>
      <x:c r="G124" s="19" t="str">
        <x:v>CONTEXT_REQUIRED</x:v>
      </x:c>
      <x:c r="H124" s="19" t="str">
        <x:v>eng</x:v>
      </x:c>
      <x:c r="I124" s="19" t="str">
        <x:v>current English corpus (July 2024 dataset; public shorthand eng; mutable current corpus)</x:v>
      </x:c>
      <x:c r="J124" s="19" t="str">
        <x:v>1842</x:v>
      </x:c>
      <x:c r="K124" s="19" t="str">
        <x:v>2022</x:v>
      </x:c>
      <x:c r="L124" s="28" t="n">
        <x:v>1842</x:v>
      </x:c>
      <x:c r="M124" s="28" t="n">
        <x:v>181</x:v>
      </x:c>
      <x:c r="N124" s="28" t="n">
        <x:v>2016</x:v>
      </x:c>
      <x:c r="O124" s="34" t="n">
        <x:v>9.903161126700866e-7</x:v>
      </x:c>
      <x:c r="P124" s="28" t="n">
        <x:v>8.604735197703661e-7</x:v>
      </x:c>
      <x:c r="Q124" s="34" t="n">
        <x:v>4.805623099457534e-8</x:v>
      </x:c>
      <x:c r="R124" s="34" t="n">
        <x:v>4.725432958818665e-8</x:v>
      </x:c>
      <x:c r="S124" s="34" t="n">
        <x:v>5.816229462496381e-7</x:v>
      </x:c>
      <x:c r="T124" s="34" t="n">
        <x:v>7.747634387378355e-7</x:v>
      </x:c>
      <x:c r="U124" s="34" t="n">
        <x:v>7.41349112098888e-7</x:v>
      </x:c>
      <x:c r="V124" s="34" t="n">
        <x:v>7.580562754183617e-7</x:v>
      </x:c>
      <x:c r="W124" s="34" t="n">
        <x:v>8.678666019168446e-7</x:v>
      </x:c>
      <x:c r="X124" s="34" t="n">
        <x:v>8.604735197703661e-7</x:v>
      </x:c>
      <x:c r="Y124" s="34" t="n">
        <x:v>8.604735197703661e-7</x:v>
      </x:c>
      <x:c r="Z124" s="28" t="n">
        <x:v>2022</x:v>
      </x:c>
      <x:c r="AA124" s="19" t="str">
        <x:v>AVAILABLE</x:v>
      </x:c>
      <x:c r="AB124" s="19" t="str">
        <x:v>AVAILABLE</x:v>
      </x:c>
      <x:c r="AC124" s="46" t="str">
        <x:v>Climate/temperature-linked lexical frequency; still not evidence of reception, voice, or affect without passage review.</x:v>
      </x:c>
    </x:row>
    <x:row r="125" ht="23" customHeight="1">
      <x:c r="A125" s="18" t="str">
        <x:v>FT-Q-V01-121</x:v>
      </x:c>
      <x:c r="B125" s="31" t="str">
        <x:v>climatic change</x:v>
      </x:c>
      <x:c r="C125" s="19" t="str">
        <x:v>historical climatic change</x:v>
      </x:c>
      <x:c r="D125" s="19" t="str">
        <x:v>climate</x:v>
      </x:c>
      <x:c r="E125" s="19" t="str">
        <x:v>B</x:v>
      </x:c>
      <x:c r="F125" s="31" t="str">
        <x:v>EXECUTABLE_NGRAM</x:v>
      </x:c>
      <x:c r="G125" s="19" t="str">
        <x:v>CLIMATE_SPECIFIC</x:v>
      </x:c>
      <x:c r="H125" s="19" t="str">
        <x:v>eng</x:v>
      </x:c>
      <x:c r="I125" s="19" t="str">
        <x:v>current English corpus (July 2024 dataset; public shorthand eng; mutable current corpus)</x:v>
      </x:c>
      <x:c r="J125" s="19" t="str">
        <x:v>1842</x:v>
      </x:c>
      <x:c r="K125" s="19" t="str">
        <x:v>2022</x:v>
      </x:c>
      <x:c r="L125" s="28" t="n">
        <x:v>1844</x:v>
      </x:c>
      <x:c r="M125" s="28" t="n">
        <x:v>178</x:v>
      </x:c>
      <x:c r="N125" s="28" t="n">
        <x:v>1990</x:v>
      </x:c>
      <x:c r="O125" s="34" t="n">
        <x:v>0.000001085340898890341</x:v>
      </x:c>
      <x:c r="P125" s="28" t="n">
        <x:v>3.561308840049904e-7</x:v>
      </x:c>
      <x:c r="Q125" s="34" t="n">
        <x:v>0</x:v>
      </x:c>
      <x:c r="R125" s="34" t="n">
        <x:v>5.535186192728858e-8</x:v>
      </x:c>
      <x:c r="S125" s="34" t="n">
        <x:v>6.100814835992285e-7</x:v>
      </x:c>
      <x:c r="T125" s="34" t="n">
        <x:v>3.489940754372589e-7</x:v>
      </x:c>
      <x:c r="U125" s="34" t="n">
        <x:v>3.570599467934976e-7</x:v>
      </x:c>
      <x:c r="V125" s="34" t="n">
        <x:v>3.530270111153783e-7</x:v>
      </x:c>
      <x:c r="W125" s="34" t="n">
        <x:v>3.089357515362323e-7</x:v>
      </x:c>
      <x:c r="X125" s="34" t="n">
        <x:v>3.561308840049904e-7</x:v>
      </x:c>
      <x:c r="Y125" s="34" t="n">
        <x:v>3.561308840049904e-7</x:v>
      </x:c>
      <x:c r="Z125" s="28" t="n">
        <x:v>2022</x:v>
      </x:c>
      <x:c r="AA125" s="19" t="str">
        <x:v>AVAILABLE</x:v>
      </x:c>
      <x:c r="AB125" s="19" t="str">
        <x:v>AVAILABLE</x:v>
      </x:c>
      <x:c r="AC125" s="46" t="str">
        <x:v>Climate/temperature-linked lexical frequency; still not evidence of reception, voice, or affect without passage review.</x:v>
      </x:c>
    </x:row>
    <x:row r="126" ht="23" customHeight="1">
      <x:c r="A126" s="18" t="str">
        <x:v>FT-Q-V01-122</x:v>
      </x:c>
      <x:c r="B126" s="31" t="str">
        <x:v>climate system</x:v>
      </x:c>
      <x:c r="C126" s="19" t="str">
        <x:v>climate system</x:v>
      </x:c>
      <x:c r="D126" s="19" t="str">
        <x:v>climate</x:v>
      </x:c>
      <x:c r="E126" s="19" t="str">
        <x:v>B</x:v>
      </x:c>
      <x:c r="F126" s="31" t="str">
        <x:v>EXECUTABLE_NGRAM</x:v>
      </x:c>
      <x:c r="G126" s="19" t="str">
        <x:v>CLIMATE_SPECIFIC</x:v>
      </x:c>
      <x:c r="H126" s="19" t="str">
        <x:v>eng</x:v>
      </x:c>
      <x:c r="I126" s="19" t="str">
        <x:v>current English corpus (July 2024 dataset; public shorthand eng; mutable current corpus)</x:v>
      </x:c>
      <x:c r="J126" s="19" t="str">
        <x:v>1842</x:v>
      </x:c>
      <x:c r="K126" s="19" t="str">
        <x:v>2022</x:v>
      </x:c>
      <x:c r="L126" s="28" t="n">
        <x:v>1843</x:v>
      </x:c>
      <x:c r="M126" s="28" t="n">
        <x:v>108</x:v>
      </x:c>
      <x:c r="N126" s="28" t="n">
        <x:v>2013</x:v>
      </x:c>
      <x:c r="O126" s="34" t="n">
        <x:v>4.202323069524283e-7</x:v>
      </x:c>
      <x:c r="P126" s="28" t="n">
        <x:v>2.992826562686624e-7</x:v>
      </x:c>
      <x:c r="Q126" s="34" t="n">
        <x:v>0</x:v>
      </x:c>
      <x:c r="R126" s="34" t="n">
        <x:v>6.682317199580012e-10</x:v>
      </x:c>
      <x:c r="S126" s="34" t="n">
        <x:v>1.403666166632789e-7</x:v>
      </x:c>
      <x:c r="T126" s="34" t="n">
        <x:v>2.739578170152246e-7</x:v>
      </x:c>
      <x:c r="U126" s="34" t="n">
        <x:v>3.127591374774141e-7</x:v>
      </x:c>
      <x:c r="V126" s="34" t="n">
        <x:v>2.933584772463194e-7</x:v>
      </x:c>
      <x:c r="W126" s="34" t="n">
        <x:v>2.867988619925654e-7</x:v>
      </x:c>
      <x:c r="X126" s="34" t="n">
        <x:v>2.992826562686624e-7</x:v>
      </x:c>
      <x:c r="Y126" s="34" t="n">
        <x:v>2.992826562686624e-7</x:v>
      </x:c>
      <x:c r="Z126" s="28" t="n">
        <x:v>2022</x:v>
      </x:c>
      <x:c r="AA126" s="19" t="str">
        <x:v>AVAILABLE</x:v>
      </x:c>
      <x:c r="AB126" s="19" t="str">
        <x:v>AVAILABLE</x:v>
      </x:c>
      <x:c r="AC126" s="46" t="str">
        <x:v>Climate/temperature-linked lexical frequency; still not evidence of reception, voice, or affect without passage review.</x:v>
      </x:c>
    </x:row>
    <x:row r="127" ht="23" customHeight="1">
      <x:c r="A127" s="18" t="str">
        <x:v>FT-Q-V01-123</x:v>
      </x:c>
      <x:c r="B127" s="31" t="str">
        <x:v>climate crisis</x:v>
      </x:c>
      <x:c r="C127" s="19" t="str">
        <x:v>climate crisis issue label</x:v>
      </x:c>
      <x:c r="D127" s="19" t="str">
        <x:v>crisis_emergency</x:v>
      </x:c>
      <x:c r="E127" s="19" t="str">
        <x:v>D</x:v>
      </x:c>
      <x:c r="F127" s="31" t="str">
        <x:v>EXECUTABLE_NGRAM</x:v>
      </x:c>
      <x:c r="G127" s="19" t="str">
        <x:v>CLIMATE_SPECIFIC</x:v>
      </x:c>
      <x:c r="H127" s="19" t="str">
        <x:v>eng</x:v>
      </x:c>
      <x:c r="I127" s="19" t="str">
        <x:v>current English corpus (July 2024 dataset; public shorthand eng; mutable current corpus)</x:v>
      </x:c>
      <x:c r="J127" s="19" t="str">
        <x:v>1842</x:v>
      </x:c>
      <x:c r="K127" s="19" t="str">
        <x:v>2022</x:v>
      </x:c>
      <x:c r="L127" s="28" t="n">
        <x:v>1867</x:v>
      </x:c>
      <x:c r="M127" s="28" t="n">
        <x:v>69</x:v>
      </x:c>
      <x:c r="N127" s="28" t="n">
        <x:v>2022</x:v>
      </x:c>
      <x:c r="O127" s="34" t="n">
        <x:v>9.38814122442011e-7</x:v>
      </x:c>
      <x:c r="P127" s="28" t="n">
        <x:v>9.38814122442011e-7</x:v>
      </x:c>
      <x:c r="Q127" s="34" t="n">
        <x:v>0</x:v>
      </x:c>
      <x:c r="R127" s="34" t="n">
        <x:v>0</x:v>
      </x:c>
      <x:c r="S127" s="34" t="n">
        <x:v>1.974213945099557e-9</x:v>
      </x:c>
      <x:c r="T127" s="34" t="n">
        <x:v>1.721392753339934e-8</x:v>
      </x:c>
      <x:c r="U127" s="34" t="n">
        <x:v>4.511035556209464e-8</x:v>
      </x:c>
      <x:c r="V127" s="34" t="n">
        <x:v>3.116214154774699e-8</x:v>
      </x:c>
      <x:c r="W127" s="34" t="n">
        <x:v>8.700639558822942e-8</x:v>
      </x:c>
      <x:c r="X127" s="34" t="n">
        <x:v>9.38814122442011e-7</x:v>
      </x:c>
      <x:c r="Y127" s="34" t="n">
        <x:v>9.38814122442011e-7</x:v>
      </x:c>
      <x:c r="Z127" s="28" t="n">
        <x:v>2022</x:v>
      </x:c>
      <x:c r="AA127" s="19" t="str">
        <x:v>AVAILABLE</x:v>
      </x:c>
      <x:c r="AB127" s="19" t="str">
        <x:v>AVAILABLE</x:v>
      </x:c>
      <x:c r="AC127" s="46" t="str">
        <x:v>Climate/temperature-linked lexical frequency; still not evidence of reception, voice, or affect without passage review.</x:v>
      </x:c>
    </x:row>
    <x:row r="128" ht="23" customHeight="1">
      <x:c r="A128" s="18" t="str">
        <x:v>FT-Q-V01-124</x:v>
      </x:c>
      <x:c r="B128" s="31" t="str">
        <x:v>climate emergency</x:v>
      </x:c>
      <x:c r="C128" s="19" t="str">
        <x:v>climate emergency frame / declaration</x:v>
      </x:c>
      <x:c r="D128" s="19" t="str">
        <x:v>crisis_emergency</x:v>
      </x:c>
      <x:c r="E128" s="19" t="str">
        <x:v>D</x:v>
      </x:c>
      <x:c r="F128" s="31" t="str">
        <x:v>EXECUTABLE_NGRAM</x:v>
      </x:c>
      <x:c r="G128" s="19" t="str">
        <x:v>CLIMATE_SPECIFIC</x:v>
      </x:c>
      <x:c r="H128" s="19" t="str">
        <x:v>eng</x:v>
      </x:c>
      <x:c r="I128" s="19" t="str">
        <x:v>current English corpus (July 2024 dataset; public shorthand eng; mutable current corpus)</x:v>
      </x:c>
      <x:c r="J128" s="19" t="str">
        <x:v>1842</x:v>
      </x:c>
      <x:c r="K128" s="19" t="str">
        <x:v>2022</x:v>
      </x:c>
      <x:c r="L128" s="28" t="n">
        <x:v>1846</x:v>
      </x:c>
      <x:c r="M128" s="28" t="n">
        <x:v>45</x:v>
      </x:c>
      <x:c r="N128" s="28" t="n">
        <x:v>2022</x:v>
      </x:c>
      <x:c r="O128" s="34" t="n">
        <x:v>2.626078123846298e-7</x:v>
      </x:c>
      <x:c r="P128" s="28" t="n">
        <x:v>2.626078123846298e-7</x:v>
      </x:c>
      <x:c r="Q128" s="34" t="n">
        <x:v>0</x:v>
      </x:c>
      <x:c r="R128" s="34" t="n">
        <x:v>0</x:v>
      </x:c>
      <x:c r="S128" s="34" t="n">
        <x:v>0</x:v>
      </x:c>
      <x:c r="T128" s="34" t="n">
        <x:v>4.578172285718551e-10</x:v>
      </x:c>
      <x:c r="U128" s="34" t="n">
        <x:v>1.079410283377769e-9</x:v>
      </x:c>
      <x:c r="V128" s="34" t="n">
        <x:v>7.686137559748119e-10</x:v>
      </x:c>
      <x:c r="W128" s="34" t="n">
        <x:v>6.398215714187305e-9</x:v>
      </x:c>
      <x:c r="X128" s="34" t="n">
        <x:v>2.626078123846298e-7</x:v>
      </x:c>
      <x:c r="Y128" s="34" t="n">
        <x:v>2.626078123846298e-7</x:v>
      </x:c>
      <x:c r="Z128" s="28" t="n">
        <x:v>2022</x:v>
      </x:c>
      <x:c r="AA128" s="19" t="str">
        <x:v>AVAILABLE</x:v>
      </x:c>
      <x:c r="AB128" s="19" t="str">
        <x:v>AVAILABLE</x:v>
      </x:c>
      <x:c r="AC128" s="46" t="str">
        <x:v>Climate/temperature-linked lexical frequency; still not evidence of reception, voice, or affect without passage review.</x:v>
      </x:c>
    </x:row>
    <x:row r="129" ht="23" customHeight="1">
      <x:c r="A129" s="18" t="str">
        <x:v>FT-Q-V01-125</x:v>
      </x:c>
      <x:c r="B129" s="31" t="str">
        <x:v>heat</x:v>
      </x:c>
      <x:c r="C129" s="19" t="str">
        <x:v>physical heat source / state</x:v>
      </x:c>
      <x:c r="D129" s="19" t="str">
        <x:v>heat</x:v>
      </x:c>
      <x:c r="E129" s="19" t="str">
        <x:v>A</x:v>
      </x:c>
      <x:c r="F129" s="31" t="str">
        <x:v>BACKGROUND_AMBIGUOUS</x:v>
      </x:c>
      <x:c r="G129" s="19" t="str">
        <x:v>BACKGROUND_AMBIGUOUS</x:v>
      </x:c>
      <x:c r="H129" s="19" t="str">
        <x:v>eng</x:v>
      </x:c>
      <x:c r="I129" s="19" t="str">
        <x:v>current English corpus (July 2024 dataset; public shorthand eng; mutable current corpus)</x:v>
      </x:c>
      <x:c r="J129" s="19" t="str">
        <x:v>1842</x:v>
      </x:c>
      <x:c r="K129" s="19" t="str">
        <x:v>2022</x:v>
      </x:c>
      <x:c r="L129" s="28" t="n">
        <x:v>1842</x:v>
      </x:c>
      <x:c r="M129" s="28" t="n">
        <x:v>181</x:v>
      </x:c>
      <x:c r="N129" s="28" t="n">
        <x:v>1962</x:v>
      </x:c>
      <x:c r="O129" s="34" t="n">
        <x:v>0.0001195692521719638</x:v>
      </x:c>
      <x:c r="P129" s="28" t="n">
        <x:v>0.00008563693643673723</x:v>
      </x:c>
      <x:c r="Q129" s="34" t="n">
        <x:v>0.00007384357303408251</x:v>
      </x:c>
      <x:c r="R129" s="34" t="n">
        <x:v>0.00008523965218273921</x:v>
      </x:c>
      <x:c r="S129" s="34" t="n">
        <x:v>0.00008679989608225552</x:v>
      </x:c>
      <x:c r="T129" s="34" t="n">
        <x:v>0.00006360847071413406</x:v>
      </x:c>
      <x:c r="U129" s="34" t="n">
        <x:v>0.00006960987830585685</x:v>
      </x:c>
      <x:c r="V129" s="34" t="n">
        <x:v>0.00006660917450999546</x:v>
      </x:c>
      <x:c r="W129" s="34" t="n">
        <x:v>0.00008562833311283324</x:v>
      </x:c>
      <x:c r="X129" s="34" t="n">
        <x:v>0.00008563693643673723</x:v>
      </x:c>
      <x:c r="Y129" s="34" t="n">
        <x:v>0.00008563693643673723</x:v>
      </x:c>
      <x:c r="Z129" s="28" t="n">
        <x:v>2022</x:v>
      </x:c>
      <x:c r="AA129" s="19" t="str">
        <x:v>AVAILABLE</x:v>
      </x:c>
      <x:c r="AB129" s="19" t="str">
        <x:v>AVAILABLE</x:v>
      </x:c>
      <x:c r="AC129" s="46" t="str">
        <x:v>Generic corpus string frequency; not climate-specific semantic frequency.</x:v>
      </x:c>
    </x:row>
    <x:row r="130" ht="23" customHeight="1">
      <x:c r="A130" s="18" t="str">
        <x:v>FT-Q-V01-126</x:v>
      </x:c>
      <x:c r="B130" s="31" t="str">
        <x:v>extreme heat</x:v>
      </x:c>
      <x:c r="C130" s="19" t="str">
        <x:v>extreme-heat hazard</x:v>
      </x:c>
      <x:c r="D130" s="19" t="str">
        <x:v>heat</x:v>
      </x:c>
      <x:c r="E130" s="19" t="str">
        <x:v>A</x:v>
      </x:c>
      <x:c r="F130" s="31" t="str">
        <x:v>EXECUTABLE_NGRAM</x:v>
      </x:c>
      <x:c r="G130" s="19" t="str">
        <x:v>CLIMATE_SPECIFIC</x:v>
      </x:c>
      <x:c r="H130" s="19" t="str">
        <x:v>eng</x:v>
      </x:c>
      <x:c r="I130" s="19" t="str">
        <x:v>current English corpus (July 2024 dataset; public shorthand eng; mutable current corpus)</x:v>
      </x:c>
      <x:c r="J130" s="19" t="str">
        <x:v>1842</x:v>
      </x:c>
      <x:c r="K130" s="19" t="str">
        <x:v>2022</x:v>
      </x:c>
      <x:c r="L130" s="28" t="n">
        <x:v>1842</x:v>
      </x:c>
      <x:c r="M130" s="28" t="n">
        <x:v>181</x:v>
      </x:c>
      <x:c r="N130" s="28" t="n">
        <x:v>1846</x:v>
      </x:c>
      <x:c r="O130" s="34" t="n">
        <x:v>4.326385322217519e-7</x:v>
      </x:c>
      <x:c r="P130" s="28" t="n">
        <x:v>3.640498242307721e-7</x:v>
      </x:c>
      <x:c r="Q130" s="34" t="n">
        <x:v>3.295890467214235e-7</x:v>
      </x:c>
      <x:c r="R130" s="34" t="n">
        <x:v>1.961260114313745e-7</x:v>
      </x:c>
      <x:c r="S130" s="34" t="n">
        <x:v>1.261029182117457e-7</x:v>
      </x:c>
      <x:c r="T130" s="34" t="n">
        <x:v>1.71086288733302e-7</x:v>
      </x:c>
      <x:c r="U130" s="34" t="n">
        <x:v>1.790471816642825e-7</x:v>
      </x:c>
      <x:c r="V130" s="34" t="n">
        <x:v>1.750667351987922e-7</x:v>
      </x:c>
      <x:c r="W130" s="34" t="n">
        <x:v>2.309896030561198e-7</x:v>
      </x:c>
      <x:c r="X130" s="34" t="n">
        <x:v>3.640498242307721e-7</x:v>
      </x:c>
      <x:c r="Y130" s="34" t="n">
        <x:v>3.640498242307721e-7</x:v>
      </x:c>
      <x:c r="Z130" s="28" t="n">
        <x:v>2022</x:v>
      </x:c>
      <x:c r="AA130" s="19" t="str">
        <x:v>AVAILABLE</x:v>
      </x:c>
      <x:c r="AB130" s="19" t="str">
        <x:v>AVAILABLE</x:v>
      </x:c>
      <x:c r="AC130" s="46" t="str">
        <x:v>Climate/temperature-linked lexical frequency; still not evidence of reception, voice, or affect without passage review.</x:v>
      </x:c>
    </x:row>
    <x:row r="131" ht="23" customHeight="1">
      <x:c r="A131" s="18" t="str">
        <x:v>FT-Q-V01-127</x:v>
      </x:c>
      <x:c r="B131" s="31" t="str">
        <x:v>fear</x:v>
      </x:c>
      <x:c r="C131" s="19" t="str">
        <x:v>direct fear</x:v>
      </x:c>
      <x:c r="D131" s="19" t="str">
        <x:v>fear_afraid</x:v>
      </x:c>
      <x:c r="E131" s="19" t="str">
        <x:v>C</x:v>
      </x:c>
      <x:c r="F131" s="31" t="str">
        <x:v>BACKGROUND_AMBIGUOUS</x:v>
      </x:c>
      <x:c r="G131" s="19" t="str">
        <x:v>BACKGROUND_AMBIGUOUS</x:v>
      </x:c>
      <x:c r="H131" s="19" t="str">
        <x:v>eng</x:v>
      </x:c>
      <x:c r="I131" s="19" t="str">
        <x:v>current English corpus (July 2024 dataset; public shorthand eng; mutable current corpus)</x:v>
      </x:c>
      <x:c r="J131" s="19" t="str">
        <x:v>1842</x:v>
      </x:c>
      <x:c r="K131" s="19" t="str">
        <x:v>2022</x:v>
      </x:c>
      <x:c r="L131" s="28" t="n">
        <x:v>1842</x:v>
      </x:c>
      <x:c r="M131" s="28" t="n">
        <x:v>181</x:v>
      </x:c>
      <x:c r="N131" s="28" t="n">
        <x:v>1850</x:v>
      </x:c>
      <x:c r="O131" s="34" t="n">
        <x:v>0.0001042104346993256</x:v>
      </x:c>
      <x:c r="P131" s="28" t="n">
        <x:v>0.00008766914891196811</x:v>
      </x:c>
      <x:c r="Q131" s="34" t="n">
        <x:v>0.00009290729823874244</x:v>
      </x:c>
      <x:c r="R131" s="34" t="n">
        <x:v>0.00002982965392561709</x:v>
      </x:c>
      <x:c r="S131" s="34" t="n">
        <x:v>0.00003016979552554824</x:v>
      </x:c>
      <x:c r="T131" s="34" t="n">
        <x:v>0.00005018035645446006</x:v>
      </x:c>
      <x:c r="U131" s="34" t="n">
        <x:v>0.00005328952276396903</x:v>
      </x:c>
      <x:c r="V131" s="34" t="n">
        <x:v>0.00005173493960921455</x:v>
      </x:c>
      <x:c r="W131" s="34" t="n">
        <x:v>0.0000853677230498312</x:v>
      </x:c>
      <x:c r="X131" s="34" t="n">
        <x:v>0.00008766914891196811</x:v>
      </x:c>
      <x:c r="Y131" s="34" t="n">
        <x:v>0.00008766914891196811</x:v>
      </x:c>
      <x:c r="Z131" s="28" t="n">
        <x:v>2022</x:v>
      </x:c>
      <x:c r="AA131" s="19" t="str">
        <x:v>AVAILABLE</x:v>
      </x:c>
      <x:c r="AB131" s="19" t="str">
        <x:v>AVAILABLE</x:v>
      </x:c>
      <x:c r="AC131" s="46" t="str">
        <x:v>Generic corpus string frequency; not climate-specific semantic frequency.</x:v>
      </x:c>
    </x:row>
    <x:row r="132" ht="23" customHeight="1">
      <x:c r="A132" s="18" t="str">
        <x:v>FT-Q-V01-128</x:v>
      </x:c>
      <x:c r="B132" s="31" t="str">
        <x:v>worry</x:v>
      </x:c>
      <x:c r="C132" s="19" t="str">
        <x:v>spontaneous worry</x:v>
      </x:c>
      <x:c r="D132" s="19" t="str">
        <x:v>worry</x:v>
      </x:c>
      <x:c r="E132" s="19" t="str">
        <x:v>C</x:v>
      </x:c>
      <x:c r="F132" s="31" t="str">
        <x:v>BACKGROUND_AMBIGUOUS</x:v>
      </x:c>
      <x:c r="G132" s="19" t="str">
        <x:v>BACKGROUND_AMBIGUOUS</x:v>
      </x:c>
      <x:c r="H132" s="19" t="str">
        <x:v>eng</x:v>
      </x:c>
      <x:c r="I132" s="19" t="str">
        <x:v>current English corpus (July 2024 dataset; public shorthand eng; mutable current corpus)</x:v>
      </x:c>
      <x:c r="J132" s="19" t="str">
        <x:v>1842</x:v>
      </x:c>
      <x:c r="K132" s="19" t="str">
        <x:v>2022</x:v>
      </x:c>
      <x:c r="L132" s="28" t="n">
        <x:v>1842</x:v>
      </x:c>
      <x:c r="M132" s="28" t="n">
        <x:v>181</x:v>
      </x:c>
      <x:c r="N132" s="28" t="n">
        <x:v>2020</x:v>
      </x:c>
      <x:c r="O132" s="34" t="n">
        <x:v>0.00006196994795857821</x:v>
      </x:c>
      <x:c r="P132" s="28" t="n">
        <x:v>0.00003846438818300157</x:v>
      </x:c>
      <x:c r="Q132" s="34" t="n">
        <x:v>4.805623241566082e-7</x:v>
      </x:c>
      <x:c r="R132" s="34" t="n">
        <x:v>0.000007171509579961821</x:v>
      </x:c>
      <x:c r="S132" s="34" t="n">
        <x:v>0.000008552264262107201</x:v>
      </x:c>
      <x:c r="T132" s="34" t="n">
        <x:v>0.00001784828057793675</x:v>
      </x:c>
      <x:c r="U132" s="34" t="n">
        <x:v>0.00001894994632323233</x:v>
      </x:c>
      <x:c r="V132" s="34" t="n">
        <x:v>0.00001839911345058454</x:v>
      </x:c>
      <x:c r="W132" s="34" t="n">
        <x:v>0.00003979197197168105</x:v>
      </x:c>
      <x:c r="X132" s="34" t="n">
        <x:v>0.00003846438818300157</x:v>
      </x:c>
      <x:c r="Y132" s="34" t="n">
        <x:v>0.00003846438818300157</x:v>
      </x:c>
      <x:c r="Z132" s="28" t="n">
        <x:v>2022</x:v>
      </x:c>
      <x:c r="AA132" s="19" t="str">
        <x:v>AVAILABLE</x:v>
      </x:c>
      <x:c r="AB132" s="19" t="str">
        <x:v>AVAILABLE</x:v>
      </x:c>
      <x:c r="AC132" s="46" t="str">
        <x:v>Generic corpus string frequency; not climate-specific semantic frequency.</x:v>
      </x:c>
    </x:row>
    <x:row r="133" ht="23" customHeight="1">
      <x:c r="A133" s="18" t="str">
        <x:v>FT-Q-V01-129</x:v>
      </x:c>
      <x:c r="B133" s="31" t="str">
        <x:v>worried</x:v>
      </x:c>
      <x:c r="C133" s="19" t="str">
        <x:v>spontaneous worry</x:v>
      </x:c>
      <x:c r="D133" s="19" t="str">
        <x:v>worry</x:v>
      </x:c>
      <x:c r="E133" s="19" t="str">
        <x:v>C</x:v>
      </x:c>
      <x:c r="F133" s="31" t="str">
        <x:v>BACKGROUND_AMBIGUOUS</x:v>
      </x:c>
      <x:c r="G133" s="19" t="str">
        <x:v>BACKGROUND_AMBIGUOUS</x:v>
      </x:c>
      <x:c r="H133" s="19" t="str">
        <x:v>eng</x:v>
      </x:c>
      <x:c r="I133" s="19" t="str">
        <x:v>current English corpus (July 2024 dataset; public shorthand eng; mutable current corpus)</x:v>
      </x:c>
      <x:c r="J133" s="19" t="str">
        <x:v>1842</x:v>
      </x:c>
      <x:c r="K133" s="19" t="str">
        <x:v>2022</x:v>
      </x:c>
      <x:c r="L133" s="28" t="n">
        <x:v>1842</x:v>
      </x:c>
      <x:c r="M133" s="28" t="n">
        <x:v>181</x:v>
      </x:c>
      <x:c r="N133" s="28" t="n">
        <x:v>2020</x:v>
      </x:c>
      <x:c r="O133" s="34" t="n">
        <x:v>0.00004567738176319835</x:v>
      </x:c>
      <x:c r="P133" s="28" t="n">
        <x:v>0.00002789063478303433</x:v>
      </x:c>
      <x:c r="Q133" s="34" t="n">
        <x:v>4.769124855030782e-7</x:v>
      </x:c>
      <x:c r="R133" s="34" t="n">
        <x:v>0.000003260957816664245</x:v>
      </x:c>
      <x:c r="S133" s="34" t="n">
        <x:v>0.00000568047238402869</x:v>
      </x:c>
      <x:c r="T133" s="34" t="n">
        <x:v>0.00001124815432973492</x:v>
      </x:c>
      <x:c r="U133" s="34" t="n">
        <x:v>0.00001229906930433344</x:v>
      </x:c>
      <x:c r="V133" s="34" t="n">
        <x:v>0.00001177361181703418</x:v>
      </x:c>
      <x:c r="W133" s="34" t="n">
        <x:v>0.00002799075704729148</x:v>
      </x:c>
      <x:c r="X133" s="34" t="n">
        <x:v>0.00002789063478303433</x:v>
      </x:c>
      <x:c r="Y133" s="34" t="n">
        <x:v>0.00002789063478303433</x:v>
      </x:c>
      <x:c r="Z133" s="28" t="n">
        <x:v>2022</x:v>
      </x:c>
      <x:c r="AA133" s="19" t="str">
        <x:v>AVAILABLE</x:v>
      </x:c>
      <x:c r="AB133" s="19" t="str">
        <x:v>AVAILABLE</x:v>
      </x:c>
      <x:c r="AC133" s="46" t="str">
        <x:v>Generic corpus string frequency; not climate-specific semantic frequency.</x:v>
      </x:c>
    </x:row>
    <x:row r="134" ht="23" customHeight="1">
      <x:c r="A134" s="18" t="str">
        <x:v>FT-Q-V01-130</x:v>
      </x:c>
      <x:c r="B134" s="31" t="str">
        <x:v>concern</x:v>
      </x:c>
      <x:c r="C134" s="19" t="str">
        <x:v>personal concern</x:v>
      </x:c>
      <x:c r="D134" s="19" t="str">
        <x:v>concern_alarm</x:v>
      </x:c>
      <x:c r="E134" s="19" t="str">
        <x:v>C</x:v>
      </x:c>
      <x:c r="F134" s="31" t="str">
        <x:v>BACKGROUND_AMBIGUOUS</x:v>
      </x:c>
      <x:c r="G134" s="19" t="str">
        <x:v>BACKGROUND_AMBIGUOUS</x:v>
      </x:c>
      <x:c r="H134" s="19" t="str">
        <x:v>eng</x:v>
      </x:c>
      <x:c r="I134" s="19" t="str">
        <x:v>current English corpus (July 2024 dataset; public shorthand eng; mutable current corpus)</x:v>
      </x:c>
      <x:c r="J134" s="19" t="str">
        <x:v>1842</x:v>
      </x:c>
      <x:c r="K134" s="19" t="str">
        <x:v>2022</x:v>
      </x:c>
      <x:c r="L134" s="28" t="n">
        <x:v>1842</x:v>
      </x:c>
      <x:c r="M134" s="28" t="n">
        <x:v>181</x:v>
      </x:c>
      <x:c r="N134" s="28" t="n">
        <x:v>1980</x:v>
      </x:c>
      <x:c r="O134" s="34" t="n">
        <x:v>0.00005580853074187153</x:v>
      </x:c>
      <x:c r="P134" s="28" t="n">
        <x:v>0.00004295100018327641</x:v>
      </x:c>
      <x:c r="Q134" s="34" t="n">
        <x:v>0.00001612012939489205</x:v>
      </x:c>
      <x:c r="R134" s="34" t="n">
        <x:v>0.00002328789579256196</x:v>
      </x:c>
      <x:c r="S134" s="34" t="n">
        <x:v>0.00005265726562726086</x:v>
      </x:c>
      <x:c r="T134" s="34" t="n">
        <x:v>0.00004750323816384017</x:v>
      </x:c>
      <x:c r="U134" s="34" t="n">
        <x:v>0.00004754463289202704</x:v>
      </x:c>
      <x:c r="V134" s="34" t="n">
        <x:v>0.0000475239355279336</x:v>
      </x:c>
      <x:c r="W134" s="34" t="n">
        <x:v>0.00004886092219905103</x:v>
      </x:c>
      <x:c r="X134" s="34" t="n">
        <x:v>0.00004295100018327641</x:v>
      </x:c>
      <x:c r="Y134" s="34" t="n">
        <x:v>0.00004295100018327641</x:v>
      </x:c>
      <x:c r="Z134" s="28" t="n">
        <x:v>2022</x:v>
      </x:c>
      <x:c r="AA134" s="19" t="str">
        <x:v>AVAILABLE</x:v>
      </x:c>
      <x:c r="AB134" s="19" t="str">
        <x:v>AVAILABLE</x:v>
      </x:c>
      <x:c r="AC134" s="46" t="str">
        <x:v>Generic corpus string frequency; not climate-specific semantic frequency.</x:v>
      </x:c>
    </x:row>
    <x:row r="135" ht="23" customHeight="1">
      <x:c r="A135" s="18" t="str">
        <x:v>FT-Q-V01-131</x:v>
      </x:c>
      <x:c r="B135" s="31" t="str">
        <x:v>anxiety</x:v>
      </x:c>
      <x:c r="C135" s="19" t="str">
        <x:v>anxious affect</x:v>
      </x:c>
      <x:c r="D135" s="19" t="str">
        <x:v>anxiety</x:v>
      </x:c>
      <x:c r="E135" s="19" t="str">
        <x:v>C</x:v>
      </x:c>
      <x:c r="F135" s="31" t="str">
        <x:v>BACKGROUND_AMBIGUOUS</x:v>
      </x:c>
      <x:c r="G135" s="19" t="str">
        <x:v>BACKGROUND_AMBIGUOUS</x:v>
      </x:c>
      <x:c r="H135" s="19" t="str">
        <x:v>eng</x:v>
      </x:c>
      <x:c r="I135" s="19" t="str">
        <x:v>current English corpus (July 2024 dataset; public shorthand eng; mutable current corpus)</x:v>
      </x:c>
      <x:c r="J135" s="19" t="str">
        <x:v>1842</x:v>
      </x:c>
      <x:c r="K135" s="19" t="str">
        <x:v>2022</x:v>
      </x:c>
      <x:c r="L135" s="28" t="n">
        <x:v>1842</x:v>
      </x:c>
      <x:c r="M135" s="28" t="n">
        <x:v>181</x:v>
      </x:c>
      <x:c r="N135" s="28" t="n">
        <x:v>2022</x:v>
      </x:c>
      <x:c r="O135" s="34" t="n">
        <x:v>0.00003612426158383641</x:v>
      </x:c>
      <x:c r="P135" s="28" t="n">
        <x:v>0.00003612426158383641</x:v>
      </x:c>
      <x:c r="Q135" s="34" t="n">
        <x:v>0.00002187045254231634</x:v>
      </x:c>
      <x:c r="R135" s="34" t="n">
        <x:v>0.000005693942370044169</x:v>
      </x:c>
      <x:c r="S135" s="34" t="n">
        <x:v>0.00001336584155353648</x:v>
      </x:c>
      <x:c r="T135" s="34" t="n">
        <x:v>0.00001985612161092831</x:v>
      </x:c>
      <x:c r="U135" s="34" t="n">
        <x:v>0.00002133666293957504</x:v>
      </x:c>
      <x:c r="V135" s="34" t="n">
        <x:v>0.00002059639227525167</x:v>
      </x:c>
      <x:c r="W135" s="34" t="n">
        <x:v>0.0000308450222803458</x:v>
      </x:c>
      <x:c r="X135" s="34" t="n">
        <x:v>0.00003612426158383641</x:v>
      </x:c>
      <x:c r="Y135" s="34" t="n">
        <x:v>0.00003612426158383641</x:v>
      </x:c>
      <x:c r="Z135" s="28" t="n">
        <x:v>2022</x:v>
      </x:c>
      <x:c r="AA135" s="19" t="str">
        <x:v>AVAILABLE</x:v>
      </x:c>
      <x:c r="AB135" s="19" t="str">
        <x:v>AVAILABLE</x:v>
      </x:c>
      <x:c r="AC135" s="46" t="str">
        <x:v>Generic corpus string frequency; not climate-specific semantic frequency.</x:v>
      </x:c>
    </x:row>
    <x:row r="136" ht="23" customHeight="1">
      <x:c r="A136" s="18" t="str">
        <x:v>FT-Q-V01-132</x:v>
      </x:c>
      <x:c r="B136" s="31" t="str">
        <x:v>danger</x:v>
      </x:c>
      <x:c r="C136" s="19" t="str">
        <x:v>hazard evaluation</x:v>
      </x:c>
      <x:c r="D136" s="19" t="str">
        <x:v>danger_threat</x:v>
      </x:c>
      <x:c r="E136" s="19" t="str">
        <x:v>D</x:v>
      </x:c>
      <x:c r="F136" s="31" t="str">
        <x:v>BACKGROUND_AMBIGUOUS</x:v>
      </x:c>
      <x:c r="G136" s="19" t="str">
        <x:v>BACKGROUND_AMBIGUOUS</x:v>
      </x:c>
      <x:c r="H136" s="19" t="str">
        <x:v>eng</x:v>
      </x:c>
      <x:c r="I136" s="19" t="str">
        <x:v>current English corpus (July 2024 dataset; public shorthand eng; mutable current corpus)</x:v>
      </x:c>
      <x:c r="J136" s="19" t="str">
        <x:v>1842</x:v>
      </x:c>
      <x:c r="K136" s="19" t="str">
        <x:v>2022</x:v>
      </x:c>
      <x:c r="L136" s="28" t="n">
        <x:v>1842</x:v>
      </x:c>
      <x:c r="M136" s="28" t="n">
        <x:v>181</x:v>
      </x:c>
      <x:c r="N136" s="28" t="n">
        <x:v>1848</x:v>
      </x:c>
      <x:c r="O136" s="34" t="n">
        <x:v>0.0000680098231100601</x:v>
      </x:c>
      <x:c r="P136" s="28" t="n">
        <x:v>0.00003447699095004975</x:v>
      </x:c>
      <x:c r="Q136" s="34" t="n">
        <x:v>0.00006476216250916877</x:v>
      </x:c>
      <x:c r="R136" s="34" t="n">
        <x:v>0.00003397146667794004</x:v>
      </x:c>
      <x:c r="S136" s="34" t="n">
        <x:v>0.00001925716885878628</x:v>
      </x:c>
      <x:c r="T136" s="34" t="n">
        <x:v>0.00002236469851597117</x:v>
      </x:c>
      <x:c r="U136" s="34" t="n">
        <x:v>0.00002336907294875346</x:v>
      </x:c>
      <x:c r="V136" s="34" t="n">
        <x:v>0.00002286688573236231</x:v>
      </x:c>
      <x:c r="W136" s="34" t="n">
        <x:v>0.00003182665381018523</x:v>
      </x:c>
      <x:c r="X136" s="34" t="n">
        <x:v>0.00003447699095004975</x:v>
      </x:c>
      <x:c r="Y136" s="34" t="n">
        <x:v>0.00003447699095004975</x:v>
      </x:c>
      <x:c r="Z136" s="28" t="n">
        <x:v>2022</x:v>
      </x:c>
      <x:c r="AA136" s="19" t="str">
        <x:v>AVAILABLE</x:v>
      </x:c>
      <x:c r="AB136" s="19" t="str">
        <x:v>AVAILABLE</x:v>
      </x:c>
      <x:c r="AC136" s="46" t="str">
        <x:v>Generic corpus string frequency; not climate-specific semantic frequency.</x:v>
      </x:c>
    </x:row>
    <x:row r="137" ht="23" customHeight="1">
      <x:c r="A137" s="18" t="str">
        <x:v>FT-Q-V01-133</x:v>
      </x:c>
      <x:c r="B137" s="31" t="str">
        <x:v>threat</x:v>
      </x:c>
      <x:c r="C137" s="19" t="str">
        <x:v>institutional climate threat</x:v>
      </x:c>
      <x:c r="D137" s="19" t="str">
        <x:v>danger_threat</x:v>
      </x:c>
      <x:c r="E137" s="19" t="str">
        <x:v>D</x:v>
      </x:c>
      <x:c r="F137" s="31" t="str">
        <x:v>BACKGROUND_AMBIGUOUS</x:v>
      </x:c>
      <x:c r="G137" s="19" t="str">
        <x:v>BACKGROUND_AMBIGUOUS</x:v>
      </x:c>
      <x:c r="H137" s="19" t="str">
        <x:v>eng</x:v>
      </x:c>
      <x:c r="I137" s="19" t="str">
        <x:v>current English corpus (July 2024 dataset; public shorthand eng; mutable current corpus)</x:v>
      </x:c>
      <x:c r="J137" s="19" t="str">
        <x:v>1842</x:v>
      </x:c>
      <x:c r="K137" s="19" t="str">
        <x:v>2022</x:v>
      </x:c>
      <x:c r="L137" s="28" t="n">
        <x:v>1842</x:v>
      </x:c>
      <x:c r="M137" s="28" t="n">
        <x:v>181</x:v>
      </x:c>
      <x:c r="N137" s="28" t="n">
        <x:v>2016</x:v>
      </x:c>
      <x:c r="O137" s="34" t="n">
        <x:v>0.00003743174778492175</x:v>
      </x:c>
      <x:c r="P137" s="28" t="n">
        <x:v>0.00003306681564652081</x:v>
      </x:c>
      <x:c r="Q137" s="34" t="n">
        <x:v>0.000002933255078829689</x:v>
      </x:c>
      <x:c r="R137" s="34" t="n">
        <x:v>0.00000694792089461771</x:v>
      </x:c>
      <x:c r="S137" s="34" t="n">
        <x:v>0.00002416082722334068</x:v>
      </x:c>
      <x:c r="T137" s="34" t="n">
        <x:v>0.00003019828658068491</x:v>
      </x:c>
      <x:c r="U137" s="34" t="n">
        <x:v>0.00003021426681470984</x:v>
      </x:c>
      <x:c r="V137" s="34" t="n">
        <x:v>0.00003020627669769738</x:v>
      </x:c>
      <x:c r="W137" s="34" t="n">
        <x:v>0.00003481453398990197</x:v>
      </x:c>
      <x:c r="X137" s="34" t="n">
        <x:v>0.00003306681564652081</x:v>
      </x:c>
      <x:c r="Y137" s="34" t="n">
        <x:v>0.00003306681564652081</x:v>
      </x:c>
      <x:c r="Z137" s="28" t="n">
        <x:v>2022</x:v>
      </x:c>
      <x:c r="AA137" s="19" t="str">
        <x:v>AVAILABLE</x:v>
      </x:c>
      <x:c r="AB137" s="19" t="str">
        <x:v>AVAILABLE</x:v>
      </x:c>
      <x:c r="AC137" s="46" t="str">
        <x:v>Generic corpus string frequency; not climate-specific semantic frequency.</x:v>
      </x:c>
    </x:row>
    <x:row r="138" ht="23" customHeight="1">
      <x:c r="A138" s="18" t="str">
        <x:v>FT-Q-V01-134</x:v>
      </x:c>
      <x:c r="B138" s="31" t="str">
        <x:v>risk</x:v>
      </x:c>
      <x:c r="C138" s="19" t="str">
        <x:v>probabilistic risk</x:v>
      </x:c>
      <x:c r="D138" s="19" t="str">
        <x:v>risk</x:v>
      </x:c>
      <x:c r="E138" s="19" t="str">
        <x:v>D</x:v>
      </x:c>
      <x:c r="F138" s="31" t="str">
        <x:v>BACKGROUND_AMBIGUOUS</x:v>
      </x:c>
      <x:c r="G138" s="19" t="str">
        <x:v>BACKGROUND_AMBIGUOUS</x:v>
      </x:c>
      <x:c r="H138" s="19" t="str">
        <x:v>eng</x:v>
      </x:c>
      <x:c r="I138" s="19" t="str">
        <x:v>current English corpus (July 2024 dataset; public shorthand eng; mutable current corpus)</x:v>
      </x:c>
      <x:c r="J138" s="19" t="str">
        <x:v>1842</x:v>
      </x:c>
      <x:c r="K138" s="19" t="str">
        <x:v>2022</x:v>
      </x:c>
      <x:c r="L138" s="28" t="n">
        <x:v>1842</x:v>
      </x:c>
      <x:c r="M138" s="28" t="n">
        <x:v>181</x:v>
      </x:c>
      <x:c r="N138" s="28" t="n">
        <x:v>2018</x:v>
      </x:c>
      <x:c r="O138" s="34" t="n">
        <x:v>0.0001718192719270539</x:v>
      </x:c>
      <x:c r="P138" s="28" t="n">
        <x:v>0.0001606175536089036</x:v>
      </x:c>
      <x:c r="Q138" s="34" t="n">
        <x:v>0.00001945669182745746</x:v>
      </x:c>
      <x:c r="R138" s="34" t="n">
        <x:v>0.00002148629917542166</x:v>
      </x:c>
      <x:c r="S138" s="34" t="n">
        <x:v>0.00009523120202559188</x:v>
      </x:c>
      <x:c r="T138" s="34" t="n">
        <x:v>0.0001531028393812021</x:v>
      </x:c>
      <x:c r="U138" s="34" t="n">
        <x:v>0.0001609916869453679</x:v>
      </x:c>
      <x:c r="V138" s="34" t="n">
        <x:v>0.000157047263163285</x:v>
      </x:c>
      <x:c r="W138" s="34" t="n">
        <x:v>0.0001617306934208473</x:v>
      </x:c>
      <x:c r="X138" s="34" t="n">
        <x:v>0.0001606175536089036</x:v>
      </x:c>
      <x:c r="Y138" s="34" t="n">
        <x:v>0.0001606175536089036</x:v>
      </x:c>
      <x:c r="Z138" s="28" t="n">
        <x:v>2022</x:v>
      </x:c>
      <x:c r="AA138" s="19" t="str">
        <x:v>AVAILABLE</x:v>
      </x:c>
      <x:c r="AB138" s="19" t="str">
        <x:v>AVAILABLE</x:v>
      </x:c>
      <x:c r="AC138" s="46" t="str">
        <x:v>Generic corpus string frequency; not climate-specific semantic frequency.</x:v>
      </x:c>
    </x:row>
    <x:row r="139" ht="23" customHeight="1">
      <x:c r="A139" s="18" t="str">
        <x:v>FT-Q-V01-135</x:v>
      </x:c>
      <x:c r="B139" s="31" t="str">
        <x:v>crisis</x:v>
      </x:c>
      <x:c r="C139" s="19" t="str">
        <x:v>severity / crisis predicate</x:v>
      </x:c>
      <x:c r="D139" s="19" t="str">
        <x:v>crisis_emergency</x:v>
      </x:c>
      <x:c r="E139" s="19" t="str">
        <x:v>D</x:v>
      </x:c>
      <x:c r="F139" s="31" t="str">
        <x:v>BACKGROUND_AMBIGUOUS</x:v>
      </x:c>
      <x:c r="G139" s="19" t="str">
        <x:v>BACKGROUND_AMBIGUOUS</x:v>
      </x:c>
      <x:c r="H139" s="19" t="str">
        <x:v>eng</x:v>
      </x:c>
      <x:c r="I139" s="19" t="str">
        <x:v>current English corpus (July 2024 dataset; public shorthand eng; mutable current corpus)</x:v>
      </x:c>
      <x:c r="J139" s="19" t="str">
        <x:v>1842</x:v>
      </x:c>
      <x:c r="K139" s="19" t="str">
        <x:v>2022</x:v>
      </x:c>
      <x:c r="L139" s="28" t="n">
        <x:v>1842</x:v>
      </x:c>
      <x:c r="M139" s="28" t="n">
        <x:v>181</x:v>
      </x:c>
      <x:c r="N139" s="28" t="n">
        <x:v>2021</x:v>
      </x:c>
      <x:c r="O139" s="34" t="n">
        <x:v>0.0000515266768562235</x:v>
      </x:c>
      <x:c r="P139" s="28" t="n">
        <x:v>0.00004809110998900065</x:v>
      </x:c>
      <x:c r="Q139" s="34" t="n">
        <x:v>0.00000794996059028108</x:v>
      </x:c>
      <x:c r="R139" s="34" t="n">
        <x:v>0.00001376144248865785</x:v>
      </x:c>
      <x:c r="S139" s="34" t="n">
        <x:v>0.00003130539030934618</x:v>
      </x:c>
      <x:c r="T139" s="34" t="n">
        <x:v>0.0000328408971757288</x:v>
      </x:c>
      <x:c r="U139" s="34" t="n">
        <x:v>0.0000338174911674663</x:v>
      </x:c>
      <x:c r="V139" s="34" t="n">
        <x:v>0.00003332919417159755</x:v>
      </x:c>
      <x:c r="W139" s="34" t="n">
        <x:v>0.00004455437012765295</x:v>
      </x:c>
      <x:c r="X139" s="34" t="n">
        <x:v>0.00004809110998900065</x:v>
      </x:c>
      <x:c r="Y139" s="34" t="n">
        <x:v>0.00004809110998900065</x:v>
      </x:c>
      <x:c r="Z139" s="28" t="n">
        <x:v>2022</x:v>
      </x:c>
      <x:c r="AA139" s="19" t="str">
        <x:v>AVAILABLE</x:v>
      </x:c>
      <x:c r="AB139" s="19" t="str">
        <x:v>AVAILABLE</x:v>
      </x:c>
      <x:c r="AC139" s="46" t="str">
        <x:v>Generic corpus string frequency; not climate-specific semantic frequency.</x:v>
      </x:c>
    </x:row>
    <x:row r="140" ht="23" customHeight="1">
      <x:c r="A140" s="18" t="str">
        <x:v>FT-Q-V01-136</x:v>
      </x:c>
      <x:c r="B140" s="31" t="str">
        <x:v>emergency</x:v>
      </x:c>
      <x:c r="C140" s="19" t="str">
        <x:v>emergency response category</x:v>
      </x:c>
      <x:c r="D140" s="19" t="str">
        <x:v>crisis_emergency</x:v>
      </x:c>
      <x:c r="E140" s="19" t="str">
        <x:v>D</x:v>
      </x:c>
      <x:c r="F140" s="31" t="str">
        <x:v>BACKGROUND_AMBIGUOUS</x:v>
      </x:c>
      <x:c r="G140" s="19" t="str">
        <x:v>BACKGROUND_AMBIGUOUS</x:v>
      </x:c>
      <x:c r="H140" s="19" t="str">
        <x:v>eng</x:v>
      </x:c>
      <x:c r="I140" s="19" t="str">
        <x:v>current English corpus (July 2024 dataset; public shorthand eng; mutable current corpus)</x:v>
      </x:c>
      <x:c r="J140" s="19" t="str">
        <x:v>1842</x:v>
      </x:c>
      <x:c r="K140" s="19" t="str">
        <x:v>2022</x:v>
      </x:c>
      <x:c r="L140" s="28" t="n">
        <x:v>1842</x:v>
      </x:c>
      <x:c r="M140" s="28" t="n">
        <x:v>181</x:v>
      </x:c>
      <x:c r="N140" s="28" t="n">
        <x:v>1942</x:v>
      </x:c>
      <x:c r="O140" s="34" t="n">
        <x:v>0.0000797291783051074</x:v>
      </x:c>
      <x:c r="P140" s="28" t="n">
        <x:v>0.00002919771714124386</x:v>
      </x:c>
      <x:c r="Q140" s="34" t="n">
        <x:v>0.00000467909548618195</x:v>
      </x:c>
      <x:c r="R140" s="34" t="n">
        <x:v>0.00004044305869846387</x:v>
      </x:c>
      <x:c r="S140" s="34" t="n">
        <x:v>0.00004546920429717924</x:v>
      </x:c>
      <x:c r="T140" s="34" t="n">
        <x:v>0.00004097540266245411</x:v>
      </x:c>
      <x:c r="U140" s="34" t="n">
        <x:v>0.00004033688333133362</x:v>
      </x:c>
      <x:c r="V140" s="34" t="n">
        <x:v>0.00004065614299689387</x:v>
      </x:c>
      <x:c r="W140" s="34" t="n">
        <x:v>0.00003082039562257721</x:v>
      </x:c>
      <x:c r="X140" s="34" t="n">
        <x:v>0.00002919771714124386</x:v>
      </x:c>
      <x:c r="Y140" s="34" t="n">
        <x:v>0.00002919771714124386</x:v>
      </x:c>
      <x:c r="Z140" s="28" t="n">
        <x:v>2022</x:v>
      </x:c>
      <x:c r="AA140" s="19" t="str">
        <x:v>AVAILABLE</x:v>
      </x:c>
      <x:c r="AB140" s="19" t="str">
        <x:v>AVAILABLE</x:v>
      </x:c>
      <x:c r="AC140" s="46" t="str">
        <x:v>Generic corpus string frequency; not climate-specific semantic frequency.</x:v>
      </x:c>
    </x:row>
    <x:row r="141" ht="23" customHeight="1">
      <x:c r="A141" s="18" t="str">
        <x:v>FT-Q-V01-137</x:v>
      </x:c>
      <x:c r="B141" s="31" t="str">
        <x:v>mortality</x:v>
      </x:c>
      <x:c r="C141" s="19" t="str">
        <x:v>mortality</x:v>
      </x:c>
      <x:c r="D141" s="19" t="str">
        <x:v>harm_loss_consequences</x:v>
      </x:c>
      <x:c r="E141" s="19" t="str">
        <x:v>D</x:v>
      </x:c>
      <x:c r="F141" s="31" t="str">
        <x:v>BACKGROUND_AMBIGUOUS</x:v>
      </x:c>
      <x:c r="G141" s="19" t="str">
        <x:v>BACKGROUND_AMBIGUOUS</x:v>
      </x:c>
      <x:c r="H141" s="19" t="str">
        <x:v>eng</x:v>
      </x:c>
      <x:c r="I141" s="19" t="str">
        <x:v>current English corpus (July 2024 dataset; public shorthand eng; mutable current corpus)</x:v>
      </x:c>
      <x:c r="J141" s="19" t="str">
        <x:v>1842</x:v>
      </x:c>
      <x:c r="K141" s="19" t="str">
        <x:v>2022</x:v>
      </x:c>
      <x:c r="L141" s="28" t="n">
        <x:v>1842</x:v>
      </x:c>
      <x:c r="M141" s="28" t="n">
        <x:v>181</x:v>
      </x:c>
      <x:c r="N141" s="28" t="n">
        <x:v>1987</x:v>
      </x:c>
      <x:c r="O141" s="34" t="n">
        <x:v>0.00002794374572598346</x:v>
      </x:c>
      <x:c r="P141" s="28" t="n">
        <x:v>0.00001958383349346185</x:v>
      </x:c>
      <x:c r="Q141" s="34" t="n">
        <x:v>0.00001566694004395686</x:v>
      </x:c>
      <x:c r="R141" s="34" t="n">
        <x:v>0.00001688718413106471</x:v>
      </x:c>
      <x:c r="S141" s="34" t="n">
        <x:v>0.00002448060722329629</x:v>
      </x:c>
      <x:c r="T141" s="34" t="n">
        <x:v>0.00002124850796292321</x:v>
      </x:c>
      <x:c r="U141" s="34" t="n">
        <x:v>0.00002165015705683782</x:v>
      </x:c>
      <x:c r="V141" s="34" t="n">
        <x:v>0.00002144933250988051</x:v>
      </x:c>
      <x:c r="W141" s="34" t="n">
        <x:v>0.00001797212218355992</x:v>
      </x:c>
      <x:c r="X141" s="34" t="n">
        <x:v>0.00001958383349346185</x:v>
      </x:c>
      <x:c r="Y141" s="34" t="n">
        <x:v>0.00001958383349346185</x:v>
      </x:c>
      <x:c r="Z141" s="28" t="n">
        <x:v>2022</x:v>
      </x:c>
      <x:c r="AA141" s="19" t="str">
        <x:v>AVAILABLE</x:v>
      </x:c>
      <x:c r="AB141" s="19" t="str">
        <x:v>AVAILABLE</x:v>
      </x:c>
      <x:c r="AC141" s="46" t="str">
        <x:v>Generic corpus string frequency; not climate-specific semantic frequency.</x:v>
      </x:c>
    </x:row>
    <x:row r="142" ht="23" customHeight="1">
      <x:c r="A142" s="18" t="str">
        <x:v>FT-Q-V01-138</x:v>
      </x:c>
      <x:c r="B142" s="31" t="str">
        <x:v>heat of the irons</x:v>
      </x:c>
      <x:c r="C142" s="19" t="str">
        <x:v>physical heat source / state</x:v>
      </x:c>
      <x:c r="D142" s="19" t="str">
        <x:v>heat</x:v>
      </x:c>
      <x:c r="E142" s="19" t="str">
        <x:v>A</x:v>
      </x:c>
      <x:c r="F142" s="31" t="str">
        <x:v>EXECUTABLE_NGRAM</x:v>
      </x:c>
      <x:c r="G142" s="19" t="str">
        <x:v>CONTEXT_REQUIRED</x:v>
      </x:c>
      <x:c r="H142" s="19" t="str">
        <x:v>eng</x:v>
      </x:c>
      <x:c r="I142" s="19" t="str">
        <x:v>current English corpus (July 2024 dataset; public shorthand eng; mutable current corpus)</x:v>
      </x:c>
      <x:c r="J142" s="19" t="str">
        <x:v>1842</x:v>
      </x:c>
      <x:c r="K142" s="19" t="str">
        <x:v>2022</x:v>
      </x:c>
      <x:c r="L142" s="28" t="n">
        <x:v>1842</x:v>
      </x:c>
      <x:c r="M142" s="28" t="n">
        <x:v>108</x:v>
      </x:c>
      <x:c r="N142" s="28" t="n">
        <x:v>1843</x:v>
      </x:c>
      <x:c r="O142" s="34" t="n">
        <x:v>6.583029232842819e-9</x:v>
      </x:c>
      <x:c r="P142" s="28" t="n">
        <x:v>1.016233625028562e-10</x:v>
      </x:c>
      <x:c r="Q142" s="34" t="n">
        <x:v>1.466886390133482e-9</x:v>
      </x:c>
      <x:c r="R142" s="34" t="n">
        <x:v>1.354462930702738e-10</x:v>
      </x:c>
      <x:c r="S142" s="34" t="n">
        <x:v>5.975666489410614e-11</x:v>
      </x:c>
      <x:c r="T142" s="34" t="n">
        <x:v>0</x:v>
      </x:c>
      <x:c r="U142" s="34" t="n">
        <x:v>0</x:v>
      </x:c>
      <x:c r="V142" s="34" t="n">
        <x:v>0</x:v>
      </x:c>
      <x:c r="W142" s="34" t="n">
        <x:v>1.075366740099781e-10</x:v>
      </x:c>
      <x:c r="X142" s="34" t="n">
        <x:v>1.016233625028562e-10</x:v>
      </x:c>
      <x:c r="Y142" s="34" t="n">
        <x:v>1.016233625028562e-10</x:v>
      </x:c>
      <x:c r="Z142" s="28" t="n">
        <x:v>2022</x:v>
      </x:c>
      <x:c r="AA142" s="19" t="str">
        <x:v>AVAILABLE</x:v>
      </x:c>
      <x:c r="AB142" s="19" t="str">
        <x:v>AVAILABLE</x:v>
      </x:c>
      <x:c r="AC142" s="46" t="str">
        <x:v>Climate/temperature-linked lexical frequency; still not evidence of reception, voice, or affect without passage review.</x:v>
      </x:c>
    </x:row>
    <x:row r="143" ht="23" customHeight="1">
      <x:c r="A143" s="18" t="str">
        <x:v>FT-Q-V01-139</x:v>
      </x:c>
      <x:c r="B143" s="31" t="str">
        <x:v>heat wave</x:v>
      </x:c>
      <x:c r="C143" s="19" t="str">
        <x:v>heatwave / weather event</x:v>
      </x:c>
      <x:c r="D143" s="19" t="str">
        <x:v>heat</x:v>
      </x:c>
      <x:c r="E143" s="19" t="str">
        <x:v>A</x:v>
      </x:c>
      <x:c r="F143" s="31" t="str">
        <x:v>EXECUTABLE_NGRAM</x:v>
      </x:c>
      <x:c r="G143" s="19" t="str">
        <x:v>CLIMATE_SPECIFIC</x:v>
      </x:c>
      <x:c r="H143" s="19" t="str">
        <x:v>eng</x:v>
      </x:c>
      <x:c r="I143" s="19" t="str">
        <x:v>current English corpus (July 2024 dataset; public shorthand eng; mutable current corpus)</x:v>
      </x:c>
      <x:c r="J143" s="19" t="str">
        <x:v>1842</x:v>
      </x:c>
      <x:c r="K143" s="19" t="str">
        <x:v>2022</x:v>
      </x:c>
      <x:c r="L143" s="28" t="n">
        <x:v>1842</x:v>
      </x:c>
      <x:c r="M143" s="28" t="n">
        <x:v>169</x:v>
      </x:c>
      <x:c r="N143" s="28" t="n">
        <x:v>2020</x:v>
      </x:c>
      <x:c r="O143" s="34" t="n">
        <x:v>3.703185072062576e-7</x:v>
      </x:c>
      <x:c r="P143" s="28" t="n">
        <x:v>3.006541136052476e-7</x:v>
      </x:c>
      <x:c r="Q143" s="34" t="n">
        <x:v>4.514918217068953e-9</x:v>
      </x:c>
      <x:c r="R143" s="34" t="n">
        <x:v>1.921166252749629e-7</x:v>
      </x:c>
      <x:c r="S143" s="34" t="n">
        <x:v>1.718059701449892e-7</x:v>
      </x:c>
      <x:c r="T143" s="34" t="n">
        <x:v>2.572474944173564e-7</x:v>
      </x:c>
      <x:c r="U143" s="34" t="n">
        <x:v>2.559551631371726e-7</x:v>
      </x:c>
      <x:c r="V143" s="34" t="n">
        <x:v>2.566013287772645e-7</x:v>
      </x:c>
      <x:c r="W143" s="34" t="n">
        <x:v>3.528359153667782e-7</x:v>
      </x:c>
      <x:c r="X143" s="34" t="n">
        <x:v>3.006541136052476e-7</x:v>
      </x:c>
      <x:c r="Y143" s="34" t="n">
        <x:v>3.006541136052476e-7</x:v>
      </x:c>
      <x:c r="Z143" s="28" t="n">
        <x:v>2022</x:v>
      </x:c>
      <x:c r="AA143" s="19" t="str">
        <x:v>AVAILABLE</x:v>
      </x:c>
      <x:c r="AB143" s="19" t="str">
        <x:v>AVAILABLE</x:v>
      </x:c>
      <x:c r="AC143" s="46" t="str">
        <x:v>Climate/temperature-linked lexical frequency; still not evidence of reception, voice, or affect without passage review.</x:v>
      </x:c>
    </x:row>
    <x:row r="144" ht="23" customHeight="1">
      <x:c r="A144" s="18" t="str">
        <x:v>FT-Q-V01-140</x:v>
      </x:c>
      <x:c r="B144" s="31" t="str">
        <x:v>grave threats</x:v>
      </x:c>
      <x:c r="C144" s="19" t="str">
        <x:v>institutional climate threat</x:v>
      </x:c>
      <x:c r="D144" s="19" t="str">
        <x:v>danger_threat</x:v>
      </x:c>
      <x:c r="E144" s="19" t="str">
        <x:v>D</x:v>
      </x:c>
      <x:c r="F144" s="31" t="str">
        <x:v>EXECUTABLE_NGRAM</x:v>
      </x:c>
      <x:c r="G144" s="19" t="str">
        <x:v>CONTEXT_REQUIRED</x:v>
      </x:c>
      <x:c r="H144" s="19" t="str">
        <x:v>eng</x:v>
      </x:c>
      <x:c r="I144" s="19" t="str">
        <x:v>current English corpus (July 2024 dataset; public shorthand eng; mutable current corpus)</x:v>
      </x:c>
      <x:c r="J144" s="19" t="str">
        <x:v>1842</x:v>
      </x:c>
      <x:c r="K144" s="19" t="str">
        <x:v>2022</x:v>
      </x:c>
      <x:c r="L144" s="28" t="n">
        <x:v>1843</x:v>
      </x:c>
      <x:c r="M144" s="28" t="n">
        <x:v>141</x:v>
      </x:c>
      <x:c r="N144" s="28" t="n">
        <x:v>2008</x:v>
      </x:c>
      <x:c r="O144" s="34" t="n">
        <x:v>1.763470425242275e-8</x:v>
      </x:c>
      <x:c r="P144" s="28" t="n">
        <x:v>9.423090391313949e-9</x:v>
      </x:c>
      <x:c r="Q144" s="34" t="n">
        <x:v>0</x:v>
      </x:c>
      <x:c r="R144" s="34" t="n">
        <x:v>2.33881092270849e-9</x:v>
      </x:c>
      <x:c r="S144" s="34" t="n">
        <x:v>1.071011054148974e-8</x:v>
      </x:c>
      <x:c r="T144" s="34" t="n">
        <x:v>1.703080053025441e-8</x:v>
      </x:c>
      <x:c r="U144" s="34" t="n">
        <x:v>1.664090922698369e-8</x:v>
      </x:c>
      <x:c r="V144" s="34" t="n">
        <x:v>1.683585487861905e-8</x:v>
      </x:c>
      <x:c r="W144" s="34" t="n">
        <x:v>1.251621790238078e-8</x:v>
      </x:c>
      <x:c r="X144" s="34" t="n">
        <x:v>9.423090391313949e-9</x:v>
      </x:c>
      <x:c r="Y144" s="34" t="n">
        <x:v>9.423090391313949e-9</x:v>
      </x:c>
      <x:c r="Z144" s="28" t="n">
        <x:v>2022</x:v>
      </x:c>
      <x:c r="AA144" s="19" t="str">
        <x:v>AVAILABLE</x:v>
      </x:c>
      <x:c r="AB144" s="19" t="str">
        <x:v>AVAILABLE</x:v>
      </x:c>
      <x:c r="AC144" s="46" t="str">
        <x:v>Climate/temperature-linked lexical frequency; still not evidence of reception, voice, or affect without passage review.</x:v>
      </x:c>
    </x:row>
    <x:row r="145" ht="23" customHeight="1">
      <x:c r="A145" s="18" t="str">
        <x:v>FT-Q-V01-141</x:v>
      </x:c>
      <x:c r="B145" s="31" t="str">
        <x:v>Be Worried. Be Very Worried.</x:v>
      </x:c>
      <x:c r="C145" s="19" t="str">
        <x:v>prescribed worry</x:v>
      </x:c>
      <x:c r="D145" s="19" t="str">
        <x:v>worry</x:v>
      </x:c>
      <x:c r="E145" s="19" t="str">
        <x:v>C</x:v>
      </x:c>
      <x:c r="F145" s="31" t="str">
        <x:v>EXECUTABLE_CORPUS_ONLY</x:v>
      </x:c>
      <x:c r="G145" s="19" t="str">
        <x:v>CLIMATE_SPECIFIC</x:v>
      </x:c>
      <x:c r="H145" s="19" t="str">
        <x:v>eng</x:v>
      </x:c>
      <x:c r="I145" s="19" t="str">
        <x:v>current English corpus (July 2024 dataset; public shorthand eng; mutable current corpus)</x:v>
      </x:c>
      <x:c r="J145" s="19" t="str">
        <x:v>1842</x:v>
      </x:c>
      <x:c r="K145" s="19" t="str">
        <x:v>2022</x:v>
      </x:c>
      <x:c r="L145" s="28" t="str"/>
      <x:c r="M145" s="28" t="n">
        <x:v>0</x:v>
      </x:c>
      <x:c r="N145" s="28" t="str"/>
      <x:c r="O145" s="34" t="str"/>
      <x:c r="P145" s="28" t="str"/>
      <x:c r="Q145" s="34" t="str"/>
      <x:c r="R145" s="34" t="str"/>
      <x:c r="S145" s="34" t="str"/>
      <x:c r="T145" s="34" t="str"/>
      <x:c r="U145" s="34" t="str"/>
      <x:c r="V145" s="34" t="str"/>
      <x:c r="W145" s="34" t="str"/>
      <x:c r="X145" s="34" t="str"/>
      <x:c r="Y145" s="34" t="str"/>
      <x:c r="Z145" s="28" t="n">
        <x:v>2022</x:v>
      </x:c>
      <x:c r="AA145" s="19" t="str">
        <x:v>NO_SERIES</x:v>
      </x:c>
      <x:c r="AB145" s="19" t="str">
        <x:v>NOT_AVAILABLE</x:v>
      </x:c>
      <x:c r="AC145" s="46" t="str">
        <x:v>Climate/temperature-linked lexical frequency; still not evidence of reception, voice, or affect without passage review.</x:v>
      </x:c>
    </x:row>
    <x:row r="146" ht="23" customHeight="1">
      <x:c r="A146" s="18" t="str">
        <x:v>FT-Q-V01-142</x:v>
      </x:c>
      <x:c r="B146" s="31" t="str">
        <x:v>comprehensive risk assessment and management</x:v>
      </x:c>
      <x:c r="C146" s="19" t="str">
        <x:v>administrative risk assessment</x:v>
      </x:c>
      <x:c r="D146" s="19" t="str">
        <x:v>risk</x:v>
      </x:c>
      <x:c r="E146" s="19" t="str">
        <x:v>D</x:v>
      </x:c>
      <x:c r="F146" s="31" t="str">
        <x:v>EXECUTABLE_NGRAM</x:v>
      </x:c>
      <x:c r="G146" s="19" t="str">
        <x:v>CONTEXT_REQUIRED</x:v>
      </x:c>
      <x:c r="H146" s="19" t="str">
        <x:v>eng</x:v>
      </x:c>
      <x:c r="I146" s="19" t="str">
        <x:v>current English corpus (July 2024 dataset; public shorthand eng; mutable current corpus)</x:v>
      </x:c>
      <x:c r="J146" s="19" t="str">
        <x:v>1842</x:v>
      </x:c>
      <x:c r="K146" s="19" t="str">
        <x:v>2022</x:v>
      </x:c>
      <x:c r="L146" s="28" t="n">
        <x:v>1963</x:v>
      </x:c>
      <x:c r="M146" s="28" t="n">
        <x:v>31</x:v>
      </x:c>
      <x:c r="N146" s="28" t="n">
        <x:v>2018</x:v>
      </x:c>
      <x:c r="O146" s="34" t="n">
        <x:v>1.279491401717792e-9</x:v>
      </x:c>
      <x:c r="P146" s="28" t="n">
        <x:v>7.611056784817549e-10</x:v>
      </x:c>
      <x:c r="Q146" s="34" t="n">
        <x:v>0</x:v>
      </x:c>
      <x:c r="R146" s="34" t="n">
        <x:v>0</x:v>
      </x:c>
      <x:c r="S146" s="34" t="n">
        <x:v>1.303340213532067e-10</x:v>
      </x:c>
      <x:c r="T146" s="34" t="n">
        <x:v>1.746862099416546e-10</x:v>
      </x:c>
      <x:c r="U146" s="34" t="n">
        <x:v>1.707895214142496e-10</x:v>
      </x:c>
      <x:c r="V146" s="34" t="n">
        <x:v>1.727378656779521e-10</x:v>
      </x:c>
      <x:c r="W146" s="34" t="n">
        <x:v>2.879411986622671e-10</x:v>
      </x:c>
      <x:c r="X146" s="34" t="n">
        <x:v>7.611056784817549e-10</x:v>
      </x:c>
      <x:c r="Y146" s="34" t="n">
        <x:v>7.611056784817549e-10</x:v>
      </x:c>
      <x:c r="Z146" s="28" t="n">
        <x:v>2022</x:v>
      </x:c>
      <x:c r="AA146" s="19" t="str">
        <x:v>AVAILABLE</x:v>
      </x:c>
      <x:c r="AB146" s="19" t="str">
        <x:v>AVAILABLE</x:v>
      </x:c>
      <x:c r="AC146" s="46" t="str">
        <x:v>Climate/temperature-linked lexical frequency; still not evidence of reception, voice, or affect without passage review.</x:v>
      </x:c>
    </x:row>
    <x:row r="147" ht="23" customHeight="1">
      <x:c r="A147" s="21" t="str">
        <x:v>FT-Q-V01-143</x:v>
      </x:c>
      <x:c r="B147" s="32" t="str">
        <x:v>guilt</x:v>
      </x:c>
      <x:c r="C147" s="22" t="str">
        <x:v>depressed affect</x:v>
      </x:c>
      <x:c r="D147" s="22" t="str">
        <x:v>distress_depression</x:v>
      </x:c>
      <x:c r="E147" s="22" t="str">
        <x:v>C</x:v>
      </x:c>
      <x:c r="F147" s="32" t="str">
        <x:v>EXECUTABLE_NGRAM</x:v>
      </x:c>
      <x:c r="G147" s="22" t="str">
        <x:v>CONTEXT_REQUIRED</x:v>
      </x:c>
      <x:c r="H147" s="22" t="str">
        <x:v>eng</x:v>
      </x:c>
      <x:c r="I147" s="22" t="str">
        <x:v>current English corpus (July 2024 dataset; public shorthand eng; mutable current corpus)</x:v>
      </x:c>
      <x:c r="J147" s="22" t="str">
        <x:v>1842</x:v>
      </x:c>
      <x:c r="K147" s="22" t="str">
        <x:v>2022</x:v>
      </x:c>
      <x:c r="L147" s="29" t="n">
        <x:v>1842</x:v>
      </x:c>
      <x:c r="M147" s="29" t="n">
        <x:v>181</x:v>
      </x:c>
      <x:c r="N147" s="29" t="n">
        <x:v>1844</x:v>
      </x:c>
      <x:c r="O147" s="35" t="n">
        <x:v>0.00002078726473087045</x:v>
      </x:c>
      <x:c r="P147" s="29" t="n">
        <x:v>0.00001681260062724732</x:v>
      </x:c>
      <x:c r="Q147" s="35" t="n">
        <x:v>0.00001865798427758136</x:v>
      </x:c>
      <x:c r="R147" s="35" t="n">
        <x:v>0.000003496206829295412</x:v>
      </x:c>
      <x:c r="S147" s="35" t="n">
        <x:v>0.000008151257723909566</x:v>
      </x:c>
      <x:c r="T147" s="35" t="n">
        <x:v>0.00001063899859587991</x:v>
      </x:c>
      <x:c r="U147" s="35" t="n">
        <x:v>0.00001129985992306265</x:v>
      </x:c>
      <x:c r="V147" s="35" t="n">
        <x:v>0.00001096942925947128</x:v>
      </x:c>
      <x:c r="W147" s="35" t="n">
        <x:v>0.00001744112144308474</x:v>
      </x:c>
      <x:c r="X147" s="35" t="n">
        <x:v>0.00001681260062724732</x:v>
      </x:c>
      <x:c r="Y147" s="35" t="n">
        <x:v>0.00001681260062724732</x:v>
      </x:c>
      <x:c r="Z147" s="29" t="n">
        <x:v>2022</x:v>
      </x:c>
      <x:c r="AA147" s="22" t="str">
        <x:v>AVAILABLE</x:v>
      </x:c>
      <x:c r="AB147" s="22" t="str">
        <x:v>AVAILABLE</x:v>
      </x:c>
      <x:c r="AC147" s="47" t="str">
        <x:v>Climate/temperature-linked lexical frequency; still not evidence of reception, voice, or affect without passage review.</x:v>
      </x:c>
    </x:row>
  </x:sheetData>
  <x:mergeCells>
    <x:mergeCell ref="A1:AC1"/>
    <x:mergeCell ref="A2:AC2"/>
  </x:mergeCells>
  <x:pageMargins left="0.7" right="0.7" top="0.75" bottom="0.75" header="0.3" footer="0.3"/>
  <x:tableParts count="1">
    <x:tablePart xmlns:r="http://schemas.openxmlformats.org/officeDocument/2006/relationships" r:id="Rc28a47ae34964e2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16" hidden="0" customWidth="1"/>
    <x:col min="4" max="4" width="16"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s>
  <x:sheetData>
    <x:row r="1" ht="38" customHeight="1">
      <x:c r="A1" s="3" t="str">
        <x:v>Six-Anchor Keyword Frequency Matrix</x:v>
      </x:c>
      <x:c r="B1" s="3" t="str">
        <x:v>Six-Anchor Keyword Frequency Matrix</x:v>
      </x:c>
      <x:c r="C1" s="3" t="str">
        <x:v>Six-Anchor Keyword Frequency Matrix</x:v>
      </x:c>
      <x:c r="D1" s="3" t="str">
        <x:v>Six-Anchor Keyword Frequency Matrix</x:v>
      </x:c>
      <x:c r="E1" s="3" t="str">
        <x:v>Six-Anchor Keyword Frequency Matrix</x:v>
      </x:c>
      <x:c r="F1" s="3" t="str">
        <x:v>Six-Anchor Keyword Frequency Matrix</x:v>
      </x:c>
      <x:c r="G1" s="3" t="str">
        <x:v>Six-Anchor Keyword Frequency Matrix</x:v>
      </x:c>
      <x:c r="H1" s="3" t="str">
        <x:v>Six-Anchor Keyword Frequency Matrix</x:v>
      </x:c>
      <x:c r="I1" s="3" t="str">
        <x:v>Six-Anchor Keyword Frequency Matrix</x:v>
      </x:c>
      <x:c r="J1" s="3" t="str">
        <x:v>Six-Anchor Keyword Frequency Matrix</x:v>
      </x:c>
      <x:c r="K1" s="3" t="str">
        <x:v>Six-Anchor Keyword Frequency Matrix</x:v>
      </x:c>
      <x:c r="L1" s="3" t="str">
        <x:v>Six-Anchor Keyword Frequency Matrix</x:v>
      </x:c>
      <x:c r="M1" s="3" t="str">
        <x:v>Six-Anchor Keyword Frequency Matrix</x:v>
      </x:c>
    </x:row>
    <x:row r="2" ht="31" customHeight="1">
      <x:c r="A2" s="7" t="str">
        <x:v>Raw normalized frequencies for 1842, 1938, 1988, 2006, 2007, the labelled 2006-07 mean, 2015 and 2022/latest.</x:v>
      </x:c>
      <x:c r="B2" s="7" t="str">
        <x:v>Raw normalized frequencies for 1842, 1938, 1988, 2006, 2007, the labelled 2006-07 mean, 2015 and 2022/latest.</x:v>
      </x:c>
      <x:c r="C2" s="7" t="str">
        <x:v>Raw normalized frequencies for 1842, 1938, 1988, 2006, 2007, the labelled 2006-07 mean, 2015 and 2022/latest.</x:v>
      </x:c>
      <x:c r="D2" s="7" t="str">
        <x:v>Raw normalized frequencies for 1842, 1938, 1988, 2006, 2007, the labelled 2006-07 mean, 2015 and 2022/latest.</x:v>
      </x:c>
      <x:c r="E2" s="7" t="str">
        <x:v>Raw normalized frequencies for 1842, 1938, 1988, 2006, 2007, the labelled 2006-07 mean, 2015 and 2022/latest.</x:v>
      </x:c>
      <x:c r="F2" s="7" t="str">
        <x:v>Raw normalized frequencies for 1842, 1938, 1988, 2006, 2007, the labelled 2006-07 mean, 2015 and 2022/latest.</x:v>
      </x:c>
      <x:c r="G2" s="7" t="str">
        <x:v>Raw normalized frequencies for 1842, 1938, 1988, 2006, 2007, the labelled 2006-07 mean, 2015 and 2022/latest.</x:v>
      </x:c>
      <x:c r="H2" s="7" t="str">
        <x:v>Raw normalized frequencies for 1842, 1938, 1988, 2006, 2007, the labelled 2006-07 mean, 2015 and 2022/latest.</x:v>
      </x:c>
      <x:c r="I2" s="7" t="str">
        <x:v>Raw normalized frequencies for 1842, 1938, 1988, 2006, 2007, the labelled 2006-07 mean, 2015 and 2022/latest.</x:v>
      </x:c>
      <x:c r="J2" s="7" t="str">
        <x:v>Raw normalized frequencies for 1842, 1938, 1988, 2006, 2007, the labelled 2006-07 mean, 2015 and 2022/latest.</x:v>
      </x:c>
      <x:c r="K2" s="7" t="str">
        <x:v>Raw normalized frequencies for 1842, 1938, 1988, 2006, 2007, the labelled 2006-07 mean, 2015 and 2022/latest.</x:v>
      </x:c>
      <x:c r="L2" s="7" t="str">
        <x:v>Raw normalized frequencies for 1842, 1938, 1988, 2006, 2007, the labelled 2006-07 mean, 2015 and 2022/latest.</x:v>
      </x:c>
      <x:c r="M2" s="7" t="str">
        <x:v>Raw normalized frequencies for 1842, 1938, 1988, 2006, 2007, the labelled 2006-07 mean, 2015 and 2022/latest.</x:v>
      </x:c>
    </x:row>
    <x:row r="4" ht="42" customHeight="1">
      <x:c r="A4" s="14" t="str">
        <x:v>query_id</x:v>
      </x:c>
      <x:c r="B4" s="14" t="str">
        <x:v>surface_form</x:v>
      </x:c>
      <x:c r="C4" s="14" t="str">
        <x:v>family</x:v>
      </x:c>
      <x:c r="D4" s="14" t="str">
        <x:v>interpretation_class</x:v>
      </x:c>
      <x:c r="E4" s="14" t="str">
        <x:v>1842_value</x:v>
      </x:c>
      <x:c r="F4" s="14" t="str">
        <x:v>1938_value</x:v>
      </x:c>
      <x:c r="G4" s="14" t="str">
        <x:v>1988_value</x:v>
      </x:c>
      <x:c r="H4" s="14" t="str">
        <x:v>2006_value</x:v>
      </x:c>
      <x:c r="I4" s="14" t="str">
        <x:v>2007_value</x:v>
      </x:c>
      <x:c r="J4" s="14" t="str">
        <x:v>2006_07_mean</x:v>
      </x:c>
      <x:c r="K4" s="14" t="str">
        <x:v>2015_value</x:v>
      </x:c>
      <x:c r="L4" s="14" t="str">
        <x:v>2022_or_latest_value</x:v>
      </x:c>
      <x:c r="M4" s="14" t="str">
        <x:v>latest_supported_year</x:v>
      </x:c>
    </x:row>
    <x:row r="5" ht="23" customHeight="1">
      <x:c r="A5" s="15" t="str">
        <x:v>FT-Q-V01-001</x:v>
      </x:c>
      <x:c r="B5" s="30" t="str">
        <x:v>temperature</x:v>
      </x:c>
      <x:c r="C5" s="16" t="str">
        <x:v>temperature_threshold</x:v>
      </x:c>
      <x:c r="D5" s="16" t="str">
        <x:v>BACKGROUND_AMBIGUOUS</x:v>
      </x:c>
      <x:c r="E5" s="33" t="n">
        <x:v>0.00003817854639009965</x:v>
      </x:c>
      <x:c r="F5" s="33" t="n">
        <x:v>0.0001075987250857835</x:v>
      </x:c>
      <x:c r="G5" s="33" t="n">
        <x:v>0.0001381082131784381</x:v>
      </x:c>
      <x:c r="H5" s="33" t="n">
        <x:v>0.00009349962672342699</x:v>
      </x:c>
      <x:c r="I5" s="33" t="n">
        <x:v>0.00009569523659125334</x:v>
      </x:c>
      <x:c r="J5" s="33" t="n">
        <x:v>0.00009459743165734016</x:v>
      </x:c>
      <x:c r="K5" s="33" t="n">
        <x:v>0.00007593630839236587</x:v>
      </x:c>
      <x:c r="L5" s="33" t="n">
        <x:v>0.00009003187850510977</x:v>
      </x:c>
      <x:c r="M5" s="56" t="n">
        <x:v>2022</x:v>
      </x:c>
    </x:row>
    <x:row r="6" ht="23" customHeight="1">
      <x:c r="A6" s="18" t="str">
        <x:v>FT-Q-V01-002</x:v>
      </x:c>
      <x:c r="B6" s="31" t="str">
        <x:v>mean temperature</x:v>
      </x:c>
      <x:c r="C6" s="19" t="str">
        <x:v>temperature_threshold</x:v>
      </x:c>
      <x:c r="D6" s="19" t="str">
        <x:v>CONTEXT_REQUIRED</x:v>
      </x:c>
      <x:c r="E6" s="34" t="n">
        <x:v>0.000002365172290907935</x:v>
      </x:c>
      <x:c r="F6" s="34" t="n">
        <x:v>0.00000106460447896195</x:v>
      </x:c>
      <x:c r="G6" s="34" t="n">
        <x:v>5.396020415979197e-7</x:v>
      </x:c>
      <x:c r="H6" s="34" t="n">
        <x:v>4.059007448348195e-7</x:v>
      </x:c>
      <x:c r="I6" s="34" t="n">
        <x:v>4.200255244168893e-7</x:v>
      </x:c>
      <x:c r="J6" s="34" t="n">
        <x:v>4.129631346258544e-7</x:v>
      </x:c>
      <x:c r="K6" s="34" t="n">
        <x:v>3.047325316460348e-7</x:v>
      </x:c>
      <x:c r="L6" s="34" t="n">
        <x:v>3.990877988080399e-7</x:v>
      </x:c>
      <x:c r="M6" s="57" t="n">
        <x:v>2022</x:v>
      </x:c>
    </x:row>
    <x:row r="7" ht="23" customHeight="1">
      <x:c r="A7" s="18" t="str">
        <x:v>FT-Q-V01-003</x:v>
      </x:c>
      <x:c r="B7" s="31" t="str">
        <x:v>temperature of the air in shade</x:v>
      </x:c>
      <x:c r="C7" s="19" t="str">
        <x:v>temperature_threshold</x:v>
      </x:c>
      <x:c r="D7" s="19" t="str">
        <x:v>CONTEXT_REQUIRED</x:v>
      </x:c>
      <x:c r="E7" s="34" t="n">
        <x:v>0</x:v>
      </x:c>
      <x:c r="F7" s="34" t="n">
        <x:v>0</x:v>
      </x:c>
      <x:c r="G7" s="34" t="n">
        <x:v>0</x:v>
      </x:c>
      <x:c r="H7" s="34" t="n">
        <x:v>0</x:v>
      </x:c>
      <x:c r="I7" s="34" t="n">
        <x:v>0</x:v>
      </x:c>
      <x:c r="J7" s="34" t="n">
        <x:v>0</x:v>
      </x:c>
      <x:c r="K7" s="34" t="n">
        <x:v>6.163167892703214e-11</x:v>
      </x:c>
      <x:c r="L7" s="34" t="n">
        <x:v>5.812207659605662e-11</x:v>
      </x:c>
      <x:c r="M7" s="57" t="n">
        <x:v>2022</x:v>
      </x:c>
    </x:row>
    <x:row r="8" ht="23" customHeight="1">
      <x:c r="A8" s="18" t="str">
        <x:v>FT-Q-V01-004</x:v>
      </x:c>
      <x:c r="B8" s="31" t="str">
        <x:v>maximum temperature</x:v>
      </x:c>
      <x:c r="C8" s="19" t="str">
        <x:v>temperature_threshold</x:v>
      </x:c>
      <x:c r="D8" s="19" t="str">
        <x:v>CONTEXT_REQUIRED</x:v>
      </x:c>
      <x:c r="E8" s="34" t="n">
        <x:v>3.882829831547419e-7</x:v>
      </x:c>
      <x:c r="F8" s="34" t="n">
        <x:v>7.694687983172965e-7</x:v>
      </x:c>
      <x:c r="G8" s="34" t="n">
        <x:v>6.011975100389533e-7</x:v>
      </x:c>
      <x:c r="H8" s="34" t="n">
        <x:v>5.097794715247517e-7</x:v>
      </x:c>
      <x:c r="I8" s="34" t="n">
        <x:v>4.458864027237497e-7</x:v>
      </x:c>
      <x:c r="J8" s="34" t="n">
        <x:v>4.778329371242507e-7</x:v>
      </x:c>
      <x:c r="K8" s="34" t="n">
        <x:v>3.236936924611022e-7</x:v>
      </x:c>
      <x:c r="L8" s="34" t="n">
        <x:v>4.573516876604788e-7</x:v>
      </x:c>
      <x:c r="M8" s="57" t="n">
        <x:v>2022</x:v>
      </x:c>
    </x:row>
    <x:row r="9" ht="23" customHeight="1">
      <x:c r="A9" s="18" t="str">
        <x:v>FT-Q-V01-005</x:v>
      </x:c>
      <x:c r="B9" s="31" t="str">
        <x:v>minimum temperature</x:v>
      </x:c>
      <x:c r="C9" s="19" t="str">
        <x:v>temperature_threshold</x:v>
      </x:c>
      <x:c r="D9" s="19" t="str">
        <x:v>CONTEXT_REQUIRED</x:v>
      </x:c>
      <x:c r="E9" s="34" t="n">
        <x:v>2.334857803210078e-7</x:v>
      </x:c>
      <x:c r="F9" s="34" t="n">
        <x:v>4.141922915756879e-7</x:v>
      </x:c>
      <x:c r="G9" s="34" t="n">
        <x:v>3.655257283935454e-7</x:v>
      </x:c>
      <x:c r="H9" s="34" t="n">
        <x:v>2.540885604349064e-7</x:v>
      </x:c>
      <x:c r="I9" s="34" t="n">
        <x:v>2.430921979997003e-7</x:v>
      </x:c>
      <x:c r="J9" s="34" t="n">
        <x:v>2.485903792173033e-7</x:v>
      </x:c>
      <x:c r="K9" s="34" t="n">
        <x:v>1.545846264848494e-7</x:v>
      </x:c>
      <x:c r="L9" s="34" t="n">
        <x:v>2.218629117367588e-7</x:v>
      </x:c>
      <x:c r="M9" s="57" t="n">
        <x:v>2022</x:v>
      </x:c>
    </x:row>
    <x:row r="10" ht="23" customHeight="1">
      <x:c r="A10" s="18" t="str">
        <x:v>FT-Q-V01-006</x:v>
      </x:c>
      <x:c r="B10" s="31" t="str">
        <x:v>mean temperature of sea at surface</x:v>
      </x:c>
      <x:c r="C10" s="19" t="str">
        <x:v>temperature_threshold</x:v>
      </x:c>
      <x:c r="D10" s="19" t="str">
        <x:v>CONTEXT_REQUIRED</x:v>
      </x:c>
      <x:c r="E10" s="34" t="str"/>
      <x:c r="F10" s="34" t="str"/>
      <x:c r="G10" s="34" t="str"/>
      <x:c r="H10" s="34" t="str"/>
      <x:c r="I10" s="34" t="str"/>
      <x:c r="J10" s="34" t="str"/>
      <x:c r="K10" s="34" t="str"/>
      <x:c r="L10" s="34" t="str"/>
      <x:c r="M10" s="57" t="n">
        <x:v>2022</x:v>
      </x:c>
    </x:row>
    <x:row r="11" ht="23" customHeight="1">
      <x:c r="A11" s="18" t="str">
        <x:v>FT-Q-V01-007</x:v>
      </x:c>
      <x:c r="B11" s="31" t="str">
        <x:v>dew point</x:v>
      </x:c>
      <x:c r="C11" s="19" t="str">
        <x:v>temperature_threshold</x:v>
      </x:c>
      <x:c r="D11" s="19" t="str">
        <x:v>CONTEXT_REQUIRED</x:v>
      </x:c>
      <x:c r="E11" s="34" t="n">
        <x:v>5.02445909766891e-7</x:v>
      </x:c>
      <x:c r="F11" s="34" t="n">
        <x:v>5.571938874737725e-7</x:v>
      </x:c>
      <x:c r="G11" s="34" t="n">
        <x:v>3.645386200609724e-7</x:v>
      </x:c>
      <x:c r="H11" s="34" t="n">
        <x:v>2.918584796063328e-7</x:v>
      </x:c>
      <x:c r="I11" s="34" t="n">
        <x:v>2.695827225132619e-7</x:v>
      </x:c>
      <x:c r="J11" s="34" t="n">
        <x:v>2.807206010597973e-7</x:v>
      </x:c>
      <x:c r="K11" s="34" t="n">
        <x:v>2.239375508326924e-7</x:v>
      </x:c>
      <x:c r="L11" s="34" t="n">
        <x:v>2.297376025528486e-7</x:v>
      </x:c>
      <x:c r="M11" s="57" t="n">
        <x:v>2022</x:v>
      </x:c>
    </x:row>
    <x:row r="12" ht="23" customHeight="1">
      <x:c r="A12" s="18" t="str">
        <x:v>FT-Q-V01-008</x:v>
      </x:c>
      <x:c r="B12" s="31" t="str">
        <x:v>standard thermometer</x:v>
      </x:c>
      <x:c r="C12" s="19" t="str">
        <x:v>temperature_threshold</x:v>
      </x:c>
      <x:c r="D12" s="19" t="str">
        <x:v>CONTEXT_REQUIRED</x:v>
      </x:c>
      <x:c r="E12" s="34" t="n">
        <x:v>8.384848482201335e-9</x:v>
      </x:c>
      <x:c r="F12" s="34" t="n">
        <x:v>3.541628268433072e-8</x:v>
      </x:c>
      <x:c r="G12" s="34" t="n">
        <x:v>5.922642067751616e-9</x:v>
      </x:c>
      <x:c r="H12" s="34" t="n">
        <x:v>2.975811957961483e-9</x:v>
      </x:c>
      <x:c r="I12" s="34" t="n">
        <x:v>4.857346223158254e-9</x:v>
      </x:c>
      <x:c r="J12" s="34" t="n">
        <x:v>3.916579090559869e-9</x:v>
      </x:c>
      <x:c r="K12" s="34" t="n">
        <x:v>2.335115319856973e-9</x:v>
      </x:c>
      <x:c r="L12" s="34" t="n">
        <x:v>2.610151789150805e-9</x:v>
      </x:c>
      <x:c r="M12" s="57" t="n">
        <x:v>2022</x:v>
      </x:c>
    </x:row>
    <x:row r="13" ht="23" customHeight="1">
      <x:c r="A13" s="18" t="str">
        <x:v>FT-Q-V01-009</x:v>
      </x:c>
      <x:c r="B13" s="31" t="str">
        <x:v>attached thermometer</x:v>
      </x:c>
      <x:c r="C13" s="19" t="str">
        <x:v>temperature_threshold</x:v>
      </x:c>
      <x:c r="D13" s="19" t="str">
        <x:v>CONTEXT_REQUIRED</x:v>
      </x:c>
      <x:c r="E13" s="34" t="n">
        <x:v>6.901375293466572e-8</x:v>
      </x:c>
      <x:c r="F13" s="34" t="n">
        <x:v>6.23682937239689e-9</x:v>
      </x:c>
      <x:c r="G13" s="34" t="n">
        <x:v>1.085817696172553e-9</x:v>
      </x:c>
      <x:c r="H13" s="34" t="n">
        <x:v>1.281888230980632e-9</x:v>
      </x:c>
      <x:c r="I13" s="34" t="n">
        <x:v>1.619115414658312e-9</x:v>
      </x:c>
      <x:c r="J13" s="34" t="n">
        <x:v>1.450501822819472e-9</x:v>
      </x:c>
      <x:c r="K13" s="34" t="n">
        <x:v>6.538322626370441e-10</x:v>
      </x:c>
      <x:c r="L13" s="34" t="n">
        <x:v>3.406469412103874e-9</x:v>
      </x:c>
      <x:c r="M13" s="57" t="n">
        <x:v>2022</x:v>
      </x:c>
    </x:row>
    <x:row r="14" ht="23" customHeight="1">
      <x:c r="A14" s="18" t="str">
        <x:v>FT-Q-V01-010</x:v>
      </x:c>
      <x:c r="B14" s="31" t="str">
        <x:v>dry bulb thermometer</x:v>
      </x:c>
      <x:c r="C14" s="19" t="str">
        <x:v>temperature_threshold</x:v>
      </x:c>
      <x:c r="D14" s="19" t="str">
        <x:v>CONTEXT_REQUIRED</x:v>
      </x:c>
      <x:c r="E14" s="34" t="n">
        <x:v>8.854272692815357e-8</x:v>
      </x:c>
      <x:c r="F14" s="34" t="n">
        <x:v>2.359136080931634e-8</x:v>
      </x:c>
      <x:c r="G14" s="34" t="n">
        <x:v>5.081662771133644e-9</x:v>
      </x:c>
      <x:c r="H14" s="34" t="n">
        <x:v>4.013041593475819e-9</x:v>
      </x:c>
      <x:c r="I14" s="34" t="n">
        <x:v>4.081663229626997e-9</x:v>
      </x:c>
      <x:c r="J14" s="34" t="n">
        <x:v>4.047352411551408e-9</x:v>
      </x:c>
      <x:c r="K14" s="34" t="n">
        <x:v>3.149171701188891e-9</x:v>
      </x:c>
      <x:c r="L14" s="34" t="n">
        <x:v>8.466447189159343e-9</x:v>
      </x:c>
      <x:c r="M14" s="57" t="n">
        <x:v>2022</x:v>
      </x:c>
    </x:row>
    <x:row r="15" ht="23" customHeight="1">
      <x:c r="A15" s="18" t="str">
        <x:v>FT-Q-V01-011</x:v>
      </x:c>
      <x:c r="B15" s="31" t="str">
        <x:v>wet bulb thermometer</x:v>
      </x:c>
      <x:c r="C15" s="19" t="str">
        <x:v>temperature_threshold</x:v>
      </x:c>
      <x:c r="D15" s="19" t="str">
        <x:v>CONTEXT_REQUIRED</x:v>
      </x:c>
      <x:c r="E15" s="34" t="n">
        <x:v>7.550155167734829e-9</x:v>
      </x:c>
      <x:c r="F15" s="34" t="n">
        <x:v>2.579159086302241e-8</x:v>
      </x:c>
      <x:c r="G15" s="34" t="n">
        <x:v>5.406024211618288e-9</x:v>
      </x:c>
      <x:c r="H15" s="34" t="n">
        <x:v>5.350721948849113e-9</x:v>
      </x:c>
      <x:c r="I15" s="34" t="n">
        <x:v>4.421801869103348e-9</x:v>
      </x:c>
      <x:c r="J15" s="34" t="n">
        <x:v>4.88626190897623e-9</x:v>
      </x:c>
      <x:c r="K15" s="34" t="n">
        <x:v>2.749276847846538e-9</x:v>
      </x:c>
      <x:c r="L15" s="34" t="n">
        <x:v>7.142087012079745e-9</x:v>
      </x:c>
      <x:c r="M15" s="57" t="n">
        <x:v>2022</x:v>
      </x:c>
    </x:row>
    <x:row r="16" ht="23" customHeight="1">
      <x:c r="A16" s="18" t="str">
        <x:v>FT-Q-V01-012</x:v>
      </x:c>
      <x:c r="B16" s="31" t="str">
        <x:v>meteorological observations</x:v>
      </x:c>
      <x:c r="C16" s="19" t="str">
        <x:v>climate</x:v>
      </x:c>
      <x:c r="D16" s="19" t="str">
        <x:v>CONTEXT_REQUIRED</x:v>
      </x:c>
      <x:c r="E16" s="34" t="n">
        <x:v>9.468428674996865e-7</x:v>
      </x:c>
      <x:c r="F16" s="34" t="n">
        <x:v>1.848774440205148e-7</x:v>
      </x:c>
      <x:c r="G16" s="34" t="n">
        <x:v>1.338023542483968e-7</x:v>
      </x:c>
      <x:c r="H16" s="34" t="n">
        <x:v>5.699824457902625e-8</x:v>
      </x:c>
      <x:c r="I16" s="34" t="n">
        <x:v>5.293608024148355e-8</x:v>
      </x:c>
      <x:c r="J16" s="34" t="n">
        <x:v>5.49671624102549e-8</x:v>
      </x:c>
      <x:c r="K16" s="34" t="n">
        <x:v>3.44663013546187e-8</x:v>
      </x:c>
      <x:c r="L16" s="34" t="n">
        <x:v>6.520955656008631e-8</x:v>
      </x:c>
      <x:c r="M16" s="57" t="n">
        <x:v>2022</x:v>
      </x:c>
    </x:row>
    <x:row r="17" ht="23" customHeight="1">
      <x:c r="A17" s="18" t="str">
        <x:v>FT-Q-V01-013</x:v>
      </x:c>
      <x:c r="B17" s="31" t="str">
        <x:v>meteorological journal</x:v>
      </x:c>
      <x:c r="C17" s="19" t="str">
        <x:v>climate</x:v>
      </x:c>
      <x:c r="D17" s="19" t="str">
        <x:v>CONTEXT_REQUIRED</x:v>
      </x:c>
      <x:c r="E17" s="34" t="n">
        <x:v>5.256654992402687e-7</x:v>
      </x:c>
      <x:c r="F17" s="34" t="n">
        <x:v>4.900366015747615e-9</x:v>
      </x:c>
      <x:c r="G17" s="34" t="n">
        <x:v>2.023569350279031e-9</x:v>
      </x:c>
      <x:c r="H17" s="34" t="n">
        <x:v>2.472213010695778e-9</x:v>
      </x:c>
      <x:c r="I17" s="34" t="n">
        <x:v>3.598034273299966e-9</x:v>
      </x:c>
      <x:c r="J17" s="34" t="n">
        <x:v>3.035123641997872e-9</x:v>
      </x:c>
      <x:c r="K17" s="34" t="n">
        <x:v>3.782886774661431e-9</x:v>
      </x:c>
      <x:c r="L17" s="34" t="n">
        <x:v>2.964070766608984e-9</x:v>
      </x:c>
      <x:c r="M17" s="57" t="n">
        <x:v>2022</x:v>
      </x:c>
    </x:row>
    <x:row r="18" ht="23" customHeight="1">
      <x:c r="A18" s="18" t="str">
        <x:v>FT-Q-V01-014</x:v>
      </x:c>
      <x:c r="B18" s="31" t="str">
        <x:v>weather</x:v>
      </x:c>
      <x:c r="C18" s="19" t="str">
        <x:v>climate</x:v>
      </x:c>
      <x:c r="D18" s="19" t="str">
        <x:v>BACKGROUND_AMBIGUOUS</x:v>
      </x:c>
      <x:c r="E18" s="34" t="n">
        <x:v>0.00004329318915097247</x:v>
      </x:c>
      <x:c r="F18" s="34" t="n">
        <x:v>0.00005426566421712353</x:v>
      </x:c>
      <x:c r="G18" s="34" t="n">
        <x:v>0.00002997015501321476</x:v>
      </x:c>
      <x:c r="H18" s="34" t="n">
        <x:v>0.00002847566345511032</x:v>
      </x:c>
      <x:c r="I18" s="34" t="n">
        <x:v>0.00002852544831488668</x:v>
      </x:c>
      <x:c r="J18" s="34" t="n">
        <x:v>0.0000285005558849985</x:v>
      </x:c>
      <x:c r="K18" s="34" t="n">
        <x:v>0.00003181802008718482</x:v>
      </x:c>
      <x:c r="L18" s="34" t="n">
        <x:v>0.00003185808739692569</x:v>
      </x:c>
      <x:c r="M18" s="57" t="n">
        <x:v>2022</x:v>
      </x:c>
    </x:row>
    <x:row r="19" ht="23" customHeight="1">
      <x:c r="A19" s="18" t="str">
        <x:v>FT-Q-V01-015</x:v>
      </x:c>
      <x:c r="B19" s="31" t="str">
        <x:v>climate</x:v>
      </x:c>
      <x:c r="C19" s="19" t="str">
        <x:v>climate</x:v>
      </x:c>
      <x:c r="D19" s="19" t="str">
        <x:v>BACKGROUND_AMBIGUOUS</x:v>
      </x:c>
      <x:c r="E19" s="34" t="n">
        <x:v>0.00003055828983633546</x:v>
      </x:c>
      <x:c r="F19" s="34" t="n">
        <x:v>0.00001196127764144239</x:v>
      </x:c>
      <x:c r="G19" s="34" t="n">
        <x:v>0.00002184559476219039</x:v>
      </x:c>
      <x:c r="H19" s="34" t="n">
        <x:v>0.00003083595194560557</x:v>
      </x:c>
      <x:c r="I19" s="34" t="n">
        <x:v>0.00003638060761700784</x:v>
      </x:c>
      <x:c r="J19" s="34" t="n">
        <x:v>0.0000336082797813067</x:v>
      </x:c>
      <x:c r="K19" s="34" t="n">
        <x:v>0.00004357352890455024</x:v>
      </x:c>
      <x:c r="L19" s="34" t="n">
        <x:v>0.00006484931783038578</x:v>
      </x:c>
      <x:c r="M19" s="57" t="n">
        <x:v>2022</x:v>
      </x:c>
    </x:row>
    <x:row r="20" ht="23" customHeight="1">
      <x:c r="A20" s="18" t="str">
        <x:v>FT-Q-V01-016</x:v>
      </x:c>
      <x:c r="B20" s="31" t="str">
        <x:v>sun's heat</x:v>
      </x:c>
      <x:c r="C20" s="19" t="str">
        <x:v>heat</x:v>
      </x:c>
      <x:c r="D20" s="19" t="str">
        <x:v>CONTEXT_REQUIRED</x:v>
      </x:c>
      <x:c r="E20" s="34" t="str"/>
      <x:c r="F20" s="34" t="str"/>
      <x:c r="G20" s="34" t="str"/>
      <x:c r="H20" s="34" t="str"/>
      <x:c r="I20" s="34" t="str"/>
      <x:c r="J20" s="34" t="str"/>
      <x:c r="K20" s="34" t="str"/>
      <x:c r="L20" s="34" t="str"/>
      <x:c r="M20" s="57" t="n">
        <x:v>2022</x:v>
      </x:c>
    </x:row>
    <x:row r="21" ht="23" customHeight="1">
      <x:c r="A21" s="18" t="str">
        <x:v>FT-Q-V01-017</x:v>
      </x:c>
      <x:c r="B21" s="31" t="str">
        <x:v>radiation of the heat</x:v>
      </x:c>
      <x:c r="C21" s="19" t="str">
        <x:v>heat</x:v>
      </x:c>
      <x:c r="D21" s="19" t="str">
        <x:v>CONTEXT_REQUIRED</x:v>
      </x:c>
      <x:c r="E21" s="34" t="n">
        <x:v>5.867545560533927e-9</x:v>
      </x:c>
      <x:c r="F21" s="34" t="n">
        <x:v>2.708925944672202e-9</x:v>
      </x:c>
      <x:c r="G21" s="34" t="n">
        <x:v>1.792699877434245e-10</x:v>
      </x:c>
      <x:c r="H21" s="34" t="n">
        <x:v>4.318347346377038e-10</x:v>
      </x:c>
      <x:c r="I21" s="34" t="n">
        <x:v>7.925886058579579e-10</x:v>
      </x:c>
      <x:c r="J21" s="34" t="n">
        <x:v>6.122116702478309e-10</x:v>
      </x:c>
      <x:c r="K21" s="34" t="n">
        <x:v>4.301466960399125e-10</x:v>
      </x:c>
      <x:c r="L21" s="34" t="n">
        <x:v>5.081168263920688e-10</x:v>
      </x:c>
      <x:c r="M21" s="57" t="n">
        <x:v>2022</x:v>
      </x:c>
    </x:row>
    <x:row r="22" ht="23" customHeight="1">
      <x:c r="A22" s="18" t="str">
        <x:v>FT-Q-V01-018</x:v>
      </x:c>
      <x:c r="B22" s="31" t="str">
        <x:v>changes of temperature</x:v>
      </x:c>
      <x:c r="C22" s="19" t="str">
        <x:v>temperature_threshold</x:v>
      </x:c>
      <x:c r="D22" s="19" t="str">
        <x:v>CONTEXT_REQUIRED</x:v>
      </x:c>
      <x:c r="E22" s="34" t="n">
        <x:v>6.602953730450167e-7</x:v>
      </x:c>
      <x:c r="F22" s="34" t="n">
        <x:v>2.283350331311329e-7</x:v>
      </x:c>
      <x:c r="G22" s="34" t="n">
        <x:v>3.962615856278884e-8</x:v>
      </x:c>
      <x:c r="H22" s="34" t="n">
        <x:v>2.754631066997915e-8</x:v>
      </x:c>
      <x:c r="I22" s="34" t="n">
        <x:v>4.290605436219064e-8</x:v>
      </x:c>
      <x:c r="J22" s="34" t="n">
        <x:v>3.522618251608489e-8</x:v>
      </x:c>
      <x:c r="K22" s="34" t="n">
        <x:v>2.989213794199475e-8</x:v>
      </x:c>
      <x:c r="L22" s="34" t="n">
        <x:v>6.394769389017618e-8</x:v>
      </x:c>
      <x:c r="M22" s="57" t="n">
        <x:v>2022</x:v>
      </x:c>
    </x:row>
    <x:row r="23" ht="23" customHeight="1">
      <x:c r="A23" s="18" t="str">
        <x:v>FT-Q-V01-019</x:v>
      </x:c>
      <x:c r="B23" s="31" t="str">
        <x:v>excessive heat</x:v>
      </x:c>
      <x:c r="C23" s="19" t="str">
        <x:v>heat</x:v>
      </x:c>
      <x:c r="D23" s="19" t="str">
        <x:v>CONTEXT_REQUIRED</x:v>
      </x:c>
      <x:c r="E23" s="34" t="n">
        <x:v>4.727764535417123e-7</x:v>
      </x:c>
      <x:c r="F23" s="34" t="n">
        <x:v>4.204291131626459e-7</x:v>
      </x:c>
      <x:c r="G23" s="34" t="n">
        <x:v>1.919429495761404e-7</x:v>
      </x:c>
      <x:c r="H23" s="34" t="n">
        <x:v>1.719103683017753e-7</x:v>
      </x:c>
      <x:c r="I23" s="34" t="n">
        <x:v>1.945187375618218e-7</x:v>
      </x:c>
      <x:c r="J23" s="34" t="n">
        <x:v>1.832145529317986e-7</x:v>
      </x:c>
      <x:c r="K23" s="34" t="n">
        <x:v>1.528099464187527e-7</x:v>
      </x:c>
      <x:c r="L23" s="34" t="n">
        <x:v>1.668727563908234e-7</x:v>
      </x:c>
      <x:c r="M23" s="57" t="n">
        <x:v>2022</x:v>
      </x:c>
    </x:row>
    <x:row r="24" ht="23" customHeight="1">
      <x:c r="A24" s="18" t="str">
        <x:v>FT-Q-V01-020</x:v>
      </x:c>
      <x:c r="B24" s="31" t="str">
        <x:v>heat of the men</x:v>
      </x:c>
      <x:c r="C24" s="19" t="str">
        <x:v>heat</x:v>
      </x:c>
      <x:c r="D24" s="19" t="str">
        <x:v>CONTEXT_REQUIRED</x:v>
      </x:c>
      <x:c r="E24" s="34" t="n">
        <x:v>7.334431950667408e-10</x:v>
      </x:c>
      <x:c r="F24" s="34" t="n">
        <x:v>0</x:v>
      </x:c>
      <x:c r="G24" s="34" t="n">
        <x:v>5.975666489410614e-11</x:v>
      </x:c>
      <x:c r="H24" s="34" t="n">
        <x:v>5.397934182971298e-11</x:v>
      </x:c>
      <x:c r="I24" s="34" t="n">
        <x:v>1.585177267227067e-10</x:v>
      </x:c>
      <x:c r="J24" s="34" t="n">
        <x:v>1.062485342762098e-10</x:v>
      </x:c>
      <x:c r="K24" s="34" t="n">
        <x:v>1.613050110149672e-10</x:v>
      </x:c>
      <x:c r="L24" s="34" t="n">
        <x:v>1.524350368153904e-10</x:v>
      </x:c>
      <x:c r="M24" s="57" t="n">
        <x:v>2022</x:v>
      </x:c>
    </x:row>
    <x:row r="25" ht="23" customHeight="1">
      <x:c r="A25" s="18" t="str">
        <x:v>FT-Q-V01-021</x:v>
      </x:c>
      <x:c r="B25" s="31" t="str">
        <x:v>artificial production of carbon dioxide</x:v>
      </x:c>
      <x:c r="C25" s="19" t="str">
        <x:v>carbon_greenhouse</x:v>
      </x:c>
      <x:c r="D25" s="19" t="str">
        <x:v>CONTEXT_REQUIRED</x:v>
      </x:c>
      <x:c r="E25" s="34" t="n">
        <x:v>0</x:v>
      </x:c>
      <x:c r="F25" s="34" t="n">
        <x:v>4.288904842386643e-9</x:v>
      </x:c>
      <x:c r="G25" s="34" t="n">
        <x:v>3.258350533830168e-10</x:v>
      </x:c>
      <x:c r="H25" s="34" t="n">
        <x:v>5.240586020693883e-10</x:v>
      </x:c>
      <x:c r="I25" s="34" t="n">
        <x:v>9.678072787622227e-10</x:v>
      </x:c>
      <x:c r="J25" s="34" t="n">
        <x:v>7.459329404158055e-10</x:v>
      </x:c>
      <x:c r="K25" s="34" t="n">
        <x:v>1.151764794649068e-9</x:v>
      </x:c>
      <x:c r="L25" s="34" t="n">
        <x:v>1.794034754087903e-9</x:v>
      </x:c>
      <x:c r="M25" s="57" t="n">
        <x:v>2022</x:v>
      </x:c>
    </x:row>
    <x:row r="26" ht="23" customHeight="1">
      <x:c r="A26" s="18" t="str">
        <x:v>FT-Q-V01-022</x:v>
      </x:c>
      <x:c r="B26" s="31" t="str">
        <x:v>carbon dioxide</x:v>
      </x:c>
      <x:c r="C26" s="19" t="str">
        <x:v>carbon_greenhouse</x:v>
      </x:c>
      <x:c r="D26" s="19" t="str">
        <x:v>CONTEXT_REQUIRED</x:v>
      </x:c>
      <x:c r="E26" s="34" t="n">
        <x:v>7.094871634638622e-9</x:v>
      </x:c>
      <x:c r="F26" s="34" t="n">
        <x:v>0.000009657730330014935</x:v>
      </x:c>
      <x:c r="G26" s="34" t="n">
        <x:v>0.000007055988905570881</x:v>
      </x:c>
      <x:c r="H26" s="34" t="n">
        <x:v>0.000006240827137342364</x:v>
      </x:c>
      <x:c r="I26" s="34" t="n">
        <x:v>0.000007639031842188865</x:v>
      </x:c>
      <x:c r="J26" s="34" t="n">
        <x:v>0.000006939929489765614</x:v>
      </x:c>
      <x:c r="K26" s="34" t="n">
        <x:v>0.000007018469256155763</x:v>
      </x:c>
      <x:c r="L26" s="34" t="n">
        <x:v>0.000007577890368426488</x:v>
      </x:c>
      <x:c r="M26" s="57" t="n">
        <x:v>2022</x:v>
      </x:c>
    </x:row>
    <x:row r="27" ht="23" customHeight="1">
      <x:c r="A27" s="18" t="str">
        <x:v>FT-Q-V01-023</x:v>
      </x:c>
      <x:c r="B27" s="31" t="str">
        <x:v>fuel combustion</x:v>
      </x:c>
      <x:c r="C27" s="19" t="str">
        <x:v>carbon_greenhouse</x:v>
      </x:c>
      <x:c r="D27" s="19" t="str">
        <x:v>CONTEXT_REQUIRED</x:v>
      </x:c>
      <x:c r="E27" s="34" t="n">
        <x:v>0</x:v>
      </x:c>
      <x:c r="F27" s="34" t="n">
        <x:v>3.608451315528782e-8</x:v>
      </x:c>
      <x:c r="G27" s="34" t="n">
        <x:v>2.62274336634144e-7</x:v>
      </x:c>
      <x:c r="H27" s="34" t="n">
        <x:v>1.396342554360608e-7</x:v>
      </x:c>
      <x:c r="I27" s="34" t="n">
        <x:v>1.814758646689896e-7</x:v>
      </x:c>
      <x:c r="J27" s="34" t="n">
        <x:v>1.605550600525252e-7</x:v>
      </x:c>
      <x:c r="K27" s="34" t="n">
        <x:v>1.964765977136018e-7</x:v>
      </x:c>
      <x:c r="L27" s="34" t="n">
        <x:v>2.188545896730787e-7</x:v>
      </x:c>
      <x:c r="M27" s="57" t="n">
        <x:v>2022</x:v>
      </x:c>
    </x:row>
    <x:row r="28" ht="23" customHeight="1">
      <x:c r="A28" s="18" t="str">
        <x:v>FT-Q-V01-024</x:v>
      </x:c>
      <x:c r="B28" s="31" t="str">
        <x:v>air</x:v>
      </x:c>
      <x:c r="C28" s="19" t="str">
        <x:v>climate</x:v>
      </x:c>
      <x:c r="D28" s="19" t="str">
        <x:v>BACKGROUND_AMBIGUOUS</x:v>
      </x:c>
      <x:c r="E28" s="34" t="n">
        <x:v>0.0001596951176452421</x:v>
      </x:c>
      <x:c r="F28" s="34" t="n">
        <x:v>0.0002449050748590531</x:v>
      </x:c>
      <x:c r="G28" s="34" t="n">
        <x:v>0.000195882758400559</x:v>
      </x:c>
      <x:c r="H28" s="34" t="n">
        <x:v>0.0001554248265307964</x:v>
      </x:c>
      <x:c r="I28" s="34" t="n">
        <x:v>0.0001617948143970288</x:v>
      </x:c>
      <x:c r="J28" s="34" t="n">
        <x:v>0.0001586098204639126</x:v>
      </x:c>
      <x:c r="K28" s="34" t="n">
        <x:v>0.0001673772195566331</x:v>
      </x:c>
      <x:c r="L28" s="34" t="n">
        <x:v>0.0001629262595982672</x:v>
      </x:c>
      <x:c r="M28" s="57" t="n">
        <x:v>2022</x:v>
      </x:c>
    </x:row>
    <x:row r="29" ht="23" customHeight="1">
      <x:c r="A29" s="18" t="str">
        <x:v>FT-Q-V01-025</x:v>
      </x:c>
      <x:c r="B29" s="31" t="str">
        <x:v>atmosphere</x:v>
      </x:c>
      <x:c r="C29" s="19" t="str">
        <x:v>climate</x:v>
      </x:c>
      <x:c r="D29" s="19" t="str">
        <x:v>BACKGROUND_AMBIGUOUS</x:v>
      </x:c>
      <x:c r="E29" s="34" t="n">
        <x:v>0.00002831485350895946</x:v>
      </x:c>
      <x:c r="F29" s="34" t="n">
        <x:v>0.00001888270770677991</x:v>
      </x:c>
      <x:c r="G29" s="34" t="n">
        <x:v>0.00002367981869610958</x:v>
      </x:c>
      <x:c r="H29" s="34" t="n">
        <x:v>0.00002126778495892268</x:v>
      </x:c>
      <x:c r="I29" s="34" t="n">
        <x:v>0.00002173044436442478</x:v>
      </x:c>
      <x:c r="J29" s="34" t="n">
        <x:v>0.00002149911466167373</x:v>
      </x:c>
      <x:c r="K29" s="34" t="n">
        <x:v>0.00002122521947781064</x:v>
      </x:c>
      <x:c r="L29" s="34" t="n">
        <x:v>0.00002270211442953474</x:v>
      </x:c>
      <x:c r="M29" s="57" t="n">
        <x:v>2022</x:v>
      </x:c>
    </x:row>
    <x:row r="30" ht="23" customHeight="1">
      <x:c r="A30" s="18" t="str">
        <x:v>FT-Q-V01-026</x:v>
      </x:c>
      <x:c r="B30" s="31" t="str">
        <x:v>radiation absorption coefficients</x:v>
      </x:c>
      <x:c r="C30" s="19" t="str">
        <x:v>climate</x:v>
      </x:c>
      <x:c r="D30" s="19" t="str">
        <x:v>CONTEXT_REQUIRED</x:v>
      </x:c>
      <x:c r="E30" s="34" t="n">
        <x:v>0</x:v>
      </x:c>
      <x:c r="F30" s="34" t="n">
        <x:v>1.222350221041779e-9</x:v>
      </x:c>
      <x:c r="G30" s="34" t="n">
        <x:v>3.784216828783826e-10</x:v>
      </x:c>
      <x:c r="H30" s="34" t="n">
        <x:v>9.908744658115864e-11</x:v>
      </x:c>
      <x:c r="I30" s="34" t="n">
        <x:v>3.887298122284832e-10</x:v>
      </x:c>
      <x:c r="J30" s="34" t="n">
        <x:v>2.439086294048209e-10</x:v>
      </x:c>
      <x:c r="K30" s="34" t="n">
        <x:v>9.997370292724739e-11</x:v>
      </x:c>
      <x:c r="L30" s="34" t="n">
        <x:v>4.729858865681891e-11</x:v>
      </x:c>
      <x:c r="M30" s="57" t="n">
        <x:v>2022</x:v>
      </x:c>
    </x:row>
    <x:row r="31" ht="23" customHeight="1">
      <x:c r="A31" s="18" t="str">
        <x:v>FT-Q-V01-027</x:v>
      </x:c>
      <x:c r="B31" s="31" t="str">
        <x:v>water vapour</x:v>
      </x:c>
      <x:c r="C31" s="19" t="str">
        <x:v>climate</x:v>
      </x:c>
      <x:c r="D31" s="19" t="str">
        <x:v>CONTEXT_REQUIRED</x:v>
      </x:c>
      <x:c r="E31" s="34" t="n">
        <x:v>4.514918217068953e-9</x:v>
      </x:c>
      <x:c r="F31" s="34" t="n">
        <x:v>6.766959614878942e-7</x:v>
      </x:c>
      <x:c r="G31" s="34" t="n">
        <x:v>6.493189931566778e-7</x:v>
      </x:c>
      <x:c r="H31" s="34" t="n">
        <x:v>5.637561245712408e-7</x:v>
      </x:c>
      <x:c r="I31" s="34" t="n">
        <x:v>5.652062349884024e-7</x:v>
      </x:c>
      <x:c r="J31" s="34" t="n">
        <x:v>5.644811797798216e-7</x:v>
      </x:c>
      <x:c r="K31" s="34" t="n">
        <x:v>5.057859777633789e-7</x:v>
      </x:c>
      <x:c r="L31" s="34" t="n">
        <x:v>5.510517200879583e-7</x:v>
      </x:c>
      <x:c r="M31" s="57" t="n">
        <x:v>2022</x:v>
      </x:c>
    </x:row>
    <x:row r="32" ht="23" customHeight="1">
      <x:c r="A32" s="18" t="str">
        <x:v>FT-Q-V01-028</x:v>
      </x:c>
      <x:c r="B32" s="31" t="str">
        <x:v>sky radiation</x:v>
      </x:c>
      <x:c r="C32" s="19" t="str">
        <x:v>climate</x:v>
      </x:c>
      <x:c r="D32" s="19" t="str">
        <x:v>CONTEXT_REQUIRED</x:v>
      </x:c>
      <x:c r="E32" s="34" t="n">
        <x:v>0</x:v>
      </x:c>
      <x:c r="F32" s="34" t="n">
        <x:v>7.016433356543672e-8</x:v>
      </x:c>
      <x:c r="G32" s="34" t="n">
        <x:v>3.519036362309436e-8</x:v>
      </x:c>
      <x:c r="H32" s="34" t="n">
        <x:v>1.011776039339107e-8</x:v>
      </x:c>
      <x:c r="I32" s="34" t="n">
        <x:v>1.097400473965005e-8</x:v>
      </x:c>
      <x:c r="J32" s="34" t="n">
        <x:v>1.054588256652056e-8</x:v>
      </x:c>
      <x:c r="K32" s="34" t="n">
        <x:v>7.612475511065142e-9</x:v>
      </x:c>
      <x:c r="L32" s="34" t="n">
        <x:v>8.007414870059293e-9</x:v>
      </x:c>
      <x:c r="M32" s="57" t="n">
        <x:v>2022</x:v>
      </x:c>
    </x:row>
    <x:row r="33" ht="23" customHeight="1">
      <x:c r="A33" s="18" t="str">
        <x:v>FT-Q-V01-029</x:v>
      </x:c>
      <x:c r="B33" s="31" t="str">
        <x:v>increase in mean temperature</x:v>
      </x:c>
      <x:c r="C33" s="19" t="str">
        <x:v>temperature_threshold</x:v>
      </x:c>
      <x:c r="D33" s="19" t="str">
        <x:v>CONTEXT_REQUIRED</x:v>
      </x:c>
      <x:c r="E33" s="34" t="n">
        <x:v>0</x:v>
      </x:c>
      <x:c r="F33" s="34" t="n">
        <x:v>2.30258700995023e-9</x:v>
      </x:c>
      <x:c r="G33" s="34" t="n">
        <x:v>1.254889969715123e-9</x:v>
      </x:c>
      <x:c r="H33" s="34" t="n">
        <x:v>1.511421543476388e-9</x:v>
      </x:c>
      <x:c r="I33" s="34" t="n">
        <x:v>2.430605078318493e-9</x:v>
      </x:c>
      <x:c r="J33" s="34" t="n">
        <x:v>1.97101331089744e-9</x:v>
      </x:c>
      <x:c r="K33" s="34" t="n">
        <x:v>1.774355107286851e-9</x:v>
      </x:c>
      <x:c r="L33" s="34" t="n">
        <x:v>3.455194436119413e-9</x:v>
      </x:c>
      <x:c r="M33" s="57" t="n">
        <x:v>2022</x:v>
      </x:c>
    </x:row>
    <x:row r="34" ht="23" customHeight="1">
      <x:c r="A34" s="18" t="str">
        <x:v>FT-Q-V01-030</x:v>
      </x:c>
      <x:c r="B34" s="31" t="str">
        <x:v>mean temperature</x:v>
      </x:c>
      <x:c r="C34" s="19" t="str">
        <x:v>temperature_threshold</x:v>
      </x:c>
      <x:c r="D34" s="19" t="str">
        <x:v>CONTEXT_REQUIRED</x:v>
      </x:c>
      <x:c r="E34" s="34" t="n">
        <x:v>0.000002365172290907935</x:v>
      </x:c>
      <x:c r="F34" s="34" t="n">
        <x:v>0.00000106460447896195</x:v>
      </x:c>
      <x:c r="G34" s="34" t="n">
        <x:v>5.396020415979197e-7</x:v>
      </x:c>
      <x:c r="H34" s="34" t="n">
        <x:v>4.059007448348195e-7</x:v>
      </x:c>
      <x:c r="I34" s="34" t="n">
        <x:v>4.200255244168893e-7</x:v>
      </x:c>
      <x:c r="J34" s="34" t="n">
        <x:v>4.129631346258544e-7</x:v>
      </x:c>
      <x:c r="K34" s="34" t="n">
        <x:v>3.047325316460348e-7</x:v>
      </x:c>
      <x:c r="L34" s="34" t="n">
        <x:v>3.990877988080399e-7</x:v>
      </x:c>
      <x:c r="M34" s="57" t="n">
        <x:v>2022</x:v>
      </x:c>
    </x:row>
    <x:row r="35" ht="23" customHeight="1">
      <x:c r="A35" s="18" t="str">
        <x:v>FT-Q-V01-031</x:v>
      </x:c>
      <x:c r="B35" s="31" t="str">
        <x:v>temperature observations</x:v>
      </x:c>
      <x:c r="C35" s="19" t="str">
        <x:v>temperature_threshold</x:v>
      </x:c>
      <x:c r="D35" s="19" t="str">
        <x:v>CONTEXT_REQUIRED</x:v>
      </x:c>
      <x:c r="E35" s="34" t="n">
        <x:v>0</x:v>
      </x:c>
      <x:c r="F35" s="34" t="n">
        <x:v>3.630725631253995e-8</x:v>
      </x:c>
      <x:c r="G35" s="34" t="n">
        <x:v>4.333399722389331e-8</x:v>
      </x:c>
      <x:c r="H35" s="34" t="n">
        <x:v>1.327669915673901e-8</x:v>
      </x:c>
      <x:c r="I35" s="34" t="n">
        <x:v>1.196346471887821e-8</x:v>
      </x:c>
      <x:c r="J35" s="34" t="n">
        <x:v>1.262008193780861e-8</x:v>
      </x:c>
      <x:c r="K35" s="34" t="n">
        <x:v>8.032796372514639e-9</x:v>
      </x:c>
      <x:c r="L35" s="34" t="n">
        <x:v>1.079452616181698e-8</x:v>
      </x:c>
      <x:c r="M35" s="57" t="n">
        <x:v>2022</x:v>
      </x:c>
    </x:row>
    <x:row r="36" ht="23" customHeight="1">
      <x:c r="A36" s="18" t="str">
        <x:v>FT-Q-V01-032</x:v>
      </x:c>
      <x:c r="B36" s="31" t="str">
        <x:v>meteorological stations</x:v>
      </x:c>
      <x:c r="C36" s="19" t="str">
        <x:v>climate</x:v>
      </x:c>
      <x:c r="D36" s="19" t="str">
        <x:v>CONTEXT_REQUIRED</x:v>
      </x:c>
      <x:c r="E36" s="34" t="n">
        <x:v>6.449883405146295e-10</x:v>
      </x:c>
      <x:c r="F36" s="34" t="n">
        <x:v>9.076814153075041e-8</x:v>
      </x:c>
      <x:c r="G36" s="34" t="n">
        <x:v>9.47622730285147e-8</x:v>
      </x:c>
      <x:c r="H36" s="34" t="n">
        <x:v>6.752804135312651e-8</x:v>
      </x:c>
      <x:c r="I36" s="34" t="n">
        <x:v>5.707381896605246e-8</x:v>
      </x:c>
      <x:c r="J36" s="34" t="n">
        <x:v>6.230093015958948e-8</x:v>
      </x:c>
      <x:c r="K36" s="34" t="n">
        <x:v>4.119143208469733e-8</x:v>
      </x:c>
      <x:c r="L36" s="34" t="n">
        <x:v>5.706942204919407e-8</x:v>
      </x:c>
      <x:c r="M36" s="57" t="n">
        <x:v>2022</x:v>
      </x:c>
    </x:row>
    <x:row r="37" ht="23" customHeight="1">
      <x:c r="A37" s="18" t="str">
        <x:v>FT-Q-V01-033</x:v>
      </x:c>
      <x:c r="B37" s="31" t="str">
        <x:v>world temperatures</x:v>
      </x:c>
      <x:c r="C37" s="19" t="str">
        <x:v>temperature_threshold</x:v>
      </x:c>
      <x:c r="D37" s="19" t="str">
        <x:v>CONTEXT_REQUIRED</x:v>
      </x:c>
      <x:c r="E37" s="34" t="n">
        <x:v>0</x:v>
      </x:c>
      <x:c r="F37" s="34" t="n">
        <x:v>2.561554982016823e-9</x:v>
      </x:c>
      <x:c r="G37" s="34" t="n">
        <x:v>4.590047536501274e-9</x:v>
      </x:c>
      <x:c r="H37" s="34" t="n">
        <x:v>4.761299195188418e-9</x:v>
      </x:c>
      <x:c r="I37" s="34" t="n">
        <x:v>7.465921342958426e-9</x:v>
      </x:c>
      <x:c r="J37" s="34" t="n">
        <x:v>6.113610269073422e-9</x:v>
      </x:c>
      <x:c r="K37" s="34" t="n">
        <x:v>5.650978740501245e-9</x:v>
      </x:c>
      <x:c r="L37" s="34" t="n">
        <x:v>4.114307144975626e-9</x:v>
      </x:c>
      <x:c r="M37" s="57" t="n">
        <x:v>2022</x:v>
      </x:c>
    </x:row>
    <x:row r="38" ht="23" customHeight="1">
      <x:c r="A38" s="18" t="str">
        <x:v>FT-Q-V01-034</x:v>
      </x:c>
      <x:c r="B38" s="31" t="str">
        <x:v>actually increased</x:v>
      </x:c>
      <x:c r="C38" s="19" t="str">
        <x:v>warming</x:v>
      </x:c>
      <x:c r="D38" s="19" t="str">
        <x:v>CONTEXT_REQUIRED</x:v>
      </x:c>
      <x:c r="E38" s="34" t="n">
        <x:v>5.611398634641773e-8</x:v>
      </x:c>
      <x:c r="F38" s="34" t="n">
        <x:v>1.804225649021385e-7</x:v>
      </x:c>
      <x:c r="G38" s="34" t="n">
        <x:v>2.214574481781972e-7</x:v>
      </x:c>
      <x:c r="H38" s="34" t="n">
        <x:v>2.003408214254487e-7</x:v>
      </x:c>
      <x:c r="I38" s="34" t="n">
        <x:v>2.006803638751609e-7</x:v>
      </x:c>
      <x:c r="J38" s="34" t="n">
        <x:v>2.005105926503048e-7</x:v>
      </x:c>
      <x:c r="K38" s="34" t="n">
        <x:v>1.679881892306667e-7</x:v>
      </x:c>
      <x:c r="L38" s="34" t="n">
        <x:v>1.005129691700191e-7</x:v>
      </x:c>
      <x:c r="M38" s="57" t="n">
        <x:v>2022</x:v>
      </x:c>
    </x:row>
    <x:row r="39" ht="23" customHeight="1">
      <x:c r="A39" s="18" t="str">
        <x:v>FT-Q-V01-035</x:v>
      </x:c>
      <x:c r="B39" s="31" t="str">
        <x:v>average rate</x:v>
      </x:c>
      <x:c r="C39" s="19" t="str">
        <x:v>temperature_threshold</x:v>
      </x:c>
      <x:c r="D39" s="19" t="str">
        <x:v>CONTEXT_REQUIRED</x:v>
      </x:c>
      <x:c r="E39" s="34" t="n">
        <x:v>0.000001024886465750274</x:v>
      </x:c>
      <x:c r="F39" s="34" t="n">
        <x:v>0.000002678272757100641</x:v>
      </x:c>
      <x:c r="G39" s="34" t="n">
        <x:v>0.000001477254987107546</x:v>
      </x:c>
      <x:c r="H39" s="34" t="n">
        <x:v>0.000001087956885408026</x:v>
      </x:c>
      <x:c r="I39" s="34" t="n">
        <x:v>0.000001109498924400931</x:v>
      </x:c>
      <x:c r="J39" s="34" t="n">
        <x:v>0.000001098727904904478</x:v>
      </x:c>
      <x:c r="K39" s="34" t="n">
        <x:v>7.784807402877458e-7</x:v>
      </x:c>
      <x:c r="L39" s="34" t="n">
        <x:v>5.522904276411555e-7</x:v>
      </x:c>
      <x:c r="M39" s="57" t="n">
        <x:v>2022</x:v>
      </x:c>
    </x:row>
    <x:row r="40" ht="23" customHeight="1">
      <x:c r="A40" s="18" t="str">
        <x:v>FT-Q-V01-036</x:v>
      </x:c>
      <x:c r="B40" s="31" t="str">
        <x:v>small increases in mean temperature</x:v>
      </x:c>
      <x:c r="C40" s="19" t="str">
        <x:v>temperature_threshold</x:v>
      </x:c>
      <x:c r="D40" s="19" t="str">
        <x:v>CONTEXT_REQUIRED</x:v>
      </x:c>
      <x:c r="E40" s="34" t="str"/>
      <x:c r="F40" s="34" t="str"/>
      <x:c r="G40" s="34" t="str"/>
      <x:c r="H40" s="34" t="str"/>
      <x:c r="I40" s="34" t="str"/>
      <x:c r="J40" s="34" t="str"/>
      <x:c r="K40" s="34" t="str"/>
      <x:c r="L40" s="34" t="str"/>
      <x:c r="M40" s="57" t="n">
        <x:v>2022</x:v>
      </x:c>
    </x:row>
    <x:row r="41" ht="23" customHeight="1">
      <x:c r="A41" s="18" t="str">
        <x:v>FT-Q-V01-037</x:v>
      </x:c>
      <x:c r="B41" s="31" t="str">
        <x:v>deadly glaciers</x:v>
      </x:c>
      <x:c r="C41" s="19" t="str">
        <x:v>danger_threat</x:v>
      </x:c>
      <x:c r="D41" s="19" t="str">
        <x:v>CONTEXT_REQUIRED</x:v>
      </x:c>
      <x:c r="E41" s="34" t="n">
        <x:v>0</x:v>
      </x:c>
      <x:c r="F41" s="34" t="n">
        <x:v>1.113719533263335e-10</x:v>
      </x:c>
      <x:c r="G41" s="34" t="n">
        <x:v>4.9355349668323e-11</x:v>
      </x:c>
      <x:c r="H41" s="34" t="n">
        <x:v>9.156344432659225e-11</x:v>
      </x:c>
      <x:c r="I41" s="34" t="n">
        <x:v>4.497542963055601e-11</x:v>
      </x:c>
      <x:c r="J41" s="34" t="n">
        <x:v>6.826943697857413e-11</x:v>
      </x:c>
      <x:c r="K41" s="34" t="n">
        <x:v>3.269161330532455e-10</x:v>
      </x:c>
      <x:c r="L41" s="34" t="n">
        <x:v>2.211993088696573e-10</x:v>
      </x:c>
      <x:c r="M41" s="57" t="n">
        <x:v>2022</x:v>
      </x:c>
    </x:row>
    <x:row r="42" ht="23" customHeight="1">
      <x:c r="A42" s="18" t="str">
        <x:v>FT-Q-V01-038</x:v>
      </x:c>
      <x:c r="B42" s="31" t="str">
        <x:v>rather a coincidence</x:v>
      </x:c>
      <x:c r="C42" s="19" t="str">
        <x:v>concern_alarm</x:v>
      </x:c>
      <x:c r="D42" s="19" t="str">
        <x:v>CONTEXT_REQUIRED</x:v>
      </x:c>
      <x:c r="E42" s="34" t="n">
        <x:v>1.372755464856823e-9</x:v>
      </x:c>
      <x:c r="F42" s="34" t="n">
        <x:v>4.644931106412287e-9</x:v>
      </x:c>
      <x:c r="G42" s="34" t="n">
        <x:v>7.027831511186022e-10</x:v>
      </x:c>
      <x:c r="H42" s="34" t="n">
        <x:v>9.413307355821132e-10</x:v>
      </x:c>
      <x:c r="I42" s="34" t="n">
        <x:v>8.746421087391099e-10</x:v>
      </x:c>
      <x:c r="J42" s="34" t="n">
        <x:v>9.079864221606115e-10</x:v>
      </x:c>
      <x:c r="K42" s="34" t="n">
        <x:v>2.049460878783549e-9</x:v>
      </x:c>
      <x:c r="L42" s="34" t="n">
        <x:v>3.216303917641383e-9</x:v>
      </x:c>
      <x:c r="M42" s="57" t="n">
        <x:v>2022</x:v>
      </x:c>
    </x:row>
    <x:row r="43" ht="23" customHeight="1">
      <x:c r="A43" s="18" t="str">
        <x:v>FT-Q-V01-039</x:v>
      </x:c>
      <x:c r="B43" s="31" t="str">
        <x:v>Hottest Day for Ten Years</x:v>
      </x:c>
      <x:c r="C43" s="19" t="str">
        <x:v>heat</x:v>
      </x:c>
      <x:c r="D43" s="19" t="str">
        <x:v>CONTEXT_REQUIRED</x:v>
      </x:c>
      <x:c r="E43" s="34" t="str"/>
      <x:c r="F43" s="34" t="str"/>
      <x:c r="G43" s="34" t="str"/>
      <x:c r="H43" s="34" t="str"/>
      <x:c r="I43" s="34" t="str"/>
      <x:c r="J43" s="34" t="str"/>
      <x:c r="K43" s="34" t="str"/>
      <x:c r="L43" s="34" t="str"/>
      <x:c r="M43" s="57" t="n">
        <x:v>2022</x:v>
      </x:c>
    </x:row>
    <x:row r="44" ht="23" customHeight="1">
      <x:c r="A44" s="18" t="str">
        <x:v>FT-Q-V01-040</x:v>
      </x:c>
      <x:c r="B44" s="31" t="str">
        <x:v>Heat Wave Over Queensland</x:v>
      </x:c>
      <x:c r="C44" s="19" t="str">
        <x:v>heat</x:v>
      </x:c>
      <x:c r="D44" s="19" t="str">
        <x:v>CONTEXT_REQUIRED</x:v>
      </x:c>
      <x:c r="E44" s="34" t="str"/>
      <x:c r="F44" s="34" t="str"/>
      <x:c r="G44" s="34" t="str"/>
      <x:c r="H44" s="34" t="str"/>
      <x:c r="I44" s="34" t="str"/>
      <x:c r="J44" s="34" t="str"/>
      <x:c r="K44" s="34" t="str"/>
      <x:c r="L44" s="34" t="str"/>
      <x:c r="M44" s="57" t="n">
        <x:v>2022</x:v>
      </x:c>
    </x:row>
    <x:row r="45" ht="23" customHeight="1">
      <x:c r="A45" s="18" t="str">
        <x:v>FT-Q-V01-041</x:v>
      </x:c>
      <x:c r="B45" s="31" t="str">
        <x:v>greenhouse effect</x:v>
      </x:c>
      <x:c r="C45" s="19" t="str">
        <x:v>carbon_greenhouse</x:v>
      </x:c>
      <x:c r="D45" s="19" t="str">
        <x:v>CLIMATE_SPECIFIC</x:v>
      </x:c>
      <x:c r="E45" s="34" t="n">
        <x:v>0</x:v>
      </x:c>
      <x:c r="F45" s="34" t="n">
        <x:v>9.689360203068986e-9</x:v>
      </x:c>
      <x:c r="G45" s="34" t="n">
        <x:v>0.000001086015104533045</x:v>
      </x:c>
      <x:c r="H45" s="34" t="n">
        <x:v>4.812116740637862e-7</x:v>
      </x:c>
      <x:c r="I45" s="34" t="n">
        <x:v>5.082223493886595e-7</x:v>
      </x:c>
      <x:c r="J45" s="34" t="n">
        <x:v>4.947170117262228e-7</x:v>
      </x:c>
      <x:c r="K45" s="34" t="n">
        <x:v>4.161642502796548e-7</x:v>
      </x:c>
      <x:c r="L45" s="34" t="n">
        <x:v>4.531046594036248e-7</x:v>
      </x:c>
      <x:c r="M45" s="57" t="n">
        <x:v>2022</x:v>
      </x:c>
    </x:row>
    <x:row r="46" ht="23" customHeight="1">
      <x:c r="A46" s="18" t="str">
        <x:v>FT-Q-V01-042</x:v>
      </x:c>
      <x:c r="B46" s="31" t="str">
        <x:v>global warming</x:v>
      </x:c>
      <x:c r="C46" s="19" t="str">
        <x:v>warming</x:v>
      </x:c>
      <x:c r="D46" s="19" t="str">
        <x:v>CLIMATE_SPECIFIC</x:v>
      </x:c>
      <x:c r="E46" s="34" t="n">
        <x:v>0</x:v>
      </x:c>
      <x:c r="F46" s="34" t="n">
        <x:v>2.00469511824064e-9</x:v>
      </x:c>
      <x:c r="G46" s="34" t="n">
        <x:v>6.400895369296222e-7</x:v>
      </x:c>
      <x:c r="H46" s="34" t="n">
        <x:v>0.00000339393631278162</x:v>
      </x:c>
      <x:c r="I46" s="34" t="n">
        <x:v>0.00000496164442403968</x:v>
      </x:c>
      <x:c r="J46" s="34" t="n">
        <x:v>0.00000417779036841065</x:v>
      </x:c>
      <x:c r="K46" s="34" t="n">
        <x:v>0.000003293586607857474</x:v>
      </x:c>
      <x:c r="L46" s="34" t="n">
        <x:v>0.000003963670369644401</x:v>
      </x:c>
      <x:c r="M46" s="57" t="n">
        <x:v>2022</x:v>
      </x:c>
    </x:row>
    <x:row r="47" ht="23" customHeight="1">
      <x:c r="A47" s="18" t="str">
        <x:v>FT-Q-V01-043</x:v>
      </x:c>
      <x:c r="B47" s="31" t="str">
        <x:v>earth is warmer</x:v>
      </x:c>
      <x:c r="C47" s="19" t="str">
        <x:v>warming</x:v>
      </x:c>
      <x:c r="D47" s="19" t="str">
        <x:v>CONTEXT_REQUIRED</x:v>
      </x:c>
      <x:c r="E47" s="34" t="n">
        <x:v>0</x:v>
      </x:c>
      <x:c r="F47" s="34" t="n">
        <x:v>2.444700553105861e-10</x:v>
      </x:c>
      <x:c r="G47" s="34" t="n">
        <x:v>1.243385561178201e-9</x:v>
      </x:c>
      <x:c r="H47" s="34" t="n">
        <x:v>1.04041819604106e-9</x:v>
      </x:c>
      <x:c r="I47" s="34" t="n">
        <x:v>2.235196472355483e-9</x:v>
      </x:c>
      <x:c r="J47" s="34" t="n">
        <x:v>1.637807334198271e-9</x:v>
      </x:c>
      <x:c r="K47" s="34" t="n">
        <x:v>1.249671310876721e-9</x:v>
      </x:c>
      <x:c r="L47" s="34" t="n">
        <x:v>1.702749219401056e-9</x:v>
      </x:c>
      <x:c r="M47" s="57" t="n">
        <x:v>2022</x:v>
      </x:c>
    </x:row>
    <x:row r="48" ht="23" customHeight="1">
      <x:c r="A48" s="18" t="str">
        <x:v>FT-Q-V01-044</x:v>
      </x:c>
      <x:c r="B48" s="31" t="str">
        <x:v>instrumental measurements</x:v>
      </x:c>
      <x:c r="C48" s="19" t="str">
        <x:v>climate</x:v>
      </x:c>
      <x:c r="D48" s="19" t="str">
        <x:v>CONTEXT_REQUIRED</x:v>
      </x:c>
      <x:c r="E48" s="34" t="n">
        <x:v>0</x:v>
      </x:c>
      <x:c r="F48" s="34" t="n">
        <x:v>4.343506249115947e-9</x:v>
      </x:c>
      <x:c r="G48" s="34" t="n">
        <x:v>6.959104164455665e-9</x:v>
      </x:c>
      <x:c r="H48" s="34" t="n">
        <x:v>9.659943039919128e-9</x:v>
      </x:c>
      <x:c r="I48" s="34" t="n">
        <x:v>1.155868578628372e-8</x:v>
      </x:c>
      <x:c r="J48" s="34" t="n">
        <x:v>1.060931441310142e-8</x:v>
      </x:c>
      <x:c r="K48" s="34" t="n">
        <x:v>7.752582603659519e-9</x:v>
      </x:c>
      <x:c r="L48" s="34" t="n">
        <x:v>8.892212299826951e-9</x:v>
      </x:c>
      <x:c r="M48" s="57" t="n">
        <x:v>2022</x:v>
      </x:c>
    </x:row>
    <x:row r="49" ht="23" customHeight="1">
      <x:c r="A49" s="18" t="str">
        <x:v>FT-Q-V01-045</x:v>
      </x:c>
      <x:c r="B49" s="31" t="str">
        <x:v>cause-and-effect relationship</x:v>
      </x:c>
      <x:c r="C49" s="19" t="str">
        <x:v>harm_loss_consequences</x:v>
      </x:c>
      <x:c r="D49" s="19" t="str">
        <x:v>CONTEXT_REQUIRED</x:v>
      </x:c>
      <x:c r="E49" s="34" t="n">
        <x:v>0</x:v>
      </x:c>
      <x:c r="F49" s="34" t="n">
        <x:v>1.153081288784996e-8</x:v>
      </x:c>
      <x:c r="G49" s="34" t="n">
        <x:v>1.040740936764095e-7</x:v>
      </x:c>
      <x:c r="H49" s="34" t="n">
        <x:v>1.102150947035474e-7</x:v>
      </x:c>
      <x:c r="I49" s="34" t="n">
        <x:v>1.140745307104396e-7</x:v>
      </x:c>
      <x:c r="J49" s="34" t="n">
        <x:v>1.121448127069935e-7</x:v>
      </x:c>
      <x:c r="K49" s="34" t="n">
        <x:v>1.375002782744161e-7</x:v>
      </x:c>
      <x:c r="L49" s="34" t="n">
        <x:v>1.046778577290519e-7</x:v>
      </x:c>
      <x:c r="M49" s="57" t="n">
        <x:v>2022</x:v>
      </x:c>
    </x:row>
    <x:row r="50" ht="23" customHeight="1">
      <x:c r="A50" s="18" t="str">
        <x:v>FT-Q-V01-046</x:v>
      </x:c>
      <x:c r="B50" s="31" t="str">
        <x:v>global temperature</x:v>
      </x:c>
      <x:c r="C50" s="19" t="str">
        <x:v>temperature_threshold</x:v>
      </x:c>
      <x:c r="D50" s="19" t="str">
        <x:v>CONTEXT_REQUIRED</x:v>
      </x:c>
      <x:c r="E50" s="34" t="n">
        <x:v>0</x:v>
      </x:c>
      <x:c r="F50" s="34" t="n">
        <x:v>0</x:v>
      </x:c>
      <x:c r="G50" s="34" t="n">
        <x:v>1.101611393217183e-7</x:v>
      </x:c>
      <x:c r="H50" s="34" t="n">
        <x:v>1.36521097881398e-7</x:v>
      </x:c>
      <x:c r="I50" s="34" t="n">
        <x:v>1.52331783999371e-7</x:v>
      </x:c>
      <x:c r="J50" s="34" t="n">
        <x:v>1.444264409403845e-7</x:v>
      </x:c>
      <x:c r="K50" s="34" t="n">
        <x:v>1.917596575834457e-7</x:v>
      </x:c>
      <x:c r="L50" s="34" t="n">
        <x:v>3.140587651051518e-7</x:v>
      </x:c>
      <x:c r="M50" s="57" t="n">
        <x:v>2022</x:v>
      </x:c>
    </x:row>
    <x:row r="51" ht="23" customHeight="1">
      <x:c r="A51" s="18" t="str">
        <x:v>FT-Q-V01-047</x:v>
      </x:c>
      <x:c r="B51" s="31" t="str">
        <x:v>regional heat waves</x:v>
      </x:c>
      <x:c r="C51" s="19" t="str">
        <x:v>heat</x:v>
      </x:c>
      <x:c r="D51" s="19" t="str">
        <x:v>CONTEXT_REQUIRED</x:v>
      </x:c>
      <x:c r="E51" s="34" t="n">
        <x:v>0</x:v>
      </x:c>
      <x:c r="F51" s="34" t="n">
        <x:v>0</x:v>
      </x:c>
      <x:c r="G51" s="34" t="n">
        <x:v>7.0278316499639e-10</x:v>
      </x:c>
      <x:c r="H51" s="34" t="n">
        <x:v>4.954372329057932e-11</x:v>
      </x:c>
      <x:c r="I51" s="34" t="n">
        <x:v>9.718245652656776e-11</x:v>
      </x:c>
      <x:c r="J51" s="34" t="n">
        <x:v>7.336308990857354e-11</x:v>
      </x:c>
      <x:c r="K51" s="34" t="n">
        <x:v>3.499079706537067e-10</x:v>
      </x:c>
      <x:c r="L51" s="34" t="n">
        <x:v>4.729858865681891e-11</x:v>
      </x:c>
      <x:c r="M51" s="57" t="n">
        <x:v>2022</x:v>
      </x:c>
    </x:row>
    <x:row r="52" ht="23" customHeight="1">
      <x:c r="A52" s="18" t="str">
        <x:v>FT-Q-V01-048</x:v>
      </x:c>
      <x:c r="B52" s="31" t="str">
        <x:v>heat wave</x:v>
      </x:c>
      <x:c r="C52" s="19" t="str">
        <x:v>heat</x:v>
      </x:c>
      <x:c r="D52" s="19" t="str">
        <x:v>CLIMATE_SPECIFIC</x:v>
      </x:c>
      <x:c r="E52" s="34" t="n">
        <x:v>4.514918217068953e-9</x:v>
      </x:c>
      <x:c r="F52" s="34" t="n">
        <x:v>1.921166252749629e-7</x:v>
      </x:c>
      <x:c r="G52" s="34" t="n">
        <x:v>1.718059701449892e-7</x:v>
      </x:c>
      <x:c r="H52" s="34" t="n">
        <x:v>2.572474944173564e-7</x:v>
      </x:c>
      <x:c r="I52" s="34" t="n">
        <x:v>2.559551631371726e-7</x:v>
      </x:c>
      <x:c r="J52" s="34" t="n">
        <x:v>2.566013287772645e-7</x:v>
      </x:c>
      <x:c r="K52" s="34" t="n">
        <x:v>3.528359153667782e-7</x:v>
      </x:c>
      <x:c r="L52" s="34" t="n">
        <x:v>3.006541136052476e-7</x:v>
      </x:c>
      <x:c r="M52" s="57" t="n">
        <x:v>2022</x:v>
      </x:c>
    </x:row>
    <x:row r="53" ht="23" customHeight="1">
      <x:c r="A53" s="18" t="str">
        <x:v>FT-Q-V01-049</x:v>
      </x:c>
      <x:c r="B53" s="31" t="str">
        <x:v>drought</x:v>
      </x:c>
      <x:c r="C53" s="19" t="str">
        <x:v>harm_loss_consequences</x:v>
      </x:c>
      <x:c r="D53" s="19" t="str">
        <x:v>BACKGROUND_AMBIGUOUS</x:v>
      </x:c>
      <x:c r="E53" s="34" t="n">
        <x:v>0.000003115138760279024</x:v>
      </x:c>
      <x:c r="F53" s="34" t="n">
        <x:v>0.000009374461029665326</x:v>
      </x:c>
      <x:c r="G53" s="34" t="n">
        <x:v>0.00001090940310177757</x:v>
      </x:c>
      <x:c r="H53" s="34" t="n">
        <x:v>0.000006629869545804468</x:v>
      </x:c>
      <x:c r="I53" s="34" t="n">
        <x:v>0.000006241732602774164</x:v>
      </x:c>
      <x:c r="J53" s="34" t="n">
        <x:v>0.000006435801074289316</x:v>
      </x:c>
      <x:c r="K53" s="34" t="n">
        <x:v>0.000005762521983143643</x:v>
      </x:c>
      <x:c r="L53" s="34" t="n">
        <x:v>0.000008803938708723535</x:v>
      </x:c>
      <x:c r="M53" s="57" t="n">
        <x:v>2022</x:v>
      </x:c>
    </x:row>
    <x:row r="54" ht="23" customHeight="1">
      <x:c r="A54" s="18" t="str">
        <x:v>FT-Q-V01-050</x:v>
      </x:c>
      <x:c r="B54" s="31" t="str">
        <x:v>heat wave/drought occurrences</x:v>
      </x:c>
      <x:c r="C54" s="19" t="str">
        <x:v>heat</x:v>
      </x:c>
      <x:c r="D54" s="19" t="str">
        <x:v>CONTEXT_REQUIRED</x:v>
      </x:c>
      <x:c r="E54" s="34" t="str"/>
      <x:c r="F54" s="34" t="str"/>
      <x:c r="G54" s="34" t="str"/>
      <x:c r="H54" s="34" t="str"/>
      <x:c r="I54" s="34" t="str"/>
      <x:c r="J54" s="34" t="str"/>
      <x:c r="K54" s="34" t="str"/>
      <x:c r="L54" s="34" t="str"/>
      <x:c r="M54" s="57" t="n">
        <x:v>2022</x:v>
      </x:c>
    </x:row>
    <x:row r="55" ht="23" customHeight="1">
      <x:c r="A55" s="18" t="str">
        <x:v>FT-Q-V01-051</x:v>
      </x:c>
      <x:c r="B55" s="31" t="str">
        <x:v>extreme events</x:v>
      </x:c>
      <x:c r="C55" s="19" t="str">
        <x:v>harm_loss_consequences</x:v>
      </x:c>
      <x:c r="D55" s="19" t="str">
        <x:v>CONTEXT_REQUIRED</x:v>
      </x:c>
      <x:c r="E55" s="34" t="n">
        <x:v>0</x:v>
      </x:c>
      <x:c r="F55" s="34" t="n">
        <x:v>3.341158599790006e-10</x:v>
      </x:c>
      <x:c r="G55" s="34" t="n">
        <x:v>5.5376702223775e-8</x:v>
      </x:c>
      <x:c r="H55" s="34" t="n">
        <x:v>2.56927021435871e-7</x:v>
      </x:c>
      <x:c r="I55" s="34" t="n">
        <x:v>2.204695532803669e-7</x:v>
      </x:c>
      <x:c r="J55" s="34" t="n">
        <x:v>2.386982873581189e-7</x:v>
      </x:c>
      <x:c r="K55" s="34" t="n">
        <x:v>3.062737106152014e-7</x:v>
      </x:c>
      <x:c r="L55" s="34" t="n">
        <x:v>4.590328079867589e-7</x:v>
      </x:c>
      <x:c r="M55" s="57" t="n">
        <x:v>2022</x:v>
      </x:c>
    </x:row>
    <x:row r="56" ht="23" customHeight="1">
      <x:c r="A56" s="18" t="str">
        <x:v>FT-Q-V01-052</x:v>
      </x:c>
      <x:c r="B56" s="31" t="str">
        <x:v>global climate models</x:v>
      </x:c>
      <x:c r="C56" s="19" t="str">
        <x:v>climate</x:v>
      </x:c>
      <x:c r="D56" s="19" t="str">
        <x:v>CONTEXT_REQUIRED</x:v>
      </x:c>
      <x:c r="E56" s="34" t="n">
        <x:v>0</x:v>
      </x:c>
      <x:c r="F56" s="34" t="n">
        <x:v>0</x:v>
      </x:c>
      <x:c r="G56" s="34" t="n">
        <x:v>1.378536206020353e-8</x:v>
      </x:c>
      <x:c r="H56" s="34" t="n">
        <x:v>3.141072137807788e-8</x:v>
      </x:c>
      <x:c r="I56" s="34" t="n">
        <x:v>3.527723113627701e-8</x:v>
      </x:c>
      <x:c r="J56" s="34" t="n">
        <x:v>3.334397625717744e-8</x:v>
      </x:c>
      <x:c r="K56" s="34" t="n">
        <x:v>3.734017823067703e-8</x:v>
      </x:c>
      <x:c r="L56" s="34" t="n">
        <x:v>4.237953538099859e-8</x:v>
      </x:c>
      <x:c r="M56" s="57" t="n">
        <x:v>2022</x:v>
      </x:c>
    </x:row>
    <x:row r="57" ht="23" customHeight="1">
      <x:c r="A57" s="18" t="str">
        <x:v>FT-Q-V01-053</x:v>
      </x:c>
      <x:c r="B57" s="31" t="str">
        <x:v>global observations</x:v>
      </x:c>
      <x:c r="C57" s="19" t="str">
        <x:v>climate</x:v>
      </x:c>
      <x:c r="D57" s="19" t="str">
        <x:v>CONTEXT_REQUIRED</x:v>
      </x:c>
      <x:c r="E57" s="34" t="n">
        <x:v>0</x:v>
      </x:c>
      <x:c r="F57" s="34" t="n">
        <x:v>0</x:v>
      </x:c>
      <x:c r="G57" s="34" t="n">
        <x:v>1.599113318151435e-8</x:v>
      </x:c>
      <x:c r="H57" s="34" t="n">
        <x:v>1.16285575613162e-8</x:v>
      </x:c>
      <x:c r="I57" s="34" t="n">
        <x:v>1.421223546141381e-8</x:v>
      </x:c>
      <x:c r="J57" s="34" t="n">
        <x:v>1.292039651136501e-8</x:v>
      </x:c>
      <x:c r="K57" s="34" t="n">
        <x:v>8.17290351715072e-9</x:v>
      </x:c>
      <x:c r="L57" s="34" t="n">
        <x:v>1.190052256738738e-8</x:v>
      </x:c>
      <x:c r="M57" s="57" t="n">
        <x:v>2022</x:v>
      </x:c>
    </x:row>
    <x:row r="58" ht="23" customHeight="1">
      <x:c r="A58" s="18" t="str">
        <x:v>FT-Q-V01-054</x:v>
      </x:c>
      <x:c r="B58" s="31" t="str">
        <x:v>warm air</x:v>
      </x:c>
      <x:c r="C58" s="19" t="str">
        <x:v>temperature_threshold</x:v>
      </x:c>
      <x:c r="D58" s="19" t="str">
        <x:v>CONTEXT_REQUIRED</x:v>
      </x:c>
      <x:c r="E58" s="34" t="n">
        <x:v>4.637466225476672e-7</x:v>
      </x:c>
      <x:c r="F58" s="34" t="n">
        <x:v>0.00000156020963704151</x:v>
      </x:c>
      <x:c r="G58" s="34" t="n">
        <x:v>4.812640085269382e-7</x:v>
      </x:c>
      <x:c r="H58" s="34" t="n">
        <x:v>5.327618970638048e-7</x:v>
      </x:c>
      <x:c r="I58" s="34" t="n">
        <x:v>5.737065812000397e-7</x:v>
      </x:c>
      <x:c r="J58" s="34" t="n">
        <x:v>5.532342391319223e-7</x:v>
      </x:c>
      <x:c r="K58" s="34" t="n">
        <x:v>6.757823330823254e-7</x:v>
      </x:c>
      <x:c r="L58" s="34" t="n">
        <x:v>5.92194779214239e-7</x:v>
      </x:c>
      <x:c r="M58" s="57" t="n">
        <x:v>2022</x:v>
      </x:c>
    </x:row>
    <x:row r="59" ht="23" customHeight="1">
      <x:c r="A59" s="18" t="str">
        <x:v>FT-Q-V01-055</x:v>
      </x:c>
      <x:c r="B59" s="31" t="str">
        <x:v>changing atmosphere</x:v>
      </x:c>
      <x:c r="C59" s="19" t="str">
        <x:v>climate</x:v>
      </x:c>
      <x:c r="D59" s="19" t="str">
        <x:v>CLIMATE_SPECIFIC</x:v>
      </x:c>
      <x:c r="E59" s="34" t="n">
        <x:v>1.93496507705504e-9</x:v>
      </x:c>
      <x:c r="F59" s="34" t="n">
        <x:v>2.450182945423762e-9</x:v>
      </x:c>
      <x:c r="G59" s="34" t="n">
        <x:v>3.622682637205443e-8</x:v>
      </x:c>
      <x:c r="H59" s="34" t="n">
        <x:v>9.110562668862565e-9</x:v>
      </x:c>
      <x:c r="I59" s="34" t="n">
        <x:v>9.534791317600266e-9</x:v>
      </x:c>
      <x:c r="J59" s="34" t="n">
        <x:v>9.322676993231416e-9</x:v>
      </x:c>
      <x:c r="K59" s="34" t="n">
        <x:v>8.266307967991215e-9</x:v>
      </x:c>
      <x:c r="L59" s="34" t="n">
        <x:v>1.070604704889178e-8</x:v>
      </x:c>
      <x:c r="M59" s="57" t="n">
        <x:v>2022</x:v>
      </x:c>
    </x:row>
    <x:row r="60" ht="23" customHeight="1">
      <x:c r="A60" s="18" t="str">
        <x:v>FT-Q-V01-056</x:v>
      </x:c>
      <x:c r="B60" s="31" t="str">
        <x:v>global security</x:v>
      </x:c>
      <x:c r="C60" s="19" t="str">
        <x:v>danger_threat</x:v>
      </x:c>
      <x:c r="D60" s="19" t="str">
        <x:v>CONTEXT_REQUIRED</x:v>
      </x:c>
      <x:c r="E60" s="34" t="n">
        <x:v>0</x:v>
      </x:c>
      <x:c r="F60" s="34" t="n">
        <x:v>0</x:v>
      </x:c>
      <x:c r="G60" s="34" t="n">
        <x:v>1.697824010271631e-7</x:v>
      </x:c>
      <x:c r="H60" s="34" t="n">
        <x:v>3.610804458209493e-7</x:v>
      </x:c>
      <x:c r="I60" s="34" t="n">
        <x:v>3.68618609414284e-7</x:v>
      </x:c>
      <x:c r="J60" s="34" t="n">
        <x:v>3.648495276176167e-7</x:v>
      </x:c>
      <x:c r="K60" s="34" t="n">
        <x:v>2.910487669725847e-7</x:v>
      </x:c>
      <x:c r="L60" s="34" t="n">
        <x:v>2.638022949807972e-7</x:v>
      </x:c>
      <x:c r="M60" s="57" t="n">
        <x:v>2022</x:v>
      </x:c>
    </x:row>
    <x:row r="61" ht="23" customHeight="1">
      <x:c r="A61" s="18" t="str">
        <x:v>FT-Q-V01-057</x:v>
      </x:c>
      <x:c r="B61" s="31" t="str">
        <x:v>climate warming</x:v>
      </x:c>
      <x:c r="C61" s="19" t="str">
        <x:v>warming</x:v>
      </x:c>
      <x:c r="D61" s="19" t="str">
        <x:v>CONTEXT_REQUIRED</x:v>
      </x:c>
      <x:c r="E61" s="34" t="n">
        <x:v>0</x:v>
      </x:c>
      <x:c r="F61" s="34" t="n">
        <x:v>0</x:v>
      </x:c>
      <x:c r="G61" s="34" t="n">
        <x:v>3.632553680077422e-8</x:v>
      </x:c>
      <x:c r="H61" s="34" t="n">
        <x:v>9.815601531570906e-8</x:v>
      </x:c>
      <x:c r="I61" s="34" t="n">
        <x:v>9.899091737985977e-8</x:v>
      </x:c>
      <x:c r="J61" s="34" t="n">
        <x:v>9.857346634778441e-8</x:v>
      </x:c>
      <x:c r="K61" s="34" t="n">
        <x:v>8.350372171506137e-8</x:v>
      </x:c>
      <x:c r="L61" s="34" t="n">
        <x:v>1.583787058723196e-7</x:v>
      </x:c>
      <x:c r="M61" s="57" t="n">
        <x:v>2022</x:v>
      </x:c>
    </x:row>
    <x:row r="62" ht="23" customHeight="1">
      <x:c r="A62" s="18" t="str">
        <x:v>FT-Q-V01-058</x:v>
      </x:c>
      <x:c r="B62" s="31" t="str">
        <x:v>changed climatic extremes</x:v>
      </x:c>
      <x:c r="C62" s="19" t="str">
        <x:v>harm_loss_consequences</x:v>
      </x:c>
      <x:c r="D62" s="19" t="str">
        <x:v>CONTEXT_REQUIRED</x:v>
      </x:c>
      <x:c r="E62" s="34" t="str"/>
      <x:c r="F62" s="34" t="str"/>
      <x:c r="G62" s="34" t="str"/>
      <x:c r="H62" s="34" t="str"/>
      <x:c r="I62" s="34" t="str"/>
      <x:c r="J62" s="34" t="str"/>
      <x:c r="K62" s="34" t="str"/>
      <x:c r="L62" s="34" t="str"/>
      <x:c r="M62" s="57" t="n">
        <x:v>2022</x:v>
      </x:c>
    </x:row>
    <x:row r="63" ht="23" customHeight="1">
      <x:c r="A63" s="18" t="str">
        <x:v>FT-Q-V01-059</x:v>
      </x:c>
      <x:c r="B63" s="31" t="str">
        <x:v>major threat</x:v>
      </x:c>
      <x:c r="C63" s="19" t="str">
        <x:v>danger_threat</x:v>
      </x:c>
      <x:c r="D63" s="19" t="str">
        <x:v>CONTEXT_REQUIRED</x:v>
      </x:c>
      <x:c r="E63" s="34" t="n">
        <x:v>0</x:v>
      </x:c>
      <x:c r="F63" s="34" t="n">
        <x:v>1.403286584156227e-8</x:v>
      </x:c>
      <x:c r="G63" s="34" t="n">
        <x:v>2.255045952748169e-7</x:v>
      </x:c>
      <x:c r="H63" s="34" t="n">
        <x:v>2.440623619870408e-7</x:v>
      </x:c>
      <x:c r="I63" s="34" t="n">
        <x:v>2.354463725096068e-7</x:v>
      </x:c>
      <x:c r="J63" s="34" t="n">
        <x:v>2.397543672483238e-7</x:v>
      </x:c>
      <x:c r="K63" s="34" t="n">
        <x:v>2.18847005184486e-7</x:v>
      </x:c>
      <x:c r="L63" s="34" t="n">
        <x:v>2.351791106303125e-7</x:v>
      </x:c>
      <x:c r="M63" s="57" t="n">
        <x:v>2022</x:v>
      </x:c>
    </x:row>
    <x:row r="64" ht="23" customHeight="1">
      <x:c r="A64" s="18" t="str">
        <x:v>FT-Q-V01-060</x:v>
      </x:c>
      <x:c r="B64" s="31" t="str">
        <x:v>harmful consequences</x:v>
      </x:c>
      <x:c r="C64" s="19" t="str">
        <x:v>harm_loss_consequences</x:v>
      </x:c>
      <x:c r="D64" s="19" t="str">
        <x:v>CONTEXT_REQUIRED</x:v>
      </x:c>
      <x:c r="E64" s="34" t="n">
        <x:v>0</x:v>
      </x:c>
      <x:c r="F64" s="34" t="n">
        <x:v>2.706338442237666e-8</x:v>
      </x:c>
      <x:c r="G64" s="34" t="n">
        <x:v>8.069599446991482e-8</x:v>
      </x:c>
      <x:c r="H64" s="34" t="n">
        <x:v>1.050232736748979e-7</x:v>
      </x:c>
      <x:c r="I64" s="34" t="n">
        <x:v>1.079860063382676e-7</x:v>
      </x:c>
      <x:c r="J64" s="34" t="n">
        <x:v>1.065046400065828e-7</x:v>
      </x:c>
      <x:c r="K64" s="34" t="n">
        <x:v>1.12132235940976e-7</x:v>
      </x:c>
      <x:c r="L64" s="34" t="n">
        <x:v>1.412578776172069e-7</x:v>
      </x:c>
      <x:c r="M64" s="57" t="n">
        <x:v>2022</x:v>
      </x:c>
    </x:row>
    <x:row r="65" ht="23" customHeight="1">
      <x:c r="A65" s="18" t="str">
        <x:v>FT-Q-V01-061</x:v>
      </x:c>
      <x:c r="B65" s="31" t="str">
        <x:v>warming of the climate system</x:v>
      </x:c>
      <x:c r="C65" s="19" t="str">
        <x:v>warming</x:v>
      </x:c>
      <x:c r="D65" s="19" t="str">
        <x:v>CONTEXT_REQUIRED</x:v>
      </x:c>
      <x:c r="E65" s="34" t="n">
        <x:v>0</x:v>
      </x:c>
      <x:c r="F65" s="34" t="n">
        <x:v>0</x:v>
      </x:c>
      <x:c r="G65" s="34" t="n">
        <x:v>1.303340213532067e-10</x:v>
      </x:c>
      <x:c r="H65" s="34" t="n">
        <x:v>1.048117204138777e-9</x:v>
      </x:c>
      <x:c r="I65" s="34" t="n">
        <x:v>7.173159843887333e-9</x:v>
      </x:c>
      <x:c r="J65" s="34" t="n">
        <x:v>4.110638524013055e-9</x:v>
      </x:c>
      <x:c r="K65" s="34" t="n">
        <x:v>1.336047139588459e-8</x:v>
      </x:c>
      <x:c r="L65" s="34" t="n">
        <x:v>4.892822147439801e-9</x:v>
      </x:c>
      <x:c r="M65" s="57" t="n">
        <x:v>2022</x:v>
      </x:c>
    </x:row>
    <x:row r="66" ht="23" customHeight="1">
      <x:c r="A66" s="18" t="str">
        <x:v>FT-Q-V01-062</x:v>
      </x:c>
      <x:c r="B66" s="31" t="str">
        <x:v>unequivocal</x:v>
      </x:c>
      <x:c r="C66" s="19" t="str">
        <x:v>climate</x:v>
      </x:c>
      <x:c r="D66" s="19" t="str">
        <x:v>CONTEXT_REQUIRED</x:v>
      </x:c>
      <x:c r="E66" s="34" t="n">
        <x:v>0.000002489191224697151</x:v>
      </x:c>
      <x:c r="F66" s="34" t="n">
        <x:v>6.214660617231971e-7</x:v>
      </x:c>
      <x:c r="G66" s="34" t="n">
        <x:v>0.000001265813166506646</x:v>
      </x:c>
      <x:c r="H66" s="34" t="n">
        <x:v>0.000001163251503566443</x:v>
      </x:c>
      <x:c r="I66" s="34" t="n">
        <x:v>0.000001199470233470556</x:v>
      </x:c>
      <x:c r="J66" s="34" t="n">
        <x:v>0.0000011813608685185</x:v>
      </x:c>
      <x:c r="K66" s="34" t="n">
        <x:v>0.00000104477917728385</x:v>
      </x:c>
      <x:c r="L66" s="34" t="n">
        <x:v>9.735799887389263e-7</x:v>
      </x:c>
      <x:c r="M66" s="57" t="n">
        <x:v>2022</x:v>
      </x:c>
    </x:row>
    <x:row r="67" ht="23" customHeight="1">
      <x:c r="A67" s="18" t="str">
        <x:v>FT-Q-V01-063</x:v>
      </x:c>
      <x:c r="B67" s="31" t="str">
        <x:v>global average air and ocean temperatures</x:v>
      </x:c>
      <x:c r="C67" s="19" t="str">
        <x:v>temperature_threshold</x:v>
      </x:c>
      <x:c r="D67" s="19" t="str">
        <x:v>CONTEXT_REQUIRED</x:v>
      </x:c>
      <x:c r="E67" s="34" t="n">
        <x:v>0</x:v>
      </x:c>
      <x:c r="F67" s="34" t="n">
        <x:v>0</x:v>
      </x:c>
      <x:c r="G67" s="34" t="n">
        <x:v>0</x:v>
      </x:c>
      <x:c r="H67" s="34" t="n">
        <x:v>1.877599464794599e-10</x:v>
      </x:c>
      <x:c r="I67" s="34" t="n">
        <x:v>3.851390761866469e-9</x:v>
      </x:c>
      <x:c r="J67" s="34" t="n">
        <x:v>2.019575354172964e-9</x:v>
      </x:c>
      <x:c r="K67" s="34" t="n">
        <x:v>2.896688888753829e-9</x:v>
      </x:c>
      <x:c r="L67" s="34" t="n">
        <x:v>9.299532255369058e-10</x:v>
      </x:c>
      <x:c r="M67" s="57" t="n">
        <x:v>2022</x:v>
      </x:c>
    </x:row>
    <x:row r="68" ht="23" customHeight="1">
      <x:c r="A68" s="18" t="str">
        <x:v>FT-Q-V01-064</x:v>
      </x:c>
      <x:c r="B68" s="31" t="str">
        <x:v>global surface temperature</x:v>
      </x:c>
      <x:c r="C68" s="19" t="str">
        <x:v>temperature_threshold</x:v>
      </x:c>
      <x:c r="D68" s="19" t="str">
        <x:v>CONTEXT_REQUIRED</x:v>
      </x:c>
      <x:c r="E68" s="34" t="n">
        <x:v>0</x:v>
      </x:c>
      <x:c r="F68" s="34" t="n">
        <x:v>0</x:v>
      </x:c>
      <x:c r="G68" s="34" t="n">
        <x:v>7.406253152431042e-9</x:v>
      </x:c>
      <x:c r="H68" s="34" t="n">
        <x:v>1.441722324857508e-8</x:v>
      </x:c>
      <x:c r="I68" s="34" t="n">
        <x:v>1.423723021420908e-8</x:v>
      </x:c>
      <x:c r="J68" s="34" t="n">
        <x:v>1.432722673139208e-8</x:v>
      </x:c>
      <x:c r="K68" s="34" t="n">
        <x:v>2.654301840820938e-8</x:v>
      </x:c>
      <x:c r="L68" s="34" t="n">
        <x:v>3.419688007766375e-8</x:v>
      </x:c>
      <x:c r="M68" s="57" t="n">
        <x:v>2022</x:v>
      </x:c>
    </x:row>
    <x:row r="69" ht="23" customHeight="1">
      <x:c r="A69" s="18" t="str">
        <x:v>FT-Q-V01-065</x:v>
      </x:c>
      <x:c r="B69" s="31" t="str">
        <x:v>temperature increase</x:v>
      </x:c>
      <x:c r="C69" s="19" t="str">
        <x:v>warming</x:v>
      </x:c>
      <x:c r="D69" s="19" t="str">
        <x:v>CLIMATE_SPECIFIC</x:v>
      </x:c>
      <x:c r="E69" s="34" t="n">
        <x:v>2.579953362058518e-9</x:v>
      </x:c>
      <x:c r="F69" s="34" t="n">
        <x:v>7.439646565465807e-8</x:v>
      </x:c>
      <x:c r="G69" s="34" t="n">
        <x:v>2.921836819713697e-7</x:v>
      </x:c>
      <x:c r="H69" s="34" t="n">
        <x:v>3.161227772885411e-7</x:v>
      </x:c>
      <x:c r="I69" s="34" t="n">
        <x:v>3.19865252479401e-7</x:v>
      </x:c>
      <x:c r="J69" s="34" t="n">
        <x:v>3.179940148839711e-7</x:v>
      </x:c>
      <x:c r="K69" s="34" t="n">
        <x:v>3.016501993191589e-7</x:v>
      </x:c>
      <x:c r="L69" s="34" t="n">
        <x:v>3.553787956689369e-7</x:v>
      </x:c>
      <x:c r="M69" s="57" t="n">
        <x:v>2022</x:v>
      </x:c>
    </x:row>
    <x:row r="70" ht="23" customHeight="1">
      <x:c r="A70" s="18" t="str">
        <x:v>FT-Q-V01-066</x:v>
      </x:c>
      <x:c r="B70" s="31" t="str">
        <x:v>rising global average sea level</x:v>
      </x:c>
      <x:c r="C70" s="19" t="str">
        <x:v>harm_loss_consequences</x:v>
      </x:c>
      <x:c r="D70" s="19" t="str">
        <x:v>CONTEXT_REQUIRED</x:v>
      </x:c>
      <x:c r="E70" s="34" t="n">
        <x:v>0</x:v>
      </x:c>
      <x:c r="F70" s="34" t="n">
        <x:v>0</x:v>
      </x:c>
      <x:c r="G70" s="34" t="n">
        <x:v>0</x:v>
      </x:c>
      <x:c r="H70" s="34" t="n">
        <x:v>0</x:v>
      </x:c>
      <x:c r="I70" s="34" t="n">
        <x:v>2.22026375062967e-9</x:v>
      </x:c>
      <x:c r="J70" s="34" t="n">
        <x:v>1.110131875314835e-9</x:v>
      </x:c>
      <x:c r="K70" s="34" t="n">
        <x:v>2.130764897856352e-9</x:v>
      </x:c>
      <x:c r="L70" s="34" t="n">
        <x:v>6.523762641208464e-10</x:v>
      </x:c>
      <x:c r="M70" s="57" t="n">
        <x:v>2022</x:v>
      </x:c>
    </x:row>
    <x:row r="71" ht="23" customHeight="1">
      <x:c r="A71" s="18" t="str">
        <x:v>FT-Q-V01-067</x:v>
      </x:c>
      <x:c r="B71" s="31" t="str">
        <x:v>widespread melting of snow and ice</x:v>
      </x:c>
      <x:c r="C71" s="19" t="str">
        <x:v>harm_loss_consequences</x:v>
      </x:c>
      <x:c r="D71" s="19" t="str">
        <x:v>CONTEXT_REQUIRED</x:v>
      </x:c>
      <x:c r="E71" s="34" t="n">
        <x:v>0</x:v>
      </x:c>
      <x:c r="F71" s="34" t="n">
        <x:v>0</x:v>
      </x:c>
      <x:c r="G71" s="34" t="n">
        <x:v>0</x:v>
      </x:c>
      <x:c r="H71" s="34" t="n">
        <x:v>2.503466045578051e-10</x:v>
      </x:c>
      <x:c r="I71" s="34" t="n">
        <x:v>5.074054509890402e-9</x:v>
      </x:c>
      <x:c r="J71" s="34" t="n">
        <x:v>2.662200557224104e-9</x:v>
      </x:c>
      <x:c r="K71" s="34" t="n">
        <x:v>3.451374075424951e-9</x:v>
      </x:c>
      <x:c r="L71" s="34" t="n">
        <x:v>1.104319413691712e-9</x:v>
      </x:c>
      <x:c r="M71" s="57" t="n">
        <x:v>2022</x:v>
      </x:c>
    </x:row>
    <x:row r="72" ht="23" customHeight="1">
      <x:c r="A72" s="18" t="str">
        <x:v>FT-Q-V01-068</x:v>
      </x:c>
      <x:c r="B72" s="31" t="str">
        <x:v>anthropogenic CO₂</x:v>
      </x:c>
      <x:c r="C72" s="19" t="str">
        <x:v>carbon_greenhouse</x:v>
      </x:c>
      <x:c r="D72" s="19" t="str">
        <x:v>CONTEXT_REQUIRED</x:v>
      </x:c>
      <x:c r="E72" s="34" t="str"/>
      <x:c r="F72" s="34" t="str"/>
      <x:c r="G72" s="34" t="str"/>
      <x:c r="H72" s="34" t="str"/>
      <x:c r="I72" s="34" t="str"/>
      <x:c r="J72" s="34" t="str"/>
      <x:c r="K72" s="34" t="str"/>
      <x:c r="L72" s="34" t="str"/>
      <x:c r="M72" s="57" t="n">
        <x:v>2022</x:v>
      </x:c>
    </x:row>
    <x:row r="73" ht="23" customHeight="1">
      <x:c r="A73" s="18" t="str">
        <x:v>FT-Q-V01-069</x:v>
      </x:c>
      <x:c r="B73" s="31" t="str">
        <x:v>anthropogenic GHG emissions</x:v>
      </x:c>
      <x:c r="C73" s="19" t="str">
        <x:v>carbon_greenhouse</x:v>
      </x:c>
      <x:c r="D73" s="19" t="str">
        <x:v>CONTEXT_REQUIRED</x:v>
      </x:c>
      <x:c r="E73" s="34" t="n">
        <x:v>0</x:v>
      </x:c>
      <x:c r="F73" s="34" t="n">
        <x:v>0</x:v>
      </x:c>
      <x:c r="G73" s="34" t="n">
        <x:v>0</x:v>
      </x:c>
      <x:c r="H73" s="34" t="n">
        <x:v>1.585399145298538e-9</x:v>
      </x:c>
      <x:c r="I73" s="34" t="n">
        <x:v>2.915473612530306e-9</x:v>
      </x:c>
      <x:c r="J73" s="34" t="n">
        <x:v>2.250436378914422e-9</x:v>
      </x:c>
      <x:c r="K73" s="34" t="n">
        <x:v>1.43962131382569e-8</x:v>
      </x:c>
      <x:c r="L73" s="34" t="n">
        <x:v>1.622341538887184e-8</x:v>
      </x:c>
      <x:c r="M73" s="57" t="n">
        <x:v>2022</x:v>
      </x:c>
    </x:row>
    <x:row r="74" ht="23" customHeight="1">
      <x:c r="A74" s="18" t="str">
        <x:v>FT-Q-V01-070</x:v>
      </x:c>
      <x:c r="B74" s="31" t="str">
        <x:v>climate change</x:v>
      </x:c>
      <x:c r="C74" s="19" t="str">
        <x:v>climate</x:v>
      </x:c>
      <x:c r="D74" s="19" t="str">
        <x:v>CLIMATE_SPECIFIC</x:v>
      </x:c>
      <x:c r="E74" s="34" t="n">
        <x:v>5.159906557583582e-9</x:v>
      </x:c>
      <x:c r="F74" s="34" t="n">
        <x:v>2.561554912627884e-9</x:v>
      </x:c>
      <x:c r="G74" s="34" t="n">
        <x:v>0.000001240793510930149</x:v>
      </x:c>
      <x:c r="H74" s="34" t="n">
        <x:v>0.000008716473492563492</x:v>
      </x:c>
      <x:c r="I74" s="34" t="n">
        <x:v>0.00001319138383155949</x:v>
      </x:c>
      <x:c r="J74" s="34" t="n">
        <x:v>0.00001095392866206149</x:v>
      </x:c>
      <x:c r="K74" s="34" t="n">
        <x:v>0.00001967096413684616</x:v>
      </x:c>
      <x:c r="L74" s="34" t="n">
        <x:v>0.00002890008815206735</x:v>
      </x:c>
      <x:c r="M74" s="57" t="n">
        <x:v>2022</x:v>
      </x:c>
    </x:row>
    <x:row r="75" ht="23" customHeight="1">
      <x:c r="A75" s="18" t="str">
        <x:v>FT-Q-V01-071</x:v>
      </x:c>
      <x:c r="B75" s="31" t="str">
        <x:v>global warming</x:v>
      </x:c>
      <x:c r="C75" s="19" t="str">
        <x:v>warming</x:v>
      </x:c>
      <x:c r="D75" s="19" t="str">
        <x:v>CLIMATE_SPECIFIC</x:v>
      </x:c>
      <x:c r="E75" s="34" t="n">
        <x:v>0</x:v>
      </x:c>
      <x:c r="F75" s="34" t="n">
        <x:v>2.00469511824064e-9</x:v>
      </x:c>
      <x:c r="G75" s="34" t="n">
        <x:v>6.400895369296222e-7</x:v>
      </x:c>
      <x:c r="H75" s="34" t="n">
        <x:v>0.00000339393631278162</x:v>
      </x:c>
      <x:c r="I75" s="34" t="n">
        <x:v>0.00000496164442403968</x:v>
      </x:c>
      <x:c r="J75" s="34" t="n">
        <x:v>0.00000417779036841065</x:v>
      </x:c>
      <x:c r="K75" s="34" t="n">
        <x:v>0.000003293586607857474</x:v>
      </x:c>
      <x:c r="L75" s="34" t="n">
        <x:v>0.000003963670369644401</x:v>
      </x:c>
      <x:c r="M75" s="57" t="n">
        <x:v>2022</x:v>
      </x:c>
    </x:row>
    <x:row r="76" ht="23" customHeight="1">
      <x:c r="A76" s="18" t="str">
        <x:v>FT-Q-V01-072</x:v>
      </x:c>
      <x:c r="B76" s="31" t="str">
        <x:v>serious global threat</x:v>
      </x:c>
      <x:c r="C76" s="19" t="str">
        <x:v>danger_threat</x:v>
      </x:c>
      <x:c r="D76" s="19" t="str">
        <x:v>CONTEXT_REQUIRED</x:v>
      </x:c>
      <x:c r="E76" s="34" t="n">
        <x:v>0</x:v>
      </x:c>
      <x:c r="F76" s="34" t="n">
        <x:v>0</x:v>
      </x:c>
      <x:c r="G76" s="34" t="n">
        <x:v>7.568433657567653e-10</x:v>
      </x:c>
      <x:c r="H76" s="34" t="n">
        <x:v>8.422432751231668e-10</x:v>
      </x:c>
      <x:c r="I76" s="34" t="n">
        <x:v>1.749284272989371e-9</x:v>
      </x:c>
      <x:c r="J76" s="34" t="n">
        <x:v>1.295763774056269e-9</x:v>
      </x:c>
      <x:c r="K76" s="34" t="n">
        <x:v>6.498290794354489e-10</x:v>
      </x:c>
      <x:c r="L76" s="34" t="n">
        <x:v>2.317630753978506e-9</x:v>
      </x:c>
      <x:c r="M76" s="57" t="n">
        <x:v>2022</x:v>
      </x:c>
    </x:row>
    <x:row r="77" ht="23" customHeight="1">
      <x:c r="A77" s="18" t="str">
        <x:v>FT-Q-V01-073</x:v>
      </x:c>
      <x:c r="B77" s="31" t="str">
        <x:v>urgent global response</x:v>
      </x:c>
      <x:c r="C77" s="19" t="str">
        <x:v>harm_loss_consequences</x:v>
      </x:c>
      <x:c r="D77" s="19" t="str">
        <x:v>CONTEXT_REQUIRED</x:v>
      </x:c>
      <x:c r="E77" s="34" t="n">
        <x:v>0</x:v>
      </x:c>
      <x:c r="F77" s="34" t="n">
        <x:v>0</x:v>
      </x:c>
      <x:c r="G77" s="34" t="n">
        <x:v>5.406024239373863e-11</x:v>
      </x:c>
      <x:c r="H77" s="34" t="n">
        <x:v>6.440684097164251e-10</x:v>
      </x:c>
      <x:c r="I77" s="34" t="n">
        <x:v>1.652101788707228e-9</x:v>
      </x:c>
      <x:c r="J77" s="34" t="n">
        <x:v>1.148085099211826e-9</x:v>
      </x:c>
      <x:c r="K77" s="34" t="n">
        <x:v>7.997896234179791e-10</x:v>
      </x:c>
      <x:c r="L77" s="34" t="n">
        <x:v>3.783887092545513e-10</x:v>
      </x:c>
      <x:c r="M77" s="57" t="n">
        <x:v>2022</x:v>
      </x:c>
    </x:row>
    <x:row r="78" ht="23" customHeight="1">
      <x:c r="A78" s="18" t="str">
        <x:v>FT-Q-V01-074</x:v>
      </x:c>
      <x:c r="B78" s="31" t="str">
        <x:v>costs and risks of climate change</x:v>
      </x:c>
      <x:c r="C78" s="19" t="str">
        <x:v>climate</x:v>
      </x:c>
      <x:c r="D78" s="19" t="str">
        <x:v>CONTEXT_REQUIRED</x:v>
      </x:c>
      <x:c r="E78" s="34" t="n">
        <x:v>0</x:v>
      </x:c>
      <x:c r="F78" s="34" t="n">
        <x:v>0</x:v>
      </x:c>
      <x:c r="G78" s="34" t="n">
        <x:v>7.065451002041812e-11</x:v>
      </x:c>
      <x:c r="H78" s="34" t="n">
        <x:v>7.510397859178397e-10</x:v>
      </x:c>
      <x:c r="I78" s="34" t="n">
        <x:v>1.650596104241231e-9</x:v>
      </x:c>
      <x:c r="J78" s="34" t="n">
        <x:v>1.200817945079535e-9</x:v>
      </x:c>
      <x:c r="K78" s="34" t="n">
        <x:v>4.930534314162571e-10</x:v>
      </x:c>
      <x:c r="L78" s="34" t="n">
        <x:v>8.137091001003682e-10</x:v>
      </x:c>
      <x:c r="M78" s="57" t="n">
        <x:v>2022</x:v>
      </x:c>
    </x:row>
    <x:row r="79" ht="23" customHeight="1">
      <x:c r="A79" s="18" t="str">
        <x:v>FT-Q-V01-075</x:v>
      </x:c>
      <x:c r="B79" s="31" t="str">
        <x:v>impacts of climate change</x:v>
      </x:c>
      <x:c r="C79" s="19" t="str">
        <x:v>climate</x:v>
      </x:c>
      <x:c r="D79" s="19" t="str">
        <x:v>CONTEXT_REQUIRED</x:v>
      </x:c>
      <x:c r="E79" s="34" t="n">
        <x:v>0</x:v>
      </x:c>
      <x:c r="F79" s="34" t="n">
        <x:v>0</x:v>
      </x:c>
      <x:c r="G79" s="34" t="n">
        <x:v>4.559433364192955e-8</x:v>
      </x:c>
      <x:c r="H79" s="34" t="n">
        <x:v>2.229886647206469e-7</x:v>
      </x:c>
      <x:c r="I79" s="34" t="n">
        <x:v>3.110645994466865e-7</x:v>
      </x:c>
      <x:c r="J79" s="34" t="n">
        <x:v>2.670266320836667e-7</x:v>
      </x:c>
      <x:c r="K79" s="34" t="n">
        <x:v>5.157996520455121e-7</x:v>
      </x:c>
      <x:c r="L79" s="34" t="n">
        <x:v>7.144630615740777e-7</x:v>
      </x:c>
      <x:c r="M79" s="57" t="n">
        <x:v>2022</x:v>
      </x:c>
    </x:row>
    <x:row r="80" ht="23" customHeight="1">
      <x:c r="A80" s="18" t="str">
        <x:v>FT-Q-V01-076</x:v>
      </x:c>
      <x:c r="B80" s="31" t="str">
        <x:v>damage</x:v>
      </x:c>
      <x:c r="C80" s="19" t="str">
        <x:v>harm_loss_consequences</x:v>
      </x:c>
      <x:c r="D80" s="19" t="str">
        <x:v>BACKGROUND_AMBIGUOUS</x:v>
      </x:c>
      <x:c r="E80" s="34" t="n">
        <x:v>0.0000140214699513308</x:v>
      </x:c>
      <x:c r="F80" s="34" t="n">
        <x:v>0.0000459952369169514</x:v>
      </x:c>
      <x:c r="G80" s="34" t="n">
        <x:v>0.00005460717676498972</x:v>
      </x:c>
      <x:c r="H80" s="34" t="n">
        <x:v>0.00004860308943087019</x:v>
      </x:c>
      <x:c r="I80" s="34" t="n">
        <x:v>0.00004797855570867759</x:v>
      </x:c>
      <x:c r="J80" s="34" t="n">
        <x:v>0.00004829082256977389</x:v>
      </x:c>
      <x:c r="K80" s="34" t="n">
        <x:v>0.00004768336144450602</x:v>
      </x:c>
      <x:c r="L80" s="34" t="n">
        <x:v>0.00004813777670335459</x:v>
      </x:c>
      <x:c r="M80" s="57" t="n">
        <x:v>2022</x:v>
      </x:c>
    </x:row>
    <x:row r="81" ht="23" customHeight="1">
      <x:c r="A81" s="18" t="str">
        <x:v>FT-Q-V01-077</x:v>
      </x:c>
      <x:c r="B81" s="31" t="str">
        <x:v>hunger</x:v>
      </x:c>
      <x:c r="C81" s="19" t="str">
        <x:v>harm_loss_consequences</x:v>
      </x:c>
      <x:c r="D81" s="19" t="str">
        <x:v>CONTEXT_REQUIRED</x:v>
      </x:c>
      <x:c r="E81" s="34" t="n">
        <x:v>0.000008491353739259466</x:v>
      </x:c>
      <x:c r="F81" s="34" t="n">
        <x:v>0.000003766231525759167</x:v>
      </x:c>
      <x:c r="G81" s="34" t="n">
        <x:v>0.000006137961449326212</x:v>
      </x:c>
      <x:c r="H81" s="34" t="n">
        <x:v>0.00000745067320195858</x:v>
      </x:c>
      <x:c r="I81" s="34" t="n">
        <x:v>0.000008010337945583978</x:v>
      </x:c>
      <x:c r="J81" s="34" t="n">
        <x:v>0.000007730505573771279</x:v>
      </x:c>
      <x:c r="K81" s="34" t="n">
        <x:v>0.00001191392740906849</x:v>
      </x:c>
      <x:c r="L81" s="34" t="n">
        <x:v>0.00001147104043752734</x:v>
      </x:c>
      <x:c r="M81" s="57" t="n">
        <x:v>2022</x:v>
      </x:c>
    </x:row>
    <x:row r="82" ht="23" customHeight="1">
      <x:c r="A82" s="18" t="str">
        <x:v>FT-Q-V01-078</x:v>
      </x:c>
      <x:c r="B82" s="31" t="str">
        <x:v>water shortages</x:v>
      </x:c>
      <x:c r="C82" s="19" t="str">
        <x:v>harm_loss_consequences</x:v>
      </x:c>
      <x:c r="D82" s="19" t="str">
        <x:v>CONTEXT_REQUIRED</x:v>
      </x:c>
      <x:c r="E82" s="34" t="n">
        <x:v>0</x:v>
      </x:c>
      <x:c r="F82" s="34" t="n">
        <x:v>4.131899500325886e-8</x:v>
      </x:c>
      <x:c r="G82" s="34" t="n">
        <x:v>1.448085923394515e-7</x:v>
      </x:c>
      <x:c r="H82" s="34" t="n">
        <x:v>2.040491388077825e-7</x:v>
      </x:c>
      <x:c r="I82" s="34" t="n">
        <x:v>2.140380712667422e-7</x:v>
      </x:c>
      <x:c r="J82" s="34" t="n">
        <x:v>2.090436050372624e-7</x:v>
      </x:c>
      <x:c r="K82" s="34" t="n">
        <x:v>1.87883369612285e-7</x:v>
      </x:c>
      <x:c r="L82" s="34" t="n">
        <x:v>1.740838606878459e-7</x:v>
      </x:c>
      <x:c r="M82" s="57" t="n">
        <x:v>2022</x:v>
      </x:c>
    </x:row>
    <x:row r="83" ht="23" customHeight="1">
      <x:c r="A83" s="18" t="str">
        <x:v>FT-Q-V01-079</x:v>
      </x:c>
      <x:c r="B83" s="31" t="str">
        <x:v>coastal flooding</x:v>
      </x:c>
      <x:c r="C83" s="19" t="str">
        <x:v>harm_loss_consequences</x:v>
      </x:c>
      <x:c r="D83" s="19" t="str">
        <x:v>CONTEXT_REQUIRED</x:v>
      </x:c>
      <x:c r="E83" s="34" t="n">
        <x:v>0</x:v>
      </x:c>
      <x:c r="F83" s="34" t="n">
        <x:v>4.454877994275463e-10</x:v>
      </x:c>
      <x:c r="G83" s="34" t="n">
        <x:v>2.620769057326555e-8</x:v>
      </x:c>
      <x:c r="H83" s="34" t="n">
        <x:v>4.335529258867044e-8</x:v>
      </x:c>
      <x:c r="I83" s="34" t="n">
        <x:v>5.518485168831688e-8</x:v>
      </x:c>
      <x:c r="J83" s="34" t="n">
        <x:v>4.927007213849366e-8</x:v>
      </x:c>
      <x:c r="K83" s="34" t="n">
        <x:v>5.272690167812399e-8</x:v>
      </x:c>
      <x:c r="L83" s="34" t="n">
        <x:v>1.034327956617176e-7</x:v>
      </x:c>
      <x:c r="M83" s="57" t="n">
        <x:v>2022</x:v>
      </x:c>
    </x:row>
    <x:row r="84" ht="23" customHeight="1">
      <x:c r="A84" s="18" t="str">
        <x:v>FT-Q-V01-080</x:v>
      </x:c>
      <x:c r="B84" s="31" t="str">
        <x:v>worst impacts</x:v>
      </x:c>
      <x:c r="C84" s="19" t="str">
        <x:v>harm_loss_consequences</x:v>
      </x:c>
      <x:c r="D84" s="19" t="str">
        <x:v>CONTEXT_REQUIRED</x:v>
      </x:c>
      <x:c r="E84" s="34" t="n">
        <x:v>0</x:v>
      </x:c>
      <x:c r="F84" s="34" t="n">
        <x:v>1.113719533263335e-10</x:v>
      </x:c>
      <x:c r="G84" s="34" t="n">
        <x:v>1.332594479208637e-9</x:v>
      </x:c>
      <x:c r="H84" s="34" t="n">
        <x:v>7.691329351189324e-9</x:v>
      </x:c>
      <x:c r="I84" s="34" t="n">
        <x:v>8.09557739248068e-9</x:v>
      </x:c>
      <x:c r="J84" s="34" t="n">
        <x:v>7.893453371835002e-9</x:v>
      </x:c>
      <x:c r="K84" s="34" t="n">
        <x:v>1.125525539436012e-8</x:v>
      </x:c>
      <x:c r="L84" s="34" t="n">
        <x:v>1.9288579872212e-8</x:v>
      </x:c>
      <x:c r="M84" s="57" t="n">
        <x:v>2022</x:v>
      </x:c>
    </x:row>
    <x:row r="85" ht="23" customHeight="1">
      <x:c r="A85" s="18" t="str">
        <x:v>FT-Q-V01-081</x:v>
      </x:c>
      <x:c r="B85" s="31" t="str">
        <x:v>climate change</x:v>
      </x:c>
      <x:c r="C85" s="19" t="str">
        <x:v>climate</x:v>
      </x:c>
      <x:c r="D85" s="19" t="str">
        <x:v>CLIMATE_SPECIFIC</x:v>
      </x:c>
      <x:c r="E85" s="34" t="n">
        <x:v>5.159906557583582e-9</x:v>
      </x:c>
      <x:c r="F85" s="34" t="n">
        <x:v>2.561554912627884e-9</x:v>
      </x:c>
      <x:c r="G85" s="34" t="n">
        <x:v>0.000001240793510930149</x:v>
      </x:c>
      <x:c r="H85" s="34" t="n">
        <x:v>0.000008716473492563492</x:v>
      </x:c>
      <x:c r="I85" s="34" t="n">
        <x:v>0.00001319138383155949</x:v>
      </x:c>
      <x:c r="J85" s="34" t="n">
        <x:v>0.00001095392866206149</x:v>
      </x:c>
      <x:c r="K85" s="34" t="n">
        <x:v>0.00001967096413684616</x:v>
      </x:c>
      <x:c r="L85" s="34" t="n">
        <x:v>0.00002890008815206735</x:v>
      </x:c>
      <x:c r="M85" s="57" t="n">
        <x:v>2022</x:v>
      </x:c>
    </x:row>
    <x:row r="86" ht="23" customHeight="1">
      <x:c r="A86" s="18" t="str">
        <x:v>FT-Q-V01-082</x:v>
      </x:c>
      <x:c r="B86" s="31" t="str">
        <x:v>threat of climate change</x:v>
      </x:c>
      <x:c r="C86" s="19" t="str">
        <x:v>climate</x:v>
      </x:c>
      <x:c r="D86" s="19" t="str">
        <x:v>CONTEXT_REQUIRED</x:v>
      </x:c>
      <x:c r="E86" s="34" t="n">
        <x:v>0</x:v>
      </x:c>
      <x:c r="F86" s="34" t="n">
        <x:v>0</x:v>
      </x:c>
      <x:c r="G86" s="34" t="n">
        <x:v>2.210996594143033e-9</x:v>
      </x:c>
      <x:c r="H86" s="34" t="n">
        <x:v>2.31571378392359e-8</x:v>
      </x:c>
      <x:c r="I86" s="34" t="n">
        <x:v>3.566648866526467e-8</x:v>
      </x:c>
      <x:c r="J86" s="34" t="n">
        <x:v>2.941181325225029e-8</x:v>
      </x:c>
      <x:c r="K86" s="34" t="n">
        <x:v>4.538047629343289e-8</x:v>
      </x:c>
      <x:c r="L86" s="34" t="n">
        <x:v>1.140722242637393e-7</x:v>
      </x:c>
      <x:c r="M86" s="57" t="n">
        <x:v>2022</x:v>
      </x:c>
    </x:row>
    <x:row r="87" ht="23" customHeight="1">
      <x:c r="A87" s="18" t="str">
        <x:v>FT-Q-V01-083</x:v>
      </x:c>
      <x:c r="B87" s="31" t="str">
        <x:v>global average temperature</x:v>
      </x:c>
      <x:c r="C87" s="19" t="str">
        <x:v>temperature_threshold</x:v>
      </x:c>
      <x:c r="D87" s="19" t="str">
        <x:v>CLIMATE_SPECIFIC</x:v>
      </x:c>
      <x:c r="E87" s="34" t="n">
        <x:v>0</x:v>
      </x:c>
      <x:c r="F87" s="34" t="n">
        <x:v>0</x:v>
      </x:c>
      <x:c r="G87" s="34" t="n">
        <x:v>6.216928000180033e-9</x:v>
      </x:c>
      <x:c r="H87" s="34" t="n">
        <x:v>1.575490385374856e-8</x:v>
      </x:c>
      <x:c r="I87" s="34" t="n">
        <x:v>2.793995544647654e-8</x:v>
      </x:c>
      <x:c r="J87" s="34" t="n">
        <x:v>2.184742965011255e-8</x:v>
      </x:c>
      <x:c r="K87" s="34" t="n">
        <x:v>4.038937463646253e-8</x:v>
      </x:c>
      <x:c r="L87" s="34" t="n">
        <x:v>7.577234045763603e-8</x:v>
      </x:c>
      <x:c r="M87" s="57" t="n">
        <x:v>2022</x:v>
      </x:c>
    </x:row>
    <x:row r="88" ht="23" customHeight="1">
      <x:c r="A88" s="18" t="str">
        <x:v>FT-Q-V01-084</x:v>
      </x:c>
      <x:c r="B88" s="31" t="str">
        <x:v>well below 2°C above pre-industrial levels</x:v>
      </x:c>
      <x:c r="C88" s="19" t="str">
        <x:v>temperature_threshold</x:v>
      </x:c>
      <x:c r="D88" s="19" t="str">
        <x:v>CONTEXT_REQUIRED</x:v>
      </x:c>
      <x:c r="E88" s="34" t="str"/>
      <x:c r="F88" s="34" t="str"/>
      <x:c r="G88" s="34" t="str"/>
      <x:c r="H88" s="34" t="str"/>
      <x:c r="I88" s="34" t="str"/>
      <x:c r="J88" s="34" t="str"/>
      <x:c r="K88" s="34" t="str"/>
      <x:c r="L88" s="34" t="str"/>
      <x:c r="M88" s="57" t="n">
        <x:v>2022</x:v>
      </x:c>
    </x:row>
    <x:row r="89" ht="23" customHeight="1">
      <x:c r="A89" s="18" t="str">
        <x:v>FT-Q-V01-085</x:v>
      </x:c>
      <x:c r="B89" s="31" t="str">
        <x:v>1.5°C above pre-industrial levels</x:v>
      </x:c>
      <x:c r="C89" s="19" t="str">
        <x:v>temperature_threshold</x:v>
      </x:c>
      <x:c r="D89" s="19" t="str">
        <x:v>CONTEXT_REQUIRED</x:v>
      </x:c>
      <x:c r="E89" s="34" t="str"/>
      <x:c r="F89" s="34" t="str"/>
      <x:c r="G89" s="34" t="str"/>
      <x:c r="H89" s="34" t="str"/>
      <x:c r="I89" s="34" t="str"/>
      <x:c r="J89" s="34" t="str"/>
      <x:c r="K89" s="34" t="str"/>
      <x:c r="L89" s="34" t="str"/>
      <x:c r="M89" s="57" t="n">
        <x:v>2022</x:v>
      </x:c>
    </x:row>
    <x:row r="90" ht="23" customHeight="1">
      <x:c r="A90" s="18" t="str">
        <x:v>FT-Q-V01-086</x:v>
      </x:c>
      <x:c r="B90" s="31" t="str">
        <x:v>pre-industrial levels</x:v>
      </x:c>
      <x:c r="C90" s="19" t="str">
        <x:v>climate</x:v>
      </x:c>
      <x:c r="D90" s="19" t="str">
        <x:v>CONTEXT_REQUIRED</x:v>
      </x:c>
      <x:c r="E90" s="34" t="n">
        <x:v>0</x:v>
      </x:c>
      <x:c r="F90" s="34" t="n">
        <x:v>0</x:v>
      </x:c>
      <x:c r="G90" s="34" t="n">
        <x:v>3.406129822636217e-9</x:v>
      </x:c>
      <x:c r="H90" s="34" t="n">
        <x:v>1.92166460591392e-8</x:v>
      </x:c>
      <x:c r="I90" s="34" t="n">
        <x:v>2.43588904463854e-8</x:v>
      </x:c>
      <x:c r="J90" s="34" t="n">
        <x:v>2.17877682527623e-8</x:v>
      </x:c>
      <x:c r="K90" s="34" t="n">
        <x:v>3.183085471591962e-8</x:v>
      </x:c>
      <x:c r="L90" s="34" t="n">
        <x:v>1.564491737549023e-7</x:v>
      </x:c>
      <x:c r="M90" s="57" t="n">
        <x:v>2022</x:v>
      </x:c>
    </x:row>
    <x:row r="91" ht="23" customHeight="1">
      <x:c r="A91" s="18" t="str">
        <x:v>FT-Q-V01-087</x:v>
      </x:c>
      <x:c r="B91" s="31" t="str">
        <x:v>risks and impacts</x:v>
      </x:c>
      <x:c r="C91" s="19" t="str">
        <x:v>risk</x:v>
      </x:c>
      <x:c r="D91" s="19" t="str">
        <x:v>CONTEXT_REQUIRED</x:v>
      </x:c>
      <x:c r="E91" s="34" t="n">
        <x:v>0</x:v>
      </x:c>
      <x:c r="F91" s="34" t="n">
        <x:v>0</x:v>
      </x:c>
      <x:c r="G91" s="34" t="n">
        <x:v>3.730156780679117e-9</x:v>
      </x:c>
      <x:c r="H91" s="34" t="n">
        <x:v>8.719695195058552e-9</x:v>
      </x:c>
      <x:c r="I91" s="34" t="n">
        <x:v>1.171048619186266e-8</x:v>
      </x:c>
      <x:c r="J91" s="34" t="n">
        <x:v>1.02150906934606e-8</x:v>
      </x:c>
      <x:c r="K91" s="34" t="n">
        <x:v>1.904498948129829e-8</x:v>
      </x:c>
      <x:c r="L91" s="34" t="n">
        <x:v>4.441337393690237e-8</x:v>
      </x:c>
      <x:c r="M91" s="57" t="n">
        <x:v>2022</x:v>
      </x:c>
    </x:row>
    <x:row r="92" ht="23" customHeight="1">
      <x:c r="A92" s="18" t="str">
        <x:v>FT-Q-V01-088</x:v>
      </x:c>
      <x:c r="B92" s="31" t="str">
        <x:v>adverse impacts</x:v>
      </x:c>
      <x:c r="C92" s="19" t="str">
        <x:v>harm_loss_consequences</x:v>
      </x:c>
      <x:c r="D92" s="19" t="str">
        <x:v>CONTEXT_REQUIRED</x:v>
      </x:c>
      <x:c r="E92" s="34" t="n">
        <x:v>0</x:v>
      </x:c>
      <x:c r="F92" s="34" t="n">
        <x:v>3.341158461012128e-10</x:v>
      </x:c>
      <x:c r="G92" s="34" t="n">
        <x:v>7.824303560610701e-7</x:v>
      </x:c>
      <x:c r="H92" s="34" t="n">
        <x:v>0.000001002482367784552</x:v>
      </x:c>
      <x:c r="I92" s="34" t="n">
        <x:v>8.86375771003145e-7</x:v>
      </x:c>
      <x:c r="J92" s="34" t="n">
        <x:v>9.444290693938484e-7</x:v>
      </x:c>
      <x:c r="K92" s="34" t="n">
        <x:v>2.372477044543242e-7</x:v>
      </x:c>
      <x:c r="L92" s="34" t="n">
        <x:v>3.134836589757661e-7</x:v>
      </x:c>
      <x:c r="M92" s="57" t="n">
        <x:v>2022</x:v>
      </x:c>
    </x:row>
    <x:row r="93" ht="23" customHeight="1">
      <x:c r="A93" s="18" t="str">
        <x:v>FT-Q-V01-089</x:v>
      </x:c>
      <x:c r="B93" s="31" t="str">
        <x:v>adverse effects of climate change</x:v>
      </x:c>
      <x:c r="C93" s="19" t="str">
        <x:v>climate</x:v>
      </x:c>
      <x:c r="D93" s="19" t="str">
        <x:v>CONTEXT_REQUIRED</x:v>
      </x:c>
      <x:c r="E93" s="34" t="n">
        <x:v>0</x:v>
      </x:c>
      <x:c r="F93" s="34" t="n">
        <x:v>0</x:v>
      </x:c>
      <x:c r="G93" s="34" t="n">
        <x:v>8.47171111040268e-10</x:v>
      </x:c>
      <x:c r="H93" s="34" t="n">
        <x:v>1.892433779820957e-8</x:v>
      </x:c>
      <x:c r="I93" s="34" t="n">
        <x:v>1.759132076811776e-8</x:v>
      </x:c>
      <x:c r="J93" s="34" t="n">
        <x:v>1.825782928316366e-8</x:v>
      </x:c>
      <x:c r="K93" s="34" t="n">
        <x:v>3.449535698751838e-8</x:v>
      </x:c>
      <x:c r="L93" s="34" t="n">
        <x:v>6.007298156140983e-8</x:v>
      </x:c>
      <x:c r="M93" s="57" t="n">
        <x:v>2022</x:v>
      </x:c>
    </x:row>
    <x:row r="94" ht="23" customHeight="1">
      <x:c r="A94" s="18" t="str">
        <x:v>FT-Q-V01-090</x:v>
      </x:c>
      <x:c r="B94" s="31" t="str">
        <x:v>greenhouse gas emissions</x:v>
      </x:c>
      <x:c r="C94" s="19" t="str">
        <x:v>carbon_greenhouse</x:v>
      </x:c>
      <x:c r="D94" s="19" t="str">
        <x:v>CONTEXT_REQUIRED</x:v>
      </x:c>
      <x:c r="E94" s="34" t="n">
        <x:v>0</x:v>
      </x:c>
      <x:c r="F94" s="34" t="n">
        <x:v>0</x:v>
      </x:c>
      <x:c r="G94" s="34" t="n">
        <x:v>6.1250253577394e-8</x:v>
      </x:c>
      <x:c r="H94" s="34" t="n">
        <x:v>0.000001090903233809393</x:v>
      </x:c>
      <x:c r="I94" s="34" t="n">
        <x:v>0.000001668671410881561</x:v>
      </x:c>
      <x:c r="J94" s="34" t="n">
        <x:v>0.000001379787322345477</x:v>
      </x:c>
      <x:c r="K94" s="34" t="n">
        <x:v>0.000001287461367946441</x:v>
      </x:c>
      <x:c r="L94" s="34" t="n">
        <x:v>0.000001669261770767538</x:v>
      </x:c>
      <x:c r="M94" s="57" t="n">
        <x:v>2022</x:v>
      </x:c>
    </x:row>
    <x:row r="95" ht="23" customHeight="1">
      <x:c r="A95" s="18" t="str">
        <x:v>FT-Q-V01-091</x:v>
      </x:c>
      <x:c r="B95" s="31" t="str">
        <x:v>climate resilience</x:v>
      </x:c>
      <x:c r="C95" s="19" t="str">
        <x:v>harm_loss_consequences</x:v>
      </x:c>
      <x:c r="D95" s="19" t="str">
        <x:v>CONTEXT_REQUIRED</x:v>
      </x:c>
      <x:c r="E95" s="34" t="n">
        <x:v>0</x:v>
      </x:c>
      <x:c r="F95" s="34" t="n">
        <x:v>0</x:v>
      </x:c>
      <x:c r="G95" s="34" t="n">
        <x:v>0</x:v>
      </x:c>
      <x:c r="H95" s="34" t="n">
        <x:v>7.782892767760341e-10</x:v>
      </x:c>
      <x:c r="I95" s="34" t="n">
        <x:v>1.07941033888892e-9</x:v>
      </x:c>
      <x:c r="J95" s="34" t="n">
        <x:v>9.288498078324769e-10</x:v>
      </x:c>
      <x:c r="K95" s="34" t="n">
        <x:v>6.192725596904092e-8</x:v>
      </x:c>
      <x:c r="L95" s="34" t="n">
        <x:v>2.377892628357969e-7</x:v>
      </x:c>
      <x:c r="M95" s="57" t="n">
        <x:v>2022</x:v>
      </x:c>
    </x:row>
    <x:row r="96" ht="23" customHeight="1">
      <x:c r="A96" s="18" t="str">
        <x:v>FT-Q-V01-092</x:v>
      </x:c>
      <x:c r="B96" s="31" t="str">
        <x:v>vulnerability</x:v>
      </x:c>
      <x:c r="C96" s="19" t="str">
        <x:v>harm_loss_consequences</x:v>
      </x:c>
      <x:c r="D96" s="19" t="str">
        <x:v>CONTEXT_REQUIRED</x:v>
      </x:c>
      <x:c r="E96" s="34" t="n">
        <x:v>4.866453906515744e-9</x:v>
      </x:c>
      <x:c r="F96" s="34" t="n">
        <x:v>3.175859246695723e-7</x:v>
      </x:c>
      <x:c r="G96" s="34" t="n">
        <x:v>0.000003529738691554485</x:v>
      </x:c>
      <x:c r="H96" s="34" t="n">
        <x:v>0.000007107033283659803</x:v>
      </x:c>
      <x:c r="I96" s="34" t="n">
        <x:v>0.000007274388785560859</x:v>
      </x:c>
      <x:c r="J96" s="34" t="n">
        <x:v>0.000007190711034610331</x:v>
      </x:c>
      <x:c r="K96" s="34" t="n">
        <x:v>0.000009355508542086</x:v>
      </x:c>
      <x:c r="L96" s="34" t="n">
        <x:v>0.0000117803589603227</x:v>
      </x:c>
      <x:c r="M96" s="57" t="n">
        <x:v>2022</x:v>
      </x:c>
    </x:row>
    <x:row r="97" ht="23" customHeight="1">
      <x:c r="A97" s="18" t="str">
        <x:v>FT-Q-V01-093</x:v>
      </x:c>
      <x:c r="B97" s="31" t="str">
        <x:v>vulnerable groups</x:v>
      </x:c>
      <x:c r="C97" s="19" t="str">
        <x:v>harm_loss_consequences</x:v>
      </x:c>
      <x:c r="D97" s="19" t="str">
        <x:v>CONTEXT_REQUIRED</x:v>
      </x:c>
      <x:c r="E97" s="34" t="n">
        <x:v>0</x:v>
      </x:c>
      <x:c r="F97" s="34" t="n">
        <x:v>2.561554898750096e-9</x:v>
      </x:c>
      <x:c r="G97" s="34" t="n">
        <x:v>1.830589990703402e-7</x:v>
      </x:c>
      <x:c r="H97" s="34" t="n">
        <x:v>5.319378349119552e-7</x:v>
      </x:c>
      <x:c r="I97" s="34" t="n">
        <x:v>4.877135600170335e-7</x:v>
      </x:c>
      <x:c r="J97" s="34" t="n">
        <x:v>5.098256974644944e-7</x:v>
      </x:c>
      <x:c r="K97" s="34" t="n">
        <x:v>4.145763595753138e-7</x:v>
      </x:c>
      <x:c r="L97" s="34" t="n">
        <x:v>6.561656151760076e-7</x:v>
      </x:c>
      <x:c r="M97" s="57" t="n">
        <x:v>2022</x:v>
      </x:c>
    </x:row>
    <x:row r="98" ht="23" customHeight="1">
      <x:c r="A98" s="18" t="str">
        <x:v>FT-Q-V01-094</x:v>
      </x:c>
      <x:c r="B98" s="31" t="str">
        <x:v>loss and damage</x:v>
      </x:c>
      <x:c r="C98" s="19" t="str">
        <x:v>harm_loss_consequences</x:v>
      </x:c>
      <x:c r="D98" s="19" t="str">
        <x:v>CLIMATE_SPECIFIC</x:v>
      </x:c>
      <x:c r="E98" s="34" t="n">
        <x:v>1.379619247732222e-7</x:v>
      </x:c>
      <x:c r="F98" s="34" t="n">
        <x:v>8.379211266507092e-7</x:v>
      </x:c>
      <x:c r="G98" s="34" t="n">
        <x:v>1.054715317444499e-7</x:v>
      </x:c>
      <x:c r="H98" s="34" t="n">
        <x:v>7.471193348013161e-8</x:v>
      </x:c>
      <x:c r="I98" s="34" t="n">
        <x:v>7.050587146062437e-8</x:v>
      </x:c>
      <x:c r="J98" s="34" t="n">
        <x:v>7.260890247037799e-8</x:v>
      </x:c>
      <x:c r="K98" s="34" t="n">
        <x:v>8.407788263178895e-8</x:v>
      </x:c>
      <x:c r="L98" s="34" t="n">
        <x:v>1.615246781744295e-7</x:v>
      </x:c>
      <x:c r="M98" s="57" t="n">
        <x:v>2022</x:v>
      </x:c>
    </x:row>
    <x:row r="99" ht="23" customHeight="1">
      <x:c r="A99" s="18" t="str">
        <x:v>FT-Q-V01-095</x:v>
      </x:c>
      <x:c r="B99" s="31" t="str">
        <x:v>extreme weather events</x:v>
      </x:c>
      <x:c r="C99" s="19" t="str">
        <x:v>harm_loss_consequences</x:v>
      </x:c>
      <x:c r="D99" s="19" t="str">
        <x:v>CONTEXT_REQUIRED</x:v>
      </x:c>
      <x:c r="E99" s="34" t="n">
        <x:v>0</x:v>
      </x:c>
      <x:c r="F99" s="34" t="n">
        <x:v>0</x:v>
      </x:c>
      <x:c r="G99" s="34" t="n">
        <x:v>3.405795367950049e-9</x:v>
      </x:c>
      <x:c r="H99" s="34" t="n">
        <x:v>8.521520449000786e-8</x:v>
      </x:c>
      <x:c r="I99" s="34" t="n">
        <x:v>1.065605648165047e-7</x:v>
      </x:c>
      <x:c r="J99" s="34" t="n">
        <x:v>9.588788465325626e-8</x:v>
      </x:c>
      <x:c r="K99" s="34" t="n">
        <x:v>2.641805035841216e-7</x:v>
      </x:c>
      <x:c r="L99" s="34" t="n">
        <x:v>4.511812501384327e-7</x:v>
      </x:c>
      <x:c r="M99" s="57" t="n">
        <x:v>2022</x:v>
      </x:c>
    </x:row>
    <x:row r="100" ht="23" customHeight="1">
      <x:c r="A100" s="18" t="str">
        <x:v>FT-Q-V01-096</x:v>
      </x:c>
      <x:c r="B100" s="31" t="str">
        <x:v>slow onset events</x:v>
      </x:c>
      <x:c r="C100" s="19" t="str">
        <x:v>harm_loss_consequences</x:v>
      </x:c>
      <x:c r="D100" s="19" t="str">
        <x:v>CONTEXT_REQUIRED</x:v>
      </x:c>
      <x:c r="E100" s="34" t="n">
        <x:v>0</x:v>
      </x:c>
      <x:c r="F100" s="34" t="n">
        <x:v>0</x:v>
      </x:c>
      <x:c r="G100" s="34" t="n">
        <x:v>0</x:v>
      </x:c>
      <x:c r="H100" s="34" t="n">
        <x:v>2.477186233917905e-10</x:v>
      </x:c>
      <x:c r="I100" s="34" t="n">
        <x:v>4.859122965106266e-10</x:v>
      </x:c>
      <x:c r="J100" s="34" t="n">
        <x:v>3.668154599512086e-10</x:v>
      </x:c>
      <x:c r="K100" s="34" t="n">
        <x:v>2.049460948172488e-9</x:v>
      </x:c>
      <x:c r="L100" s="34" t="n">
        <x:v>5.013650494767319e-9</x:v>
      </x:c>
      <x:c r="M100" s="57" t="n">
        <x:v>2022</x:v>
      </x:c>
    </x:row>
    <x:row r="101" ht="23" customHeight="1">
      <x:c r="A101" s="18" t="str">
        <x:v>FT-Q-V01-097</x:v>
      </x:c>
      <x:c r="B101" s="31" t="str">
        <x:v>risk of loss and damage</x:v>
      </x:c>
      <x:c r="C101" s="19" t="str">
        <x:v>risk</x:v>
      </x:c>
      <x:c r="D101" s="19" t="str">
        <x:v>CONTEXT_REQUIRED</x:v>
      </x:c>
      <x:c r="E101" s="34" t="n">
        <x:v>7.81099351865322e-10</x:v>
      </x:c>
      <x:c r="F101" s="34" t="n">
        <x:v>5.767837332748549e-9</x:v>
      </x:c>
      <x:c r="G101" s="34" t="n">
        <x:v>6.516700790104579e-10</x:v>
      </x:c>
      <x:c r="H101" s="34" t="n">
        <x:v>8.152023084351256e-10</x:v>
      </x:c>
      <x:c r="I101" s="34" t="n">
        <x:v>6.262282359337235e-10</x:v>
      </x:c>
      <x:c r="J101" s="34" t="n">
        <x:v>7.207152721844245e-10</x:v>
      </x:c>
      <x:c r="K101" s="34" t="n">
        <x:v>9.214118357192547e-10</x:v>
      </x:c>
      <x:c r="L101" s="34" t="n">
        <x:v>2.065858161620637e-9</x:v>
      </x:c>
      <x:c r="M101" s="57" t="n">
        <x:v>2022</x:v>
      </x:c>
    </x:row>
    <x:row r="102" ht="23" customHeight="1">
      <x:c r="A102" s="18" t="str">
        <x:v>FT-Q-V01-098</x:v>
      </x:c>
      <x:c r="B102" s="31" t="str">
        <x:v>early warning systems</x:v>
      </x:c>
      <x:c r="C102" s="19" t="str">
        <x:v>harm_loss_consequences</x:v>
      </x:c>
      <x:c r="D102" s="19" t="str">
        <x:v>CONTEXT_REQUIRED</x:v>
      </x:c>
      <x:c r="E102" s="34" t="n">
        <x:v>0</x:v>
      </x:c>
      <x:c r="F102" s="34" t="n">
        <x:v>0</x:v>
      </x:c>
      <x:c r="G102" s="34" t="n">
        <x:v>9.379452314828285e-8</x:v>
      </x:c>
      <x:c r="H102" s="34" t="n">
        <x:v>1.387224217164196e-7</x:v>
      </x:c>
      <x:c r="I102" s="34" t="n">
        <x:v>1.297385822940367e-7</x:v>
      </x:c>
      <x:c r="J102" s="34" t="n">
        <x:v>1.342305020052281e-7</x:v>
      </x:c>
      <x:c r="K102" s="34" t="n">
        <x:v>1.42312563317093e-7</x:v>
      </x:c>
      <x:c r="L102" s="34" t="n">
        <x:v>2.00640613789993e-7</x:v>
      </x:c>
      <x:c r="M102" s="57" t="n">
        <x:v>2022</x:v>
      </x:c>
    </x:row>
    <x:row r="103" ht="23" customHeight="1">
      <x:c r="A103" s="18" t="str">
        <x:v>FT-Q-V01-099</x:v>
      </x:c>
      <x:c r="B103" s="31" t="str">
        <x:v>emergency preparedness</x:v>
      </x:c>
      <x:c r="C103" s="19" t="str">
        <x:v>crisis_emergency</x:v>
      </x:c>
      <x:c r="D103" s="19" t="str">
        <x:v>CONTEXT_REQUIRED</x:v>
      </x:c>
      <x:c r="E103" s="34" t="n">
        <x:v>0</x:v>
      </x:c>
      <x:c r="F103" s="34" t="n">
        <x:v>3.563902506442673e-9</x:v>
      </x:c>
      <x:c r="G103" s="34" t="n">
        <x:v>0.000001046481490560303</x:v>
      </x:c>
      <x:c r="H103" s="34" t="n">
        <x:v>8.403235325082914e-7</x:v>
      </x:c>
      <x:c r="I103" s="34" t="n">
        <x:v>7.499652697369463e-7</x:v>
      </x:c>
      <x:c r="J103" s="34" t="n">
        <x:v>7.951444011226189e-7</x:v>
      </x:c>
      <x:c r="K103" s="34" t="n">
        <x:v>3.295314575553487e-7</x:v>
      </x:c>
      <x:c r="L103" s="34" t="n">
        <x:v>2.663239674349782e-7</x:v>
      </x:c>
      <x:c r="M103" s="57" t="n">
        <x:v>2022</x:v>
      </x:c>
    </x:row>
    <x:row r="104" ht="23" customHeight="1">
      <x:c r="A104" s="18" t="str">
        <x:v>FT-Q-V01-100</x:v>
      </x:c>
      <x:c r="B104" s="31" t="str">
        <x:v>irreversible and permanent loss and damage</x:v>
      </x:c>
      <x:c r="C104" s="19" t="str">
        <x:v>harm_loss_consequences</x:v>
      </x:c>
      <x:c r="D104" s="19" t="str">
        <x:v>CONTEXT_REQUIRED</x:v>
      </x:c>
      <x:c r="E104" s="34" t="n">
        <x:v>0</x:v>
      </x:c>
      <x:c r="F104" s="34" t="n">
        <x:v>0</x:v>
      </x:c>
      <x:c r="G104" s="34" t="n">
        <x:v>0</x:v>
      </x:c>
      <x:c r="H104" s="34" t="n">
        <x:v>0</x:v>
      </x:c>
      <x:c r="I104" s="34" t="n">
        <x:v>0</x:v>
      </x:c>
      <x:c r="J104" s="34" t="n">
        <x:v>0</x:v>
      </x:c>
      <x:c r="K104" s="34" t="n">
        <x:v>6.163167892703214e-11</x:v>
      </x:c>
      <x:c r="L104" s="34" t="n">
        <x:v>6.393428564344106e-10</x:v>
      </x:c>
      <x:c r="M104" s="57" t="n">
        <x:v>2022</x:v>
      </x:c>
    </x:row>
    <x:row r="105" ht="23" customHeight="1">
      <x:c r="A105" s="18" t="str">
        <x:v>FT-Q-V01-101</x:v>
      </x:c>
      <x:c r="B105" s="31" t="str">
        <x:v>climate change</x:v>
      </x:c>
      <x:c r="C105" s="19" t="str">
        <x:v>climate</x:v>
      </x:c>
      <x:c r="D105" s="19" t="str">
        <x:v>CLIMATE_SPECIFIC</x:v>
      </x:c>
      <x:c r="E105" s="34" t="n">
        <x:v>5.159906557583582e-9</x:v>
      </x:c>
      <x:c r="F105" s="34" t="n">
        <x:v>2.561554912627884e-9</x:v>
      </x:c>
      <x:c r="G105" s="34" t="n">
        <x:v>0.000001240793510930149</x:v>
      </x:c>
      <x:c r="H105" s="34" t="n">
        <x:v>0.000008716473492563492</x:v>
      </x:c>
      <x:c r="I105" s="34" t="n">
        <x:v>0.00001319138383155949</x:v>
      </x:c>
      <x:c r="J105" s="34" t="n">
        <x:v>0.00001095392866206149</x:v>
      </x:c>
      <x:c r="K105" s="34" t="n">
        <x:v>0.00001967096413684616</x:v>
      </x:c>
      <x:c r="L105" s="34" t="n">
        <x:v>0.00002890008815206735</x:v>
      </x:c>
      <x:c r="M105" s="57" t="n">
        <x:v>2022</x:v>
      </x:c>
    </x:row>
    <x:row r="106" ht="23" customHeight="1">
      <x:c r="A106" s="18" t="str">
        <x:v>FT-Q-V01-102</x:v>
      </x:c>
      <x:c r="B106" s="31" t="str">
        <x:v>global warming</x:v>
      </x:c>
      <x:c r="C106" s="19" t="str">
        <x:v>warming</x:v>
      </x:c>
      <x:c r="D106" s="19" t="str">
        <x:v>CLIMATE_SPECIFIC</x:v>
      </x:c>
      <x:c r="E106" s="34" t="n">
        <x:v>0</x:v>
      </x:c>
      <x:c r="F106" s="34" t="n">
        <x:v>2.00469511824064e-9</x:v>
      </x:c>
      <x:c r="G106" s="34" t="n">
        <x:v>6.400895369296222e-7</x:v>
      </x:c>
      <x:c r="H106" s="34" t="n">
        <x:v>0.00000339393631278162</x:v>
      </x:c>
      <x:c r="I106" s="34" t="n">
        <x:v>0.00000496164442403968</x:v>
      </x:c>
      <x:c r="J106" s="34" t="n">
        <x:v>0.00000417779036841065</x:v>
      </x:c>
      <x:c r="K106" s="34" t="n">
        <x:v>0.000003293586607857474</x:v>
      </x:c>
      <x:c r="L106" s="34" t="n">
        <x:v>0.000003963670369644401</x:v>
      </x:c>
      <x:c r="M106" s="57" t="n">
        <x:v>2022</x:v>
      </x:c>
    </x:row>
    <x:row r="107" ht="23" customHeight="1">
      <x:c r="A107" s="18" t="str">
        <x:v>FT-Q-V01-103</x:v>
      </x:c>
      <x:c r="B107" s="31" t="str">
        <x:v>very worried</x:v>
      </x:c>
      <x:c r="C107" s="19" t="str">
        <x:v>worry</x:v>
      </x:c>
      <x:c r="D107" s="19" t="str">
        <x:v>CONTEXT_REQUIRED</x:v>
      </x:c>
      <x:c r="E107" s="34" t="n">
        <x:v>0</x:v>
      </x:c>
      <x:c r="F107" s="34" t="n">
        <x:v>5.757930103544862e-8</x:v>
      </x:c>
      <x:c r="G107" s="34" t="n">
        <x:v>1.573942034760467e-7</x:v>
      </x:c>
      <x:c r="H107" s="34" t="n">
        <x:v>2.430551577989326e-7</x:v>
      </x:c>
      <x:c r="I107" s="34" t="n">
        <x:v>2.654000055557493e-7</x:v>
      </x:c>
      <x:c r="J107" s="34" t="n">
        <x:v>2.542275816773409e-7</x:v>
      </x:c>
      <x:c r="K107" s="34" t="n">
        <x:v>4.244305496919898e-7</x:v>
      </x:c>
      <x:c r="L107" s="34" t="n">
        <x:v>3.79268325273463e-7</x:v>
      </x:c>
      <x:c r="M107" s="57" t="n">
        <x:v>2022</x:v>
      </x:c>
    </x:row>
    <x:row r="108" ht="23" customHeight="1">
      <x:c r="A108" s="18" t="str">
        <x:v>FT-Q-V01-104</x:v>
      </x:c>
      <x:c r="B108" s="31" t="str">
        <x:v>somewhat worried</x:v>
      </x:c>
      <x:c r="C108" s="19" t="str">
        <x:v>worry</x:v>
      </x:c>
      <x:c r="D108" s="19" t="str">
        <x:v>CONTEXT_REQUIRED</x:v>
      </x:c>
      <x:c r="E108" s="34" t="n">
        <x:v>1.289976681029259e-9</x:v>
      </x:c>
      <x:c r="F108" s="34" t="n">
        <x:v>1.046896380696438e-8</x:v>
      </x:c>
      <x:c r="G108" s="34" t="n">
        <x:v>8.686541097535638e-9</x:v>
      </x:c>
      <x:c r="H108" s="34" t="n">
        <x:v>1.190324738775672e-8</x:v>
      </x:c>
      <x:c r="I108" s="34" t="n">
        <x:v>1.241321874456691e-8</x:v>
      </x:c>
      <x:c r="J108" s="34" t="n">
        <x:v>1.215823306616182e-8</x:v>
      </x:c>
      <x:c r="K108" s="34" t="n">
        <x:v>1.569197416104173e-8</x:v>
      </x:c>
      <x:c r="L108" s="34" t="n">
        <x:v>1.698810697670083e-8</x:v>
      </x:c>
      <x:c r="M108" s="57" t="n">
        <x:v>2022</x:v>
      </x:c>
    </x:row>
    <x:row r="109" ht="23" customHeight="1">
      <x:c r="A109" s="18" t="str">
        <x:v>FT-Q-V01-105</x:v>
      </x:c>
      <x:c r="B109" s="31" t="str">
        <x:v>afraid</x:v>
      </x:c>
      <x:c r="C109" s="19" t="str">
        <x:v>fear_afraid</x:v>
      </x:c>
      <x:c r="D109" s="19" t="str">
        <x:v>BACKGROUND_AMBIGUOUS</x:v>
      </x:c>
      <x:c r="E109" s="34" t="n">
        <x:v>0.00002212168256576774</x:v>
      </x:c>
      <x:c r="F109" s="34" t="n">
        <x:v>0.00001400559003883473</x:v>
      </x:c>
      <x:c r="G109" s="34" t="n">
        <x:v>0.0000109846374348882</x:v>
      </x:c>
      <x:c r="H109" s="34" t="n">
        <x:v>0.00001976880774634537</x:v>
      </x:c>
      <x:c r="I109" s="34" t="n">
        <x:v>0.00002159649101456107</x:v>
      </x:c>
      <x:c r="J109" s="34" t="n">
        <x:v>0.00002068264938045322</x:v>
      </x:c>
      <x:c r="K109" s="34" t="n">
        <x:v>0.00004288384451456295</x:v>
      </x:c>
      <x:c r="L109" s="34" t="n">
        <x:v>0.00004233809789883428</x:v>
      </x:c>
      <x:c r="M109" s="57" t="n">
        <x:v>2022</x:v>
      </x:c>
    </x:row>
    <x:row r="110" ht="23" customHeight="1">
      <x:c r="A110" s="18" t="str">
        <x:v>FT-Q-V01-106</x:v>
      </x:c>
      <x:c r="B110" s="31" t="str">
        <x:v>anxious</x:v>
      </x:c>
      <x:c r="C110" s="19" t="str">
        <x:v>anxiety</x:v>
      </x:c>
      <x:c r="D110" s="19" t="str">
        <x:v>CONTEXT_REQUIRED</x:v>
      </x:c>
      <x:c r="E110" s="34" t="n">
        <x:v>0.00003869925836497146</x:v>
      </x:c>
      <x:c r="F110" s="34" t="n">
        <x:v>0.00001130616075784019</x:v>
      </x:c>
      <x:c r="G110" s="34" t="n">
        <x:v>0.000006107358935025786</x:v>
      </x:c>
      <x:c r="H110" s="34" t="n">
        <x:v>0.000008508186313434252</x:v>
      </x:c>
      <x:c r="I110" s="34" t="n">
        <x:v>0.000009368124114672582</x:v>
      </x:c>
      <x:c r="J110" s="34" t="n">
        <x:v>0.000008938155214053417</x:v>
      </x:c>
      <x:c r="K110" s="34" t="n">
        <x:v>0.00001482205210834309</x:v>
      </x:c>
      <x:c r="L110" s="34" t="n">
        <x:v>0.00001753054791498593</x:v>
      </x:c>
      <x:c r="M110" s="57" t="n">
        <x:v>2022</x:v>
      </x:c>
    </x:row>
    <x:row r="111" ht="23" customHeight="1">
      <x:c r="A111" s="18" t="str">
        <x:v>FT-Q-V01-107</x:v>
      </x:c>
      <x:c r="B111" s="31" t="str">
        <x:v>hopeless</x:v>
      </x:c>
      <x:c r="C111" s="19" t="str">
        <x:v>distress_depression</x:v>
      </x:c>
      <x:c r="D111" s="19" t="str">
        <x:v>CONTEXT_REQUIRED</x:v>
      </x:c>
      <x:c r="E111" s="34" t="n">
        <x:v>0.0000077498279829058</x:v>
      </x:c>
      <x:c r="F111" s="34" t="n">
        <x:v>0.000003078077401852397</x:v>
      </x:c>
      <x:c r="G111" s="34" t="n">
        <x:v>0.000001574195990450278</x:v>
      </x:c>
      <x:c r="H111" s="34" t="n">
        <x:v>0.000002366883613547088</x:v>
      </x:c>
      <x:c r="I111" s="34" t="n">
        <x:v>0.000002603596225725369</x:v>
      </x:c>
      <x:c r="J111" s="34" t="n">
        <x:v>0.000002485239919636228</x:v>
      </x:c>
      <x:c r="K111" s="34" t="n">
        <x:v>0.000004200327168746298</x:v>
      </x:c>
      <x:c r="L111" s="34" t="n">
        <x:v>0.000004716772487256549</x:v>
      </x:c>
      <x:c r="M111" s="57" t="n">
        <x:v>2022</x:v>
      </x:c>
    </x:row>
    <x:row r="112" ht="23" customHeight="1">
      <x:c r="A112" s="18" t="str">
        <x:v>FT-Q-V01-108</x:v>
      </x:c>
      <x:c r="B112" s="31" t="str">
        <x:v>sad</x:v>
      </x:c>
      <x:c r="C112" s="19" t="str">
        <x:v>distress_depression</x:v>
      </x:c>
      <x:c r="D112" s="19" t="str">
        <x:v>CONTEXT_REQUIRED</x:v>
      </x:c>
      <x:c r="E112" s="34" t="n">
        <x:v>0.00002810681350240429</x:v>
      </x:c>
      <x:c r="F112" s="34" t="n">
        <x:v>0.000007116686279312612</x:v>
      </x:c>
      <x:c r="G112" s="34" t="n">
        <x:v>0.000007082451503964693</x:v>
      </x:c>
      <x:c r="H112" s="34" t="n">
        <x:v>0.00001270232452813339</x:v>
      </x:c>
      <x:c r="I112" s="34" t="n">
        <x:v>0.00001357899595096079</x:v>
      </x:c>
      <x:c r="J112" s="34" t="n">
        <x:v>0.00001314066023954709</x:v>
      </x:c>
      <x:c r="K112" s="34" t="n">
        <x:v>0.00002244314198969477</x:v>
      </x:c>
      <x:c r="L112" s="34" t="n">
        <x:v>0.00002540873449891415</x:v>
      </x:c>
      <x:c r="M112" s="57" t="n">
        <x:v>2022</x:v>
      </x:c>
    </x:row>
    <x:row r="113" ht="23" customHeight="1">
      <x:c r="A113" s="18" t="str">
        <x:v>FT-Q-V01-109</x:v>
      </x:c>
      <x:c r="B113" s="31" t="str">
        <x:v>angry</x:v>
      </x:c>
      <x:c r="C113" s="19" t="str">
        <x:v>distress_depression</x:v>
      </x:c>
      <x:c r="D113" s="19" t="str">
        <x:v>CONTEXT_REQUIRED</x:v>
      </x:c>
      <x:c r="E113" s="34" t="n">
        <x:v>0.00001486580042708852</x:v>
      </x:c>
      <x:c r="F113" s="34" t="n">
        <x:v>0.000004559940654402794</x:v>
      </x:c>
      <x:c r="G113" s="34" t="n">
        <x:v>0.00000751778329544095</x:v>
      </x:c>
      <x:c r="H113" s="34" t="n">
        <x:v>0.0000153830203544203</x:v>
      </x:c>
      <x:c r="I113" s="34" t="n">
        <x:v>0.00001647590850950564</x:v>
      </x:c>
      <x:c r="J113" s="34" t="n">
        <x:v>0.00001592946443196297</x:v>
      </x:c>
      <x:c r="K113" s="34" t="n">
        <x:v>0.00003206412924328106</x:v>
      </x:c>
      <x:c r="L113" s="34" t="n">
        <x:v>0.00003134844381236235</x:v>
      </x:c>
      <x:c r="M113" s="57" t="n">
        <x:v>2022</x:v>
      </x:c>
    </x:row>
    <x:row r="114" ht="23" customHeight="1">
      <x:c r="A114" s="18" t="str">
        <x:v>FT-Q-V01-110</x:v>
      </x:c>
      <x:c r="B114" s="31" t="str">
        <x:v>frustrated</x:v>
      </x:c>
      <x:c r="C114" s="19" t="str">
        <x:v>distress_depression</x:v>
      </x:c>
      <x:c r="D114" s="19" t="str">
        <x:v>CONTEXT_REQUIRED</x:v>
      </x:c>
      <x:c r="E114" s="34" t="n">
        <x:v>0.000002472158670219216</x:v>
      </x:c>
      <x:c r="F114" s="34" t="n">
        <x:v>9.431432204110024e-7</x:v>
      </x:c>
      <x:c r="G114" s="34" t="n">
        <x:v>0.000003289961124863794</x:v>
      </x:c>
      <x:c r="H114" s="34" t="n">
        <x:v>0.000005059109890126479</x:v>
      </x:c>
      <x:c r="I114" s="34" t="n">
        <x:v>0.000005217783510147456</x:v>
      </x:c>
      <x:c r="J114" s="34" t="n">
        <x:v>0.000005138446700136967</x:v>
      </x:c>
      <x:c r="K114" s="34" t="n">
        <x:v>0.000008185089514611832</x:v>
      </x:c>
      <x:c r="L114" s="34" t="n">
        <x:v>0.000007597455986996238</x:v>
      </x:c>
      <x:c r="M114" s="57" t="n">
        <x:v>2022</x:v>
      </x:c>
    </x:row>
    <x:row r="115" ht="23" customHeight="1">
      <x:c r="A115" s="18" t="str">
        <x:v>FT-Q-V01-111</x:v>
      </x:c>
      <x:c r="B115" s="31" t="str">
        <x:v>hopeful</x:v>
      </x:c>
      <x:c r="C115" s="19" t="str">
        <x:v>concern_alarm</x:v>
      </x:c>
      <x:c r="D115" s="19" t="str">
        <x:v>CONTEXT_REQUIRED</x:v>
      </x:c>
      <x:c r="E115" s="34" t="n">
        <x:v>0.000002357188563451018</x:v>
      </x:c>
      <x:c r="F115" s="34" t="n">
        <x:v>0.000003194065403278046</x:v>
      </x:c>
      <x:c r="G115" s="34" t="n">
        <x:v>0.000002021741480007222</x:v>
      </x:c>
      <x:c r="H115" s="34" t="n">
        <x:v>0.000002639803955872821</x:v>
      </x:c>
      <x:c r="I115" s="34" t="n">
        <x:v>0.000002804317349003327</x:v>
      </x:c>
      <x:c r="J115" s="34" t="n">
        <x:v>0.000002722060652438074</x:v>
      </x:c>
      <x:c r="K115" s="34" t="n">
        <x:v>0.000004381402916919797</x:v>
      </x:c>
      <x:c r="L115" s="34" t="n">
        <x:v>0.000004994718922901598</x:v>
      </x:c>
      <x:c r="M115" s="57" t="n">
        <x:v>2022</x:v>
      </x:c>
    </x:row>
    <x:row r="116" ht="23" customHeight="1">
      <x:c r="A116" s="18" t="str">
        <x:v>FT-Q-V01-112</x:v>
      </x:c>
      <x:c r="B116" s="31" t="str">
        <x:v>disgusted</x:v>
      </x:c>
      <x:c r="C116" s="19" t="str">
        <x:v>distress_depression</x:v>
      </x:c>
      <x:c r="D116" s="19" t="str">
        <x:v>CONTEXT_REQUIRED</x:v>
      </x:c>
      <x:c r="E116" s="34" t="n">
        <x:v>0.000002792127986595005</x:v>
      </x:c>
      <x:c r="F116" s="34" t="n">
        <x:v>8.480208872896355e-7</x:v>
      </x:c>
      <x:c r="G116" s="34" t="n">
        <x:v>5.909761447986384e-7</x:v>
      </x:c>
      <x:c r="H116" s="34" t="n">
        <x:v>0.000001171719041792585</x:v>
      </x:c>
      <x:c r="I116" s="34" t="n">
        <x:v>0.000001319191128779096</x:v>
      </x:c>
      <x:c r="J116" s="34" t="n">
        <x:v>0.00000124545508528584</x:v>
      </x:c>
      <x:c r="K116" s="34" t="n">
        <x:v>0.000002510783113862658</x:v>
      </x:c>
      <x:c r="L116" s="34" t="n">
        <x:v>0.000002543607640959067</x:v>
      </x:c>
      <x:c r="M116" s="57" t="n">
        <x:v>2022</x:v>
      </x:c>
    </x:row>
    <x:row r="117" ht="23" customHeight="1">
      <x:c r="A117" s="18" t="str">
        <x:v>FT-Q-V01-113</x:v>
      </x:c>
      <x:c r="B117" s="31" t="str">
        <x:v>outraged</x:v>
      </x:c>
      <x:c r="C117" s="19" t="str">
        <x:v>distress_depression</x:v>
      </x:c>
      <x:c r="D117" s="19" t="str">
        <x:v>CONTEXT_REQUIRED</x:v>
      </x:c>
      <x:c r="E117" s="34" t="n">
        <x:v>0.000001254328481969935</x:v>
      </x:c>
      <x:c r="F117" s="34" t="n">
        <x:v>6.021347390694487e-7</x:v>
      </x:c>
      <x:c r="G117" s="34" t="n">
        <x:v>8.586316730951893e-7</x:v>
      </x:c>
      <x:c r="H117" s="34" t="n">
        <x:v>0.00000127507472225119</x:v>
      </x:c>
      <x:c r="I117" s="34" t="n">
        <x:v>0.000001373316791397627</x:v>
      </x:c>
      <x:c r="J117" s="34" t="n">
        <x:v>0.000001324195756824409</x:v>
      </x:c>
      <x:c r="K117" s="34" t="n">
        <x:v>0.000001949325438399541</x:v>
      </x:c>
      <x:c r="L117" s="34" t="n">
        <x:v>0.00000170548937417081</x:v>
      </x:c>
      <x:c r="M117" s="57" t="n">
        <x:v>2022</x:v>
      </x:c>
    </x:row>
    <x:row r="118" ht="23" customHeight="1">
      <x:c r="A118" s="18" t="str">
        <x:v>FT-Q-V01-114</x:v>
      </x:c>
      <x:c r="B118" s="31" t="str">
        <x:v>depressed</x:v>
      </x:c>
      <x:c r="C118" s="19" t="str">
        <x:v>distress_depression</x:v>
      </x:c>
      <x:c r="D118" s="19" t="str">
        <x:v>BACKGROUND_AMBIGUOUS</x:v>
      </x:c>
      <x:c r="E118" s="34" t="n">
        <x:v>0.000009307701199112728</x:v>
      </x:c>
      <x:c r="F118" s="34" t="n">
        <x:v>0.000006043337837269291</x:v>
      </x:c>
      <x:c r="G118" s="34" t="n">
        <x:v>0.000007711703084112287</x:v>
      </x:c>
      <x:c r="H118" s="34" t="n">
        <x:v>0.000006793051444020648</x:v>
      </x:c>
      <x:c r="I118" s="34" t="n">
        <x:v>0.000007274933071954592</x:v>
      </x:c>
      <x:c r="J118" s="34" t="n">
        <x:v>0.00000703399225798762</x:v>
      </x:c>
      <x:c r="K118" s="34" t="n">
        <x:v>0.000007909356614987928</x:v>
      </x:c>
      <x:c r="L118" s="34" t="n">
        <x:v>0.000006592711166319987</x:v>
      </x:c>
      <x:c r="M118" s="57" t="n">
        <x:v>2022</x:v>
      </x:c>
    </x:row>
    <x:row r="119" ht="23" customHeight="1">
      <x:c r="A119" s="18" t="str">
        <x:v>FT-Q-V01-115</x:v>
      </x:c>
      <x:c r="B119" s="31" t="str">
        <x:v>symptoms of anxiety</x:v>
      </x:c>
      <x:c r="C119" s="19" t="str">
        <x:v>anxiety</x:v>
      </x:c>
      <x:c r="D119" s="19" t="str">
        <x:v>CONTEXT_REQUIRED</x:v>
      </x:c>
      <x:c r="E119" s="34" t="n">
        <x:v>4.118266616615074e-9</x:v>
      </x:c>
      <x:c r="F119" s="34" t="n">
        <x:v>4.033755884869095e-9</x:v>
      </x:c>
      <x:c r="G119" s="34" t="n">
        <x:v>7.033237547915405e-8</x:v>
      </x:c>
      <x:c r="H119" s="34" t="n">
        <x:v>1.017628106780855e-7</x:v>
      </x:c>
      <x:c r="I119" s="34" t="n">
        <x:v>1.071436565580619e-7</x:v>
      </x:c>
      <x:c r="J119" s="34" t="n">
        <x:v>1.044532336180737e-7</x:v>
      </x:c>
      <x:c r="K119" s="34" t="n">
        <x:v>1.362641557159372e-7</x:v>
      </x:c>
      <x:c r="L119" s="34" t="n">
        <x:v>1.926471570046218e-7</x:v>
      </x:c>
      <x:c r="M119" s="57" t="n">
        <x:v>2022</x:v>
      </x:c>
    </x:row>
    <x:row r="120" ht="23" customHeight="1">
      <x:c r="A120" s="18" t="str">
        <x:v>FT-Q-V01-116</x:v>
      </x:c>
      <x:c r="B120" s="31" t="str">
        <x:v>climate anxiety</x:v>
      </x:c>
      <x:c r="C120" s="19" t="str">
        <x:v>anxiety</x:v>
      </x:c>
      <x:c r="D120" s="19" t="str">
        <x:v>CLIMATE_SPECIFIC</x:v>
      </x:c>
      <x:c r="E120" s="34" t="n">
        <x:v>0</x:v>
      </x:c>
      <x:c r="F120" s="34" t="n">
        <x:v>0</x:v>
      </x:c>
      <x:c r="G120" s="34" t="n">
        <x:v>0</x:v>
      </x:c>
      <x:c r="H120" s="34" t="n">
        <x:v>0</x:v>
      </x:c>
      <x:c r="I120" s="34" t="n">
        <x:v>4.497542963055601e-11</x:v>
      </x:c>
      <x:c r="J120" s="34" t="n">
        <x:v>2.2487714815278e-11</x:v>
      </x:c>
      <x:c r="K120" s="34" t="n">
        <x:v>1.86809217400663e-10</x:v>
      </x:c>
      <x:c r="L120" s="34" t="n">
        <x:v>3.579004737019886e-8</x:v>
      </x:c>
      <x:c r="M120" s="57" t="n">
        <x:v>2022</x:v>
      </x:c>
    </x:row>
    <x:row r="121" ht="23" customHeight="1">
      <x:c r="A121" s="18" t="str">
        <x:v>FT-Q-V01-117</x:v>
      </x:c>
      <x:c r="B121" s="31" t="str">
        <x:v>eco-anxiety</x:v>
      </x:c>
      <x:c r="C121" s="19" t="str">
        <x:v>anxiety</x:v>
      </x:c>
      <x:c r="D121" s="19" t="str">
        <x:v>CLIMATE_SPECIFIC</x:v>
      </x:c>
      <x:c r="E121" s="34" t="n">
        <x:v>0</x:v>
      </x:c>
      <x:c r="F121" s="34" t="n">
        <x:v>0</x:v>
      </x:c>
      <x:c r="G121" s="34" t="n">
        <x:v>0</x:v>
      </x:c>
      <x:c r="H121" s="34" t="n">
        <x:v>4.954372329057932e-11</x:v>
      </x:c>
      <x:c r="I121" s="34" t="n">
        <x:v>7.774596660903299e-10</x:v>
      </x:c>
      <x:c r="J121" s="34" t="n">
        <x:v>4.135016946904546e-10</x:v>
      </x:c>
      <x:c r="K121" s="34" t="n">
        <x:v>8.997633402230143e-10</x:v>
      </x:c>
      <x:c r="L121" s="34" t="n">
        <x:v>5.496096178170262e-8</x:v>
      </x:c>
      <x:c r="M121" s="57" t="n">
        <x:v>2022</x:v>
      </x:c>
    </x:row>
    <x:row r="122" ht="23" customHeight="1">
      <x:c r="A122" s="18" t="str">
        <x:v>FT-Q-V01-118</x:v>
      </x:c>
      <x:c r="B122" s="31" t="str">
        <x:v>psychological distress</x:v>
      </x:c>
      <x:c r="C122" s="19" t="str">
        <x:v>distress_depression</x:v>
      </x:c>
      <x:c r="D122" s="19" t="str">
        <x:v>CONTEXT_REQUIRED</x:v>
      </x:c>
      <x:c r="E122" s="34" t="n">
        <x:v>0</x:v>
      </x:c>
      <x:c r="F122" s="34" t="n">
        <x:v>6.682316922024256e-10</x:v>
      </x:c>
      <x:c r="G122" s="34" t="n">
        <x:v>1.915481164793675e-7</x:v>
      </x:c>
      <x:c r="H122" s="34" t="n">
        <x:v>4.426177031557899e-7</x:v>
      </x:c>
      <x:c r="I122" s="34" t="n">
        <x:v>3.763993797756271e-7</x:v>
      </x:c>
      <x:c r="J122" s="34" t="n">
        <x:v>4.095085414657085e-7</x:v>
      </x:c>
      <x:c r="K122" s="34" t="n">
        <x:v>4.692647605497591e-7</x:v>
      </x:c>
      <x:c r="L122" s="34" t="n">
        <x:v>8.442735095481879e-7</x:v>
      </x:c>
      <x:c r="M122" s="57" t="n">
        <x:v>2022</x:v>
      </x:c>
    </x:row>
    <x:row r="123" ht="23" customHeight="1">
      <x:c r="A123" s="18" t="str">
        <x:v>FT-Q-V01-119</x:v>
      </x:c>
      <x:c r="B123" s="31" t="str">
        <x:v>distress</x:v>
      </x:c>
      <x:c r="C123" s="19" t="str">
        <x:v>distress_depression</x:v>
      </x:c>
      <x:c r="D123" s="19" t="str">
        <x:v>BACKGROUND_AMBIGUOUS</x:v>
      </x:c>
      <x:c r="E123" s="34" t="n">
        <x:v>0.0000452841779292612</x:v>
      </x:c>
      <x:c r="F123" s="34" t="n">
        <x:v>0.000007339661380001417</x:v>
      </x:c>
      <x:c r="G123" s="34" t="n">
        <x:v>0.000008156161257488748</x:v>
      </x:c>
      <x:c r="H123" s="34" t="n">
        <x:v>0.00001067856989322991</x:v>
      </x:c>
      <x:c r="I123" s="34" t="n">
        <x:v>0.00001097895778201519</x:v>
      </x:c>
      <x:c r="J123" s="34" t="n">
        <x:v>0.00001082876383762255</x:v>
      </x:c>
      <x:c r="K123" s="34" t="n">
        <x:v>0.00001367328086843145</x:v>
      </x:c>
      <x:c r="L123" s="34" t="n">
        <x:v>0.00001530569114294167</x:v>
      </x:c>
      <x:c r="M123" s="57" t="n">
        <x:v>2022</x:v>
      </x:c>
    </x:row>
    <x:row r="124" ht="23" customHeight="1">
      <x:c r="A124" s="18" t="str">
        <x:v>FT-Q-V01-120</x:v>
      </x:c>
      <x:c r="B124" s="31" t="str">
        <x:v>powerlessness</x:v>
      </x:c>
      <x:c r="C124" s="19" t="str">
        <x:v>distress_depression</x:v>
      </x:c>
      <x:c r="D124" s="19" t="str">
        <x:v>CONTEXT_REQUIRED</x:v>
      </x:c>
      <x:c r="E124" s="34" t="n">
        <x:v>4.805623099457534e-8</x:v>
      </x:c>
      <x:c r="F124" s="34" t="n">
        <x:v>4.725432958818665e-8</x:v>
      </x:c>
      <x:c r="G124" s="34" t="n">
        <x:v>5.816229462496381e-7</x:v>
      </x:c>
      <x:c r="H124" s="34" t="n">
        <x:v>7.747634387378355e-7</x:v>
      </x:c>
      <x:c r="I124" s="34" t="n">
        <x:v>7.41349112098888e-7</x:v>
      </x:c>
      <x:c r="J124" s="34" t="n">
        <x:v>7.580562754183617e-7</x:v>
      </x:c>
      <x:c r="K124" s="34" t="n">
        <x:v>8.678666019168446e-7</x:v>
      </x:c>
      <x:c r="L124" s="34" t="n">
        <x:v>8.604735197703661e-7</x:v>
      </x:c>
      <x:c r="M124" s="57" t="n">
        <x:v>2022</x:v>
      </x:c>
    </x:row>
    <x:row r="125" ht="23" customHeight="1">
      <x:c r="A125" s="18" t="str">
        <x:v>FT-Q-V01-121</x:v>
      </x:c>
      <x:c r="B125" s="31" t="str">
        <x:v>climatic change</x:v>
      </x:c>
      <x:c r="C125" s="19" t="str">
        <x:v>climate</x:v>
      </x:c>
      <x:c r="D125" s="19" t="str">
        <x:v>CLIMATE_SPECIFIC</x:v>
      </x:c>
      <x:c r="E125" s="34" t="n">
        <x:v>0</x:v>
      </x:c>
      <x:c r="F125" s="34" t="n">
        <x:v>5.535186192728858e-8</x:v>
      </x:c>
      <x:c r="G125" s="34" t="n">
        <x:v>6.100814835992285e-7</x:v>
      </x:c>
      <x:c r="H125" s="34" t="n">
        <x:v>3.489940754372589e-7</x:v>
      </x:c>
      <x:c r="I125" s="34" t="n">
        <x:v>3.570599467934976e-7</x:v>
      </x:c>
      <x:c r="J125" s="34" t="n">
        <x:v>3.530270111153783e-7</x:v>
      </x:c>
      <x:c r="K125" s="34" t="n">
        <x:v>3.089357515362323e-7</x:v>
      </x:c>
      <x:c r="L125" s="34" t="n">
        <x:v>3.561308840049904e-7</x:v>
      </x:c>
      <x:c r="M125" s="57" t="n">
        <x:v>2022</x:v>
      </x:c>
    </x:row>
    <x:row r="126" ht="23" customHeight="1">
      <x:c r="A126" s="18" t="str">
        <x:v>FT-Q-V01-122</x:v>
      </x:c>
      <x:c r="B126" s="31" t="str">
        <x:v>climate system</x:v>
      </x:c>
      <x:c r="C126" s="19" t="str">
        <x:v>climate</x:v>
      </x:c>
      <x:c r="D126" s="19" t="str">
        <x:v>CLIMATE_SPECIFIC</x:v>
      </x:c>
      <x:c r="E126" s="34" t="n">
        <x:v>0</x:v>
      </x:c>
      <x:c r="F126" s="34" t="n">
        <x:v>6.682317199580012e-10</x:v>
      </x:c>
      <x:c r="G126" s="34" t="n">
        <x:v>1.403666166632789e-7</x:v>
      </x:c>
      <x:c r="H126" s="34" t="n">
        <x:v>2.739578170152246e-7</x:v>
      </x:c>
      <x:c r="I126" s="34" t="n">
        <x:v>3.127591374774141e-7</x:v>
      </x:c>
      <x:c r="J126" s="34" t="n">
        <x:v>2.933584772463194e-7</x:v>
      </x:c>
      <x:c r="K126" s="34" t="n">
        <x:v>2.867988619925654e-7</x:v>
      </x:c>
      <x:c r="L126" s="34" t="n">
        <x:v>2.992826562686624e-7</x:v>
      </x:c>
      <x:c r="M126" s="57" t="n">
        <x:v>2022</x:v>
      </x:c>
    </x:row>
    <x:row r="127" ht="23" customHeight="1">
      <x:c r="A127" s="18" t="str">
        <x:v>FT-Q-V01-123</x:v>
      </x:c>
      <x:c r="B127" s="31" t="str">
        <x:v>climate crisis</x:v>
      </x:c>
      <x:c r="C127" s="19" t="str">
        <x:v>crisis_emergency</x:v>
      </x:c>
      <x:c r="D127" s="19" t="str">
        <x:v>CLIMATE_SPECIFIC</x:v>
      </x:c>
      <x:c r="E127" s="34" t="n">
        <x:v>0</x:v>
      </x:c>
      <x:c r="F127" s="34" t="n">
        <x:v>0</x:v>
      </x:c>
      <x:c r="G127" s="34" t="n">
        <x:v>1.974213945099557e-9</x:v>
      </x:c>
      <x:c r="H127" s="34" t="n">
        <x:v>1.721392753339934e-8</x:v>
      </x:c>
      <x:c r="I127" s="34" t="n">
        <x:v>4.511035556209464e-8</x:v>
      </x:c>
      <x:c r="J127" s="34" t="n">
        <x:v>3.116214154774699e-8</x:v>
      </x:c>
      <x:c r="K127" s="34" t="n">
        <x:v>8.700639558822942e-8</x:v>
      </x:c>
      <x:c r="L127" s="34" t="n">
        <x:v>9.38814122442011e-7</x:v>
      </x:c>
      <x:c r="M127" s="57" t="n">
        <x:v>2022</x:v>
      </x:c>
    </x:row>
    <x:row r="128" ht="23" customHeight="1">
      <x:c r="A128" s="18" t="str">
        <x:v>FT-Q-V01-124</x:v>
      </x:c>
      <x:c r="B128" s="31" t="str">
        <x:v>climate emergency</x:v>
      </x:c>
      <x:c r="C128" s="19" t="str">
        <x:v>crisis_emergency</x:v>
      </x:c>
      <x:c r="D128" s="19" t="str">
        <x:v>CLIMATE_SPECIFIC</x:v>
      </x:c>
      <x:c r="E128" s="34" t="n">
        <x:v>0</x:v>
      </x:c>
      <x:c r="F128" s="34" t="n">
        <x:v>0</x:v>
      </x:c>
      <x:c r="G128" s="34" t="n">
        <x:v>0</x:v>
      </x:c>
      <x:c r="H128" s="34" t="n">
        <x:v>4.578172285718551e-10</x:v>
      </x:c>
      <x:c r="I128" s="34" t="n">
        <x:v>1.079410283377769e-9</x:v>
      </x:c>
      <x:c r="J128" s="34" t="n">
        <x:v>7.686137559748119e-10</x:v>
      </x:c>
      <x:c r="K128" s="34" t="n">
        <x:v>6.398215714187305e-9</x:v>
      </x:c>
      <x:c r="L128" s="34" t="n">
        <x:v>2.626078123846298e-7</x:v>
      </x:c>
      <x:c r="M128" s="57" t="n">
        <x:v>2022</x:v>
      </x:c>
    </x:row>
    <x:row r="129" ht="23" customHeight="1">
      <x:c r="A129" s="18" t="str">
        <x:v>FT-Q-V01-125</x:v>
      </x:c>
      <x:c r="B129" s="31" t="str">
        <x:v>heat</x:v>
      </x:c>
      <x:c r="C129" s="19" t="str">
        <x:v>heat</x:v>
      </x:c>
      <x:c r="D129" s="19" t="str">
        <x:v>BACKGROUND_AMBIGUOUS</x:v>
      </x:c>
      <x:c r="E129" s="34" t="n">
        <x:v>0.00007384357303408251</x:v>
      </x:c>
      <x:c r="F129" s="34" t="n">
        <x:v>0.00008523965218273921</x:v>
      </x:c>
      <x:c r="G129" s="34" t="n">
        <x:v>0.00008679989608225552</x:v>
      </x:c>
      <x:c r="H129" s="34" t="n">
        <x:v>0.00006360847071413406</x:v>
      </x:c>
      <x:c r="I129" s="34" t="n">
        <x:v>0.00006960987830585685</x:v>
      </x:c>
      <x:c r="J129" s="34" t="n">
        <x:v>0.00006660917450999546</x:v>
      </x:c>
      <x:c r="K129" s="34" t="n">
        <x:v>0.00008562833311283324</x:v>
      </x:c>
      <x:c r="L129" s="34" t="n">
        <x:v>0.00008563693643673723</x:v>
      </x:c>
      <x:c r="M129" s="57" t="n">
        <x:v>2022</x:v>
      </x:c>
    </x:row>
    <x:row r="130" ht="23" customHeight="1">
      <x:c r="A130" s="18" t="str">
        <x:v>FT-Q-V01-126</x:v>
      </x:c>
      <x:c r="B130" s="31" t="str">
        <x:v>extreme heat</x:v>
      </x:c>
      <x:c r="C130" s="19" t="str">
        <x:v>heat</x:v>
      </x:c>
      <x:c r="D130" s="19" t="str">
        <x:v>CLIMATE_SPECIFIC</x:v>
      </x:c>
      <x:c r="E130" s="34" t="n">
        <x:v>3.295890467214235e-7</x:v>
      </x:c>
      <x:c r="F130" s="34" t="n">
        <x:v>1.961260114313745e-7</x:v>
      </x:c>
      <x:c r="G130" s="34" t="n">
        <x:v>1.261029182117457e-7</x:v>
      </x:c>
      <x:c r="H130" s="34" t="n">
        <x:v>1.71086288733302e-7</x:v>
      </x:c>
      <x:c r="I130" s="34" t="n">
        <x:v>1.790471816642825e-7</x:v>
      </x:c>
      <x:c r="J130" s="34" t="n">
        <x:v>1.750667351987922e-7</x:v>
      </x:c>
      <x:c r="K130" s="34" t="n">
        <x:v>2.309896030561198e-7</x:v>
      </x:c>
      <x:c r="L130" s="34" t="n">
        <x:v>3.640498242307721e-7</x:v>
      </x:c>
      <x:c r="M130" s="57" t="n">
        <x:v>2022</x:v>
      </x:c>
    </x:row>
    <x:row r="131" ht="23" customHeight="1">
      <x:c r="A131" s="18" t="str">
        <x:v>FT-Q-V01-127</x:v>
      </x:c>
      <x:c r="B131" s="31" t="str">
        <x:v>fear</x:v>
      </x:c>
      <x:c r="C131" s="19" t="str">
        <x:v>fear_afraid</x:v>
      </x:c>
      <x:c r="D131" s="19" t="str">
        <x:v>BACKGROUND_AMBIGUOUS</x:v>
      </x:c>
      <x:c r="E131" s="34" t="n">
        <x:v>0.00009290729823874244</x:v>
      </x:c>
      <x:c r="F131" s="34" t="n">
        <x:v>0.00002982965392561709</x:v>
      </x:c>
      <x:c r="G131" s="34" t="n">
        <x:v>0.00003016979552554824</x:v>
      </x:c>
      <x:c r="H131" s="34" t="n">
        <x:v>0.00005018035645446006</x:v>
      </x:c>
      <x:c r="I131" s="34" t="n">
        <x:v>0.00005328952276396903</x:v>
      </x:c>
      <x:c r="J131" s="34" t="n">
        <x:v>0.00005173493960921455</x:v>
      </x:c>
      <x:c r="K131" s="34" t="n">
        <x:v>0.0000853677230498312</x:v>
      </x:c>
      <x:c r="L131" s="34" t="n">
        <x:v>0.00008766914891196811</x:v>
      </x:c>
      <x:c r="M131" s="57" t="n">
        <x:v>2022</x:v>
      </x:c>
    </x:row>
    <x:row r="132" ht="23" customHeight="1">
      <x:c r="A132" s="18" t="str">
        <x:v>FT-Q-V01-128</x:v>
      </x:c>
      <x:c r="B132" s="31" t="str">
        <x:v>worry</x:v>
      </x:c>
      <x:c r="C132" s="19" t="str">
        <x:v>worry</x:v>
      </x:c>
      <x:c r="D132" s="19" t="str">
        <x:v>BACKGROUND_AMBIGUOUS</x:v>
      </x:c>
      <x:c r="E132" s="34" t="n">
        <x:v>4.805623241566082e-7</x:v>
      </x:c>
      <x:c r="F132" s="34" t="n">
        <x:v>0.000007171509579961821</x:v>
      </x:c>
      <x:c r="G132" s="34" t="n">
        <x:v>0.000008552264262107201</x:v>
      </x:c>
      <x:c r="H132" s="34" t="n">
        <x:v>0.00001784828057793675</x:v>
      </x:c>
      <x:c r="I132" s="34" t="n">
        <x:v>0.00001894994632323233</x:v>
      </x:c>
      <x:c r="J132" s="34" t="n">
        <x:v>0.00001839911345058454</x:v>
      </x:c>
      <x:c r="K132" s="34" t="n">
        <x:v>0.00003979197197168105</x:v>
      </x:c>
      <x:c r="L132" s="34" t="n">
        <x:v>0.00003846438818300157</x:v>
      </x:c>
      <x:c r="M132" s="57" t="n">
        <x:v>2022</x:v>
      </x:c>
    </x:row>
    <x:row r="133" ht="23" customHeight="1">
      <x:c r="A133" s="18" t="str">
        <x:v>FT-Q-V01-129</x:v>
      </x:c>
      <x:c r="B133" s="31" t="str">
        <x:v>worried</x:v>
      </x:c>
      <x:c r="C133" s="19" t="str">
        <x:v>worry</x:v>
      </x:c>
      <x:c r="D133" s="19" t="str">
        <x:v>BACKGROUND_AMBIGUOUS</x:v>
      </x:c>
      <x:c r="E133" s="34" t="n">
        <x:v>4.769124855030782e-7</x:v>
      </x:c>
      <x:c r="F133" s="34" t="n">
        <x:v>0.000003260957816664245</x:v>
      </x:c>
      <x:c r="G133" s="34" t="n">
        <x:v>0.00000568047238402869</x:v>
      </x:c>
      <x:c r="H133" s="34" t="n">
        <x:v>0.00001124815432973492</x:v>
      </x:c>
      <x:c r="I133" s="34" t="n">
        <x:v>0.00001229906930433344</x:v>
      </x:c>
      <x:c r="J133" s="34" t="n">
        <x:v>0.00001177361181703418</x:v>
      </x:c>
      <x:c r="K133" s="34" t="n">
        <x:v>0.00002799075704729148</x:v>
      </x:c>
      <x:c r="L133" s="34" t="n">
        <x:v>0.00002789063478303433</x:v>
      </x:c>
      <x:c r="M133" s="57" t="n">
        <x:v>2022</x:v>
      </x:c>
    </x:row>
    <x:row r="134" ht="23" customHeight="1">
      <x:c r="A134" s="18" t="str">
        <x:v>FT-Q-V01-130</x:v>
      </x:c>
      <x:c r="B134" s="31" t="str">
        <x:v>concern</x:v>
      </x:c>
      <x:c r="C134" s="19" t="str">
        <x:v>concern_alarm</x:v>
      </x:c>
      <x:c r="D134" s="19" t="str">
        <x:v>BACKGROUND_AMBIGUOUS</x:v>
      </x:c>
      <x:c r="E134" s="34" t="n">
        <x:v>0.00001612012939489205</x:v>
      </x:c>
      <x:c r="F134" s="34" t="n">
        <x:v>0.00002328789579256196</x:v>
      </x:c>
      <x:c r="G134" s="34" t="n">
        <x:v>0.00005265726562726086</x:v>
      </x:c>
      <x:c r="H134" s="34" t="n">
        <x:v>0.00004750323816384017</x:v>
      </x:c>
      <x:c r="I134" s="34" t="n">
        <x:v>0.00004754463289202704</x:v>
      </x:c>
      <x:c r="J134" s="34" t="n">
        <x:v>0.0000475239355279336</x:v>
      </x:c>
      <x:c r="K134" s="34" t="n">
        <x:v>0.00004886092219905103</x:v>
      </x:c>
      <x:c r="L134" s="34" t="n">
        <x:v>0.00004295100018327641</x:v>
      </x:c>
      <x:c r="M134" s="57" t="n">
        <x:v>2022</x:v>
      </x:c>
    </x:row>
    <x:row r="135" ht="23" customHeight="1">
      <x:c r="A135" s="18" t="str">
        <x:v>FT-Q-V01-131</x:v>
      </x:c>
      <x:c r="B135" s="31" t="str">
        <x:v>anxiety</x:v>
      </x:c>
      <x:c r="C135" s="19" t="str">
        <x:v>anxiety</x:v>
      </x:c>
      <x:c r="D135" s="19" t="str">
        <x:v>BACKGROUND_AMBIGUOUS</x:v>
      </x:c>
      <x:c r="E135" s="34" t="n">
        <x:v>0.00002187045254231634</x:v>
      </x:c>
      <x:c r="F135" s="34" t="n">
        <x:v>0.000005693942370044169</x:v>
      </x:c>
      <x:c r="G135" s="34" t="n">
        <x:v>0.00001336584155353648</x:v>
      </x:c>
      <x:c r="H135" s="34" t="n">
        <x:v>0.00001985612161092831</x:v>
      </x:c>
      <x:c r="I135" s="34" t="n">
        <x:v>0.00002133666293957504</x:v>
      </x:c>
      <x:c r="J135" s="34" t="n">
        <x:v>0.00002059639227525167</x:v>
      </x:c>
      <x:c r="K135" s="34" t="n">
        <x:v>0.0000308450222803458</x:v>
      </x:c>
      <x:c r="L135" s="34" t="n">
        <x:v>0.00003612426158383641</x:v>
      </x:c>
      <x:c r="M135" s="57" t="n">
        <x:v>2022</x:v>
      </x:c>
    </x:row>
    <x:row r="136" ht="23" customHeight="1">
      <x:c r="A136" s="18" t="str">
        <x:v>FT-Q-V01-132</x:v>
      </x:c>
      <x:c r="B136" s="31" t="str">
        <x:v>danger</x:v>
      </x:c>
      <x:c r="C136" s="19" t="str">
        <x:v>danger_threat</x:v>
      </x:c>
      <x:c r="D136" s="19" t="str">
        <x:v>BACKGROUND_AMBIGUOUS</x:v>
      </x:c>
      <x:c r="E136" s="34" t="n">
        <x:v>0.00006476216250916877</x:v>
      </x:c>
      <x:c r="F136" s="34" t="n">
        <x:v>0.00003397146667794004</x:v>
      </x:c>
      <x:c r="G136" s="34" t="n">
        <x:v>0.00001925716885878628</x:v>
      </x:c>
      <x:c r="H136" s="34" t="n">
        <x:v>0.00002236469851597117</x:v>
      </x:c>
      <x:c r="I136" s="34" t="n">
        <x:v>0.00002336907294875346</x:v>
      </x:c>
      <x:c r="J136" s="34" t="n">
        <x:v>0.00002286688573236231</x:v>
      </x:c>
      <x:c r="K136" s="34" t="n">
        <x:v>0.00003182665381018523</x:v>
      </x:c>
      <x:c r="L136" s="34" t="n">
        <x:v>0.00003447699095004975</x:v>
      </x:c>
      <x:c r="M136" s="57" t="n">
        <x:v>2022</x:v>
      </x:c>
    </x:row>
    <x:row r="137" ht="23" customHeight="1">
      <x:c r="A137" s="18" t="str">
        <x:v>FT-Q-V01-133</x:v>
      </x:c>
      <x:c r="B137" s="31" t="str">
        <x:v>threat</x:v>
      </x:c>
      <x:c r="C137" s="19" t="str">
        <x:v>danger_threat</x:v>
      </x:c>
      <x:c r="D137" s="19" t="str">
        <x:v>BACKGROUND_AMBIGUOUS</x:v>
      </x:c>
      <x:c r="E137" s="34" t="n">
        <x:v>0.000002933255078829689</x:v>
      </x:c>
      <x:c r="F137" s="34" t="n">
        <x:v>0.00000694792089461771</x:v>
      </x:c>
      <x:c r="G137" s="34" t="n">
        <x:v>0.00002416082722334068</x:v>
      </x:c>
      <x:c r="H137" s="34" t="n">
        <x:v>0.00003019828658068491</x:v>
      </x:c>
      <x:c r="I137" s="34" t="n">
        <x:v>0.00003021426681470984</x:v>
      </x:c>
      <x:c r="J137" s="34" t="n">
        <x:v>0.00003020627669769738</x:v>
      </x:c>
      <x:c r="K137" s="34" t="n">
        <x:v>0.00003481453398990197</x:v>
      </x:c>
      <x:c r="L137" s="34" t="n">
        <x:v>0.00003306681564652081</x:v>
      </x:c>
      <x:c r="M137" s="57" t="n">
        <x:v>2022</x:v>
      </x:c>
    </x:row>
    <x:row r="138" ht="23" customHeight="1">
      <x:c r="A138" s="18" t="str">
        <x:v>FT-Q-V01-134</x:v>
      </x:c>
      <x:c r="B138" s="31" t="str">
        <x:v>risk</x:v>
      </x:c>
      <x:c r="C138" s="19" t="str">
        <x:v>risk</x:v>
      </x:c>
      <x:c r="D138" s="19" t="str">
        <x:v>BACKGROUND_AMBIGUOUS</x:v>
      </x:c>
      <x:c r="E138" s="34" t="n">
        <x:v>0.00001945669182745746</x:v>
      </x:c>
      <x:c r="F138" s="34" t="n">
        <x:v>0.00002148629917542166</x:v>
      </x:c>
      <x:c r="G138" s="34" t="n">
        <x:v>0.00009523120202559188</x:v>
      </x:c>
      <x:c r="H138" s="34" t="n">
        <x:v>0.0001531028393812021</x:v>
      </x:c>
      <x:c r="I138" s="34" t="n">
        <x:v>0.0001609916869453679</x:v>
      </x:c>
      <x:c r="J138" s="34" t="n">
        <x:v>0.000157047263163285</x:v>
      </x:c>
      <x:c r="K138" s="34" t="n">
        <x:v>0.0001617306934208473</x:v>
      </x:c>
      <x:c r="L138" s="34" t="n">
        <x:v>0.0001606175536089036</x:v>
      </x:c>
      <x:c r="M138" s="57" t="n">
        <x:v>2022</x:v>
      </x:c>
    </x:row>
    <x:row r="139" ht="23" customHeight="1">
      <x:c r="A139" s="18" t="str">
        <x:v>FT-Q-V01-135</x:v>
      </x:c>
      <x:c r="B139" s="31" t="str">
        <x:v>crisis</x:v>
      </x:c>
      <x:c r="C139" s="19" t="str">
        <x:v>crisis_emergency</x:v>
      </x:c>
      <x:c r="D139" s="19" t="str">
        <x:v>BACKGROUND_AMBIGUOUS</x:v>
      </x:c>
      <x:c r="E139" s="34" t="n">
        <x:v>0.00000794996059028108</x:v>
      </x:c>
      <x:c r="F139" s="34" t="n">
        <x:v>0.00001376144248865785</x:v>
      </x:c>
      <x:c r="G139" s="34" t="n">
        <x:v>0.00003130539030934618</x:v>
      </x:c>
      <x:c r="H139" s="34" t="n">
        <x:v>0.0000328408971757288</x:v>
      </x:c>
      <x:c r="I139" s="34" t="n">
        <x:v>0.0000338174911674663</x:v>
      </x:c>
      <x:c r="J139" s="34" t="n">
        <x:v>0.00003332919417159755</x:v>
      </x:c>
      <x:c r="K139" s="34" t="n">
        <x:v>0.00004455437012765295</x:v>
      </x:c>
      <x:c r="L139" s="34" t="n">
        <x:v>0.00004809110998900065</x:v>
      </x:c>
      <x:c r="M139" s="57" t="n">
        <x:v>2022</x:v>
      </x:c>
    </x:row>
    <x:row r="140" ht="23" customHeight="1">
      <x:c r="A140" s="18" t="str">
        <x:v>FT-Q-V01-136</x:v>
      </x:c>
      <x:c r="B140" s="31" t="str">
        <x:v>emergency</x:v>
      </x:c>
      <x:c r="C140" s="19" t="str">
        <x:v>crisis_emergency</x:v>
      </x:c>
      <x:c r="D140" s="19" t="str">
        <x:v>BACKGROUND_AMBIGUOUS</x:v>
      </x:c>
      <x:c r="E140" s="34" t="n">
        <x:v>0.00000467909548618195</x:v>
      </x:c>
      <x:c r="F140" s="34" t="n">
        <x:v>0.00004044305869846387</x:v>
      </x:c>
      <x:c r="G140" s="34" t="n">
        <x:v>0.00004546920429717924</x:v>
      </x:c>
      <x:c r="H140" s="34" t="n">
        <x:v>0.00004097540266245411</x:v>
      </x:c>
      <x:c r="I140" s="34" t="n">
        <x:v>0.00004033688333133362</x:v>
      </x:c>
      <x:c r="J140" s="34" t="n">
        <x:v>0.00004065614299689387</x:v>
      </x:c>
      <x:c r="K140" s="34" t="n">
        <x:v>0.00003082039562257721</x:v>
      </x:c>
      <x:c r="L140" s="34" t="n">
        <x:v>0.00002919771714124386</x:v>
      </x:c>
      <x:c r="M140" s="57" t="n">
        <x:v>2022</x:v>
      </x:c>
    </x:row>
    <x:row r="141" ht="23" customHeight="1">
      <x:c r="A141" s="18" t="str">
        <x:v>FT-Q-V01-137</x:v>
      </x:c>
      <x:c r="B141" s="31" t="str">
        <x:v>mortality</x:v>
      </x:c>
      <x:c r="C141" s="19" t="str">
        <x:v>harm_loss_consequences</x:v>
      </x:c>
      <x:c r="D141" s="19" t="str">
        <x:v>BACKGROUND_AMBIGUOUS</x:v>
      </x:c>
      <x:c r="E141" s="34" t="n">
        <x:v>0.00001566694004395686</x:v>
      </x:c>
      <x:c r="F141" s="34" t="n">
        <x:v>0.00001688718413106471</x:v>
      </x:c>
      <x:c r="G141" s="34" t="n">
        <x:v>0.00002448060722329629</x:v>
      </x:c>
      <x:c r="H141" s="34" t="n">
        <x:v>0.00002124850796292321</x:v>
      </x:c>
      <x:c r="I141" s="34" t="n">
        <x:v>0.00002165015705683782</x:v>
      </x:c>
      <x:c r="J141" s="34" t="n">
        <x:v>0.00002144933250988051</x:v>
      </x:c>
      <x:c r="K141" s="34" t="n">
        <x:v>0.00001797212218355992</x:v>
      </x:c>
      <x:c r="L141" s="34" t="n">
        <x:v>0.00001958383349346185</x:v>
      </x:c>
      <x:c r="M141" s="57" t="n">
        <x:v>2022</x:v>
      </x:c>
    </x:row>
    <x:row r="142" ht="23" customHeight="1">
      <x:c r="A142" s="18" t="str">
        <x:v>FT-Q-V01-138</x:v>
      </x:c>
      <x:c r="B142" s="31" t="str">
        <x:v>heat of the irons</x:v>
      </x:c>
      <x:c r="C142" s="19" t="str">
        <x:v>heat</x:v>
      </x:c>
      <x:c r="D142" s="19" t="str">
        <x:v>CONTEXT_REQUIRED</x:v>
      </x:c>
      <x:c r="E142" s="34" t="n">
        <x:v>1.466886390133482e-9</x:v>
      </x:c>
      <x:c r="F142" s="34" t="n">
        <x:v>1.354462930702738e-10</x:v>
      </x:c>
      <x:c r="G142" s="34" t="n">
        <x:v>5.975666489410614e-11</x:v>
      </x:c>
      <x:c r="H142" s="34" t="n">
        <x:v>0</x:v>
      </x:c>
      <x:c r="I142" s="34" t="n">
        <x:v>0</x:v>
      </x:c>
      <x:c r="J142" s="34" t="n">
        <x:v>0</x:v>
      </x:c>
      <x:c r="K142" s="34" t="n">
        <x:v>1.075366740099781e-10</x:v>
      </x:c>
      <x:c r="L142" s="34" t="n">
        <x:v>1.016233625028562e-10</x:v>
      </x:c>
      <x:c r="M142" s="57" t="n">
        <x:v>2022</x:v>
      </x:c>
    </x:row>
    <x:row r="143" ht="23" customHeight="1">
      <x:c r="A143" s="18" t="str">
        <x:v>FT-Q-V01-139</x:v>
      </x:c>
      <x:c r="B143" s="31" t="str">
        <x:v>heat wave</x:v>
      </x:c>
      <x:c r="C143" s="19" t="str">
        <x:v>heat</x:v>
      </x:c>
      <x:c r="D143" s="19" t="str">
        <x:v>CLIMATE_SPECIFIC</x:v>
      </x:c>
      <x:c r="E143" s="34" t="n">
        <x:v>4.514918217068953e-9</x:v>
      </x:c>
      <x:c r="F143" s="34" t="n">
        <x:v>1.921166252749629e-7</x:v>
      </x:c>
      <x:c r="G143" s="34" t="n">
        <x:v>1.718059701449892e-7</x:v>
      </x:c>
      <x:c r="H143" s="34" t="n">
        <x:v>2.572474944173564e-7</x:v>
      </x:c>
      <x:c r="I143" s="34" t="n">
        <x:v>2.559551631371726e-7</x:v>
      </x:c>
      <x:c r="J143" s="34" t="n">
        <x:v>2.566013287772645e-7</x:v>
      </x:c>
      <x:c r="K143" s="34" t="n">
        <x:v>3.528359153667782e-7</x:v>
      </x:c>
      <x:c r="L143" s="34" t="n">
        <x:v>3.006541136052476e-7</x:v>
      </x:c>
      <x:c r="M143" s="57" t="n">
        <x:v>2022</x:v>
      </x:c>
    </x:row>
    <x:row r="144" ht="23" customHeight="1">
      <x:c r="A144" s="18" t="str">
        <x:v>FT-Q-V01-140</x:v>
      </x:c>
      <x:c r="B144" s="31" t="str">
        <x:v>grave threats</x:v>
      </x:c>
      <x:c r="C144" s="19" t="str">
        <x:v>danger_threat</x:v>
      </x:c>
      <x:c r="D144" s="19" t="str">
        <x:v>CONTEXT_REQUIRED</x:v>
      </x:c>
      <x:c r="E144" s="34" t="n">
        <x:v>0</x:v>
      </x:c>
      <x:c r="F144" s="34" t="n">
        <x:v>2.33881092270849e-9</x:v>
      </x:c>
      <x:c r="G144" s="34" t="n">
        <x:v>1.071011054148974e-8</x:v>
      </x:c>
      <x:c r="H144" s="34" t="n">
        <x:v>1.703080053025441e-8</x:v>
      </x:c>
      <x:c r="I144" s="34" t="n">
        <x:v>1.664090922698369e-8</x:v>
      </x:c>
      <x:c r="J144" s="34" t="n">
        <x:v>1.683585487861905e-8</x:v>
      </x:c>
      <x:c r="K144" s="34" t="n">
        <x:v>1.251621790238078e-8</x:v>
      </x:c>
      <x:c r="L144" s="34" t="n">
        <x:v>9.423090391313949e-9</x:v>
      </x:c>
      <x:c r="M144" s="57" t="n">
        <x:v>2022</x:v>
      </x:c>
    </x:row>
    <x:row r="145" ht="23" customHeight="1">
      <x:c r="A145" s="18" t="str">
        <x:v>FT-Q-V01-141</x:v>
      </x:c>
      <x:c r="B145" s="31" t="str">
        <x:v>Be Worried. Be Very Worried.</x:v>
      </x:c>
      <x:c r="C145" s="19" t="str">
        <x:v>worry</x:v>
      </x:c>
      <x:c r="D145" s="19" t="str">
        <x:v>CLIMATE_SPECIFIC</x:v>
      </x:c>
      <x:c r="E145" s="34" t="str"/>
      <x:c r="F145" s="34" t="str"/>
      <x:c r="G145" s="34" t="str"/>
      <x:c r="H145" s="34" t="str"/>
      <x:c r="I145" s="34" t="str"/>
      <x:c r="J145" s="34" t="str"/>
      <x:c r="K145" s="34" t="str"/>
      <x:c r="L145" s="34" t="str"/>
      <x:c r="M145" s="57" t="n">
        <x:v>2022</x:v>
      </x:c>
    </x:row>
    <x:row r="146" ht="23" customHeight="1">
      <x:c r="A146" s="18" t="str">
        <x:v>FT-Q-V01-142</x:v>
      </x:c>
      <x:c r="B146" s="31" t="str">
        <x:v>comprehensive risk assessment and management</x:v>
      </x:c>
      <x:c r="C146" s="19" t="str">
        <x:v>risk</x:v>
      </x:c>
      <x:c r="D146" s="19" t="str">
        <x:v>CONTEXT_REQUIRED</x:v>
      </x:c>
      <x:c r="E146" s="34" t="n">
        <x:v>0</x:v>
      </x:c>
      <x:c r="F146" s="34" t="n">
        <x:v>0</x:v>
      </x:c>
      <x:c r="G146" s="34" t="n">
        <x:v>1.303340213532067e-10</x:v>
      </x:c>
      <x:c r="H146" s="34" t="n">
        <x:v>1.746862099416546e-10</x:v>
      </x:c>
      <x:c r="I146" s="34" t="n">
        <x:v>1.707895214142496e-10</x:v>
      </x:c>
      <x:c r="J146" s="34" t="n">
        <x:v>1.727378656779521e-10</x:v>
      </x:c>
      <x:c r="K146" s="34" t="n">
        <x:v>2.879411986622671e-10</x:v>
      </x:c>
      <x:c r="L146" s="34" t="n">
        <x:v>7.611056784817549e-10</x:v>
      </x:c>
      <x:c r="M146" s="57" t="n">
        <x:v>2022</x:v>
      </x:c>
    </x:row>
    <x:row r="147" ht="23" customHeight="1">
      <x:c r="A147" s="21" t="str">
        <x:v>FT-Q-V01-143</x:v>
      </x:c>
      <x:c r="B147" s="32" t="str">
        <x:v>guilt</x:v>
      </x:c>
      <x:c r="C147" s="22" t="str">
        <x:v>distress_depression</x:v>
      </x:c>
      <x:c r="D147" s="22" t="str">
        <x:v>CONTEXT_REQUIRED</x:v>
      </x:c>
      <x:c r="E147" s="35" t="n">
        <x:v>0.00001865798427758136</x:v>
      </x:c>
      <x:c r="F147" s="35" t="n">
        <x:v>0.000003496206829295412</x:v>
      </x:c>
      <x:c r="G147" s="35" t="n">
        <x:v>0.000008151257723909566</x:v>
      </x:c>
      <x:c r="H147" s="35" t="n">
        <x:v>0.00001063899859587991</x:v>
      </x:c>
      <x:c r="I147" s="35" t="n">
        <x:v>0.00001129985992306265</x:v>
      </x:c>
      <x:c r="J147" s="35" t="n">
        <x:v>0.00001096942925947128</x:v>
      </x:c>
      <x:c r="K147" s="35" t="n">
        <x:v>0.00001744112144308474</x:v>
      </x:c>
      <x:c r="L147" s="35" t="n">
        <x:v>0.00001681260062724732</x:v>
      </x:c>
      <x:c r="M147" s="58" t="n">
        <x:v>2022</x:v>
      </x:c>
    </x:row>
  </x:sheetData>
  <x:mergeCells>
    <x:mergeCell ref="A1:M1"/>
    <x:mergeCell ref="A2:M2"/>
  </x:mergeCells>
  <x:pageMargins left="0.7" right="0.7" top="0.75" bottom="0.75" header="0.3" footer="0.3"/>
  <x:tableParts count="1">
    <x:tablePart xmlns:r="http://schemas.openxmlformats.org/officeDocument/2006/relationships" r:id="R95ba87b3f93346f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6" hidden="0" customWidth="1"/>
    <x:col min="4" max="4" width="17" hidden="0" customWidth="1"/>
    <x:col min="5" max="5" width="26" hidden="0" customWidth="1"/>
    <x:col min="6" max="6" width="26" hidden="0" customWidth="1"/>
    <x:col min="7" max="7" width="16" hidden="0" customWidth="1"/>
    <x:col min="8" max="8" width="17" hidden="0" customWidth="1"/>
    <x:col min="9" max="9" width="16" hidden="0" customWidth="1"/>
    <x:col min="10" max="10" width="42" hidden="0" customWidth="1"/>
    <x:col min="11" max="11" width="42" hidden="0" customWidth="1"/>
  </x:cols>
  <x:sheetData>
    <x:row r="1" ht="38" customHeight="1">
      <x:c r="A1" s="3" t="str">
        <x:v>Lexical Family Frequency Summary</x:v>
      </x:c>
      <x:c r="B1" s="3" t="str">
        <x:v>Lexical Family Frequency Summary</x:v>
      </x:c>
      <x:c r="C1" s="3" t="str">
        <x:v>Lexical Family Frequency Summary</x:v>
      </x:c>
      <x:c r="D1" s="3" t="str">
        <x:v>Lexical Family Frequency Summary</x:v>
      </x:c>
      <x:c r="E1" s="3" t="str">
        <x:v>Lexical Family Frequency Summary</x:v>
      </x:c>
      <x:c r="F1" s="3" t="str">
        <x:v>Lexical Family Frequency Summary</x:v>
      </x:c>
      <x:c r="G1" s="3" t="str">
        <x:v>Lexical Family Frequency Summary</x:v>
      </x:c>
      <x:c r="H1" s="3" t="str">
        <x:v>Lexical Family Frequency Summary</x:v>
      </x:c>
      <x:c r="I1" s="3" t="str">
        <x:v>Lexical Family Frequency Summary</x:v>
      </x:c>
      <x:c r="J1" s="3" t="str">
        <x:v>Lexical Family Frequency Summary</x:v>
      </x:c>
      <x:c r="K1" s="3" t="str">
        <x:v>Lexical Family Frequency Summary</x:v>
      </x:c>
    </x:row>
    <x:row r="2" ht="31" customHeight="1">
      <x:c r="A2" s="7" t="str">
        <x:v>Fourteen semantic families. Member trajectories are described individually; no overlapping strings are summed into a composite index.</x:v>
      </x:c>
      <x:c r="B2" s="7" t="str">
        <x:v>Fourteen semantic families. Member trajectories are described individually; no overlapping strings are summed into a composite index.</x:v>
      </x:c>
      <x:c r="C2" s="7" t="str">
        <x:v>Fourteen semantic families. Member trajectories are described individually; no overlapping strings are summed into a composite index.</x:v>
      </x:c>
      <x:c r="D2" s="7" t="str">
        <x:v>Fourteen semantic families. Member trajectories are described individually; no overlapping strings are summed into a composite index.</x:v>
      </x:c>
      <x:c r="E2" s="7" t="str">
        <x:v>Fourteen semantic families. Member trajectories are described individually; no overlapping strings are summed into a composite index.</x:v>
      </x:c>
      <x:c r="F2" s="7" t="str">
        <x:v>Fourteen semantic families. Member trajectories are described individually; no overlapping strings are summed into a composite index.</x:v>
      </x:c>
      <x:c r="G2" s="7" t="str">
        <x:v>Fourteen semantic families. Member trajectories are described individually; no overlapping strings are summed into a composite index.</x:v>
      </x:c>
      <x:c r="H2" s="7" t="str">
        <x:v>Fourteen semantic families. Member trajectories are described individually; no overlapping strings are summed into a composite index.</x:v>
      </x:c>
      <x:c r="I2" s="7" t="str">
        <x:v>Fourteen semantic families. Member trajectories are described individually; no overlapping strings are summed into a composite index.</x:v>
      </x:c>
      <x:c r="J2" s="7" t="str">
        <x:v>Fourteen semantic families. Member trajectories are described individually; no overlapping strings are summed into a composite index.</x:v>
      </x:c>
      <x:c r="K2" s="7" t="str">
        <x:v>Fourteen semantic families. Member trajectories are described individually; no overlapping strings are summed into a composite index.</x:v>
      </x:c>
    </x:row>
    <x:row r="4" ht="42" customHeight="1">
      <x:c r="A4" s="14" t="str">
        <x:v>family_id</x:v>
      </x:c>
      <x:c r="B4" s="14" t="str">
        <x:v>family_code</x:v>
      </x:c>
      <x:c r="C4" s="14" t="str">
        <x:v>members_queried</x:v>
      </x:c>
      <x:c r="D4" s="14" t="str">
        <x:v>query_rule_count</x:v>
      </x:c>
      <x:c r="E4" s="14" t="str">
        <x:v>members_successful</x:v>
      </x:c>
      <x:c r="F4" s="14" t="str">
        <x:v>members_sparse_or_zero</x:v>
      </x:c>
      <x:c r="G4" s="14" t="str">
        <x:v>earliest_observable_member</x:v>
      </x:c>
      <x:c r="H4" s="14" t="str">
        <x:v>representative_terms_by_peak_frequency</x:v>
      </x:c>
      <x:c r="I4" s="14" t="str">
        <x:v>member_peak_years</x:v>
      </x:c>
      <x:c r="J4" s="14" t="str">
        <x:v>anchor_period_notes</x:v>
      </x:c>
      <x:c r="K4" s="14" t="str">
        <x:v>semantic_comparability_warning</x:v>
      </x:c>
    </x:row>
    <x:row r="5" ht="40" customHeight="1">
      <x:c r="A5" s="15" t="str">
        <x:v>FT-F09</x:v>
      </x:c>
      <x:c r="B5" s="16" t="str">
        <x:v>anxiety</x:v>
      </x:c>
      <x:c r="C5" s="59" t="str">
        <x:v>anxious | symptoms of anxiety | climate anxiety | eco-anxiety | anxiety</x:v>
      </x:c>
      <x:c r="D5" s="27" t="n">
        <x:v>5</x:v>
      </x:c>
      <x:c r="E5" s="59" t="n">
        <x:v>5</x:v>
      </x:c>
      <x:c r="F5" s="59" t="n">
        <x:v>0</x:v>
      </x:c>
      <x:c r="G5" s="16" t="str">
        <x:v>anxiety (1842)</x:v>
      </x:c>
      <x:c r="H5" s="33" t="str">
        <x:v>anxious | anxiety | symptoms of anxiety</x:v>
      </x:c>
      <x:c r="I5" s="16" t="str">
        <x:v>anxious:1844 | symptoms of anxiety:2022 | climate anxiety:2022 | eco-anxiety:2022 | anxiety:2022</x:v>
      </x:c>
      <x:c r="J5" s="30" t="str">
        <x:v>Compare member trajectories and anchor values individually; no family total is computed.</x:v>
      </x:c>
      <x:c r="K5" s="45" t="str">
        <x:v>Semantic family is not a synonym set. Overlapping and differently scoped strings are never summed.</x:v>
      </x:c>
    </x:row>
    <x:row r="6" ht="40" customHeight="1">
      <x:c r="A6" s="18" t="str">
        <x:v>FT-F05</x:v>
      </x:c>
      <x:c r="B6" s="19" t="str">
        <x:v>carbon_greenhouse</x:v>
      </x:c>
      <x:c r="C6" s="60" t="str">
        <x:v>artificial production of carbon dioxide | carbon dioxide | fuel combustion | greenhouse effect | anthropogenic CO₂ | anthropogenic GHG emissions | greenhouse gas emissions</x:v>
      </x:c>
      <x:c r="D6" s="28" t="n">
        <x:v>7</x:v>
      </x:c>
      <x:c r="E6" s="60" t="n">
        <x:v>6</x:v>
      </x:c>
      <x:c r="F6" s="60" t="n">
        <x:v>0</x:v>
      </x:c>
      <x:c r="G6" s="19" t="str">
        <x:v>carbon dioxide (1842)</x:v>
      </x:c>
      <x:c r="H6" s="34" t="str">
        <x:v>carbon dioxide | greenhouse gas emissions | greenhouse effect</x:v>
      </x:c>
      <x:c r="I6" s="19" t="str">
        <x:v>artificial production of carbon dioxide:1938 | carbon dioxide:1965 | fuel combustion:1978 | greenhouse effect:1990 | anthropogenic GHG emissions:2022 | greenhouse gas emissions:2009</x:v>
      </x:c>
      <x:c r="J6" s="31" t="str">
        <x:v>Compare member trajectories and anchor values individually; no family total is computed.</x:v>
      </x:c>
      <x:c r="K6" s="46" t="str">
        <x:v>Semantic family is not a synonym set. Overlapping and differently scoped strings are never summed.</x:v>
      </x:c>
    </x:row>
    <x:row r="7" ht="40" customHeight="1">
      <x:c r="A7" s="18" t="str">
        <x:v>FT-F04</x:v>
      </x:c>
      <x:c r="B7" s="19" t="str">
        <x:v>climate</x:v>
      </x:c>
      <x:c r="C7" s="60" t="str">
        <x:v>meteorological observations | meteorological journal | weather | climate | air | atmosphere | radiation absorption coefficients | water vapour | sky radiation | meteorological stations | instrumental measurements | global climate models | global observations | changing atmosphere | unequivocal | climate change | costs and risks of climate change | impacts of climate change | threat of climate change | pre-industrial levels | adverse effects of climate change | climatic change | climate system</x:v>
      </x:c>
      <x:c r="D7" s="28" t="n">
        <x:v>25</x:v>
      </x:c>
      <x:c r="E7" s="60" t="n">
        <x:v>25</x:v>
      </x:c>
      <x:c r="F7" s="60" t="n">
        <x:v>0</x:v>
      </x:c>
      <x:c r="G7" s="19" t="str">
        <x:v>air (1842)</x:v>
      </x:c>
      <x:c r="H7" s="34" t="str">
        <x:v>air | climate | weather</x:v>
      </x:c>
      <x:c r="I7" s="19" t="str">
        <x:v>meteorological observations:1875 | meteorological journal:1842 | weather:1928 | climate:2022 | air:1944 | atmosphere:1965 | radiation absorption coefficients:1982 | water vapour:1960 | sky radiation:1964 | meteorological stations:1965 | instrumental measurements:1974 | global climate models:1994 | global observations:1984 | changing atmosphere:1989 | unequivocal:1844 | climate change:2022 | costs and risks of climate change:2009 | impacts of climate change:2022 | climate change:2022 | threat of climate change:2021 | pre-industrial levels:2022 | adverse effects of climate change:2021 | climate change:2022 | climatic change:1990 | climate system:2013</x:v>
      </x:c>
      <x:c r="J7" s="31" t="str">
        <x:v>Compare member trajectories and anchor values individually; no family total is computed.</x:v>
      </x:c>
      <x:c r="K7" s="46" t="str">
        <x:v>Semantic family is not a synonym set. Overlapping and differently scoped strings are never summed.</x:v>
      </x:c>
    </x:row>
    <x:row r="8" ht="40" customHeight="1">
      <x:c r="A8" s="18" t="str">
        <x:v>FT-F06</x:v>
      </x:c>
      <x:c r="B8" s="19" t="str">
        <x:v>concern_alarm</x:v>
      </x:c>
      <x:c r="C8" s="60" t="str">
        <x:v>rather a coincidence | hopeful | concern</x:v>
      </x:c>
      <x:c r="D8" s="28" t="n">
        <x:v>3</x:v>
      </x:c>
      <x:c r="E8" s="60" t="n">
        <x:v>3</x:v>
      </x:c>
      <x:c r="F8" s="60" t="n">
        <x:v>0</x:v>
      </x:c>
      <x:c r="G8" s="19" t="str">
        <x:v>concern (1842)</x:v>
      </x:c>
      <x:c r="H8" s="34" t="str">
        <x:v>concern | hopeful | rather a coincidence</x:v>
      </x:c>
      <x:c r="I8" s="19" t="str">
        <x:v>rather a coincidence:1934 | hopeful:1862 | concern:1980</x:v>
      </x:c>
      <x:c r="J8" s="31" t="str">
        <x:v>Compare member trajectories and anchor values individually; no family total is computed.</x:v>
      </x:c>
      <x:c r="K8" s="46" t="str">
        <x:v>Semantic family is not a synonym set. Overlapping and differently scoped strings are never summed.</x:v>
      </x:c>
    </x:row>
    <x:row r="9" ht="40" customHeight="1">
      <x:c r="A9" s="18" t="str">
        <x:v>FT-F13</x:v>
      </x:c>
      <x:c r="B9" s="19" t="str">
        <x:v>crisis_emergency</x:v>
      </x:c>
      <x:c r="C9" s="60" t="str">
        <x:v>emergency preparedness | climate crisis | climate emergency | crisis | emergency</x:v>
      </x:c>
      <x:c r="D9" s="28" t="n">
        <x:v>5</x:v>
      </x:c>
      <x:c r="E9" s="60" t="n">
        <x:v>5</x:v>
      </x:c>
      <x:c r="F9" s="60" t="n">
        <x:v>0</x:v>
      </x:c>
      <x:c r="G9" s="19" t="str">
        <x:v>crisis (1842)</x:v>
      </x:c>
      <x:c r="H9" s="34" t="str">
        <x:v>emergency | crisis | emergency preparedness</x:v>
      </x:c>
      <x:c r="I9" s="19" t="str">
        <x:v>emergency preparedness:1986 | climate crisis:2022 | climate emergency:2022 | crisis:2021 | emergency:1942</x:v>
      </x:c>
      <x:c r="J9" s="31" t="str">
        <x:v>Compare member trajectories and anchor values individually; no family total is computed.</x:v>
      </x:c>
      <x:c r="K9" s="46" t="str">
        <x:v>Semantic family is not a synonym set. Overlapping and differently scoped strings are never summed.</x:v>
      </x:c>
    </x:row>
    <x:row r="10" ht="40" customHeight="1">
      <x:c r="A10" s="18" t="str">
        <x:v>FT-F11</x:v>
      </x:c>
      <x:c r="B10" s="19" t="str">
        <x:v>danger_threat</x:v>
      </x:c>
      <x:c r="C10" s="60" t="str">
        <x:v>deadly glaciers | global security | major threat | serious global threat | danger | threat | grave threats</x:v>
      </x:c>
      <x:c r="D10" s="28" t="n">
        <x:v>7</x:v>
      </x:c>
      <x:c r="E10" s="60" t="n">
        <x:v>7</x:v>
      </x:c>
      <x:c r="F10" s="60" t="n">
        <x:v>0</x:v>
      </x:c>
      <x:c r="G10" s="19" t="str">
        <x:v>danger (1842)</x:v>
      </x:c>
      <x:c r="H10" s="34" t="str">
        <x:v>danger | threat | global security</x:v>
      </x:c>
      <x:c r="I10" s="19" t="str">
        <x:v>deadly glaciers:1845 | global security:2009 | major threat:2021 | serious global threat:2022 | danger:1848 | threat:2016 | grave threats:2008</x:v>
      </x:c>
      <x:c r="J10" s="31" t="str">
        <x:v>Compare member trajectories and anchor values individually; no family total is computed.</x:v>
      </x:c>
      <x:c r="K10" s="46" t="str">
        <x:v>Semantic family is not a synonym set. Overlapping and differently scoped strings are never summed.</x:v>
      </x:c>
    </x:row>
    <x:row r="11" ht="40" customHeight="1">
      <x:c r="A11" s="18" t="str">
        <x:v>FT-F10</x:v>
      </x:c>
      <x:c r="B11" s="19" t="str">
        <x:v>distress_depression</x:v>
      </x:c>
      <x:c r="C11" s="60" t="str">
        <x:v>hopeless | sad | angry | frustrated | disgusted | outraged | depressed | psychological distress | distress | powerlessness | guilt</x:v>
      </x:c>
      <x:c r="D11" s="28" t="n">
        <x:v>11</x:v>
      </x:c>
      <x:c r="E11" s="60" t="n">
        <x:v>11</x:v>
      </x:c>
      <x:c r="F11" s="60" t="n">
        <x:v>0</x:v>
      </x:c>
      <x:c r="G11" s="19" t="str">
        <x:v>angry (1842)</x:v>
      </x:c>
      <x:c r="H11" s="34" t="str">
        <x:v>angry | distress | sad</x:v>
      </x:c>
      <x:c r="I11" s="19" t="str">
        <x:v>hopeless:1848 | sad:1850 | angry:2020 | frustrated:2015 | disgusted:2020 | outraged:2014 | depressed:1843 | psychological distress:2022 | distress:1842 | powerlessness:2016 | guilt:1844</x:v>
      </x:c>
      <x:c r="J11" s="31" t="str">
        <x:v>Compare member trajectories and anchor values individually; no family total is computed.</x:v>
      </x:c>
      <x:c r="K11" s="46" t="str">
        <x:v>Semantic family is not a synonym set. Overlapping and differently scoped strings are never summed.</x:v>
      </x:c>
    </x:row>
    <x:row r="12" ht="40" customHeight="1">
      <x:c r="A12" s="18" t="str">
        <x:v>FT-F08</x:v>
      </x:c>
      <x:c r="B12" s="19" t="str">
        <x:v>fear_afraid</x:v>
      </x:c>
      <x:c r="C12" s="60" t="str">
        <x:v>afraid | fear</x:v>
      </x:c>
      <x:c r="D12" s="28" t="n">
        <x:v>2</x:v>
      </x:c>
      <x:c r="E12" s="60" t="n">
        <x:v>2</x:v>
      </x:c>
      <x:c r="F12" s="60" t="n">
        <x:v>0</x:v>
      </x:c>
      <x:c r="G12" s="19" t="str">
        <x:v>afraid (1842)</x:v>
      </x:c>
      <x:c r="H12" s="34" t="str">
        <x:v>fear | afraid</x:v>
      </x:c>
      <x:c r="I12" s="19" t="str">
        <x:v>afraid:2020 | fear:1850</x:v>
      </x:c>
      <x:c r="J12" s="31" t="str">
        <x:v>Compare member trajectories and anchor values individually; no family total is computed.</x:v>
      </x:c>
      <x:c r="K12" s="46" t="str">
        <x:v>Semantic family is not a synonym set. Overlapping and differently scoped strings are never summed.</x:v>
      </x:c>
    </x:row>
    <x:row r="13" ht="40" customHeight="1">
      <x:c r="A13" s="18" t="str">
        <x:v>FT-F14</x:v>
      </x:c>
      <x:c r="B13" s="19" t="str">
        <x:v>harm_loss_consequences</x:v>
      </x:c>
      <x:c r="C13" s="60" t="str">
        <x:v>cause-and-effect relationship | drought | extreme events | changed climatic extremes | harmful consequences | rising global average sea level | widespread melting of snow and ice | urgent global response | damage | hunger | water shortages | coastal flooding | worst impacts | adverse impacts | climate resilience | vulnerability | vulnerable groups | loss and damage | extreme weather events | slow onset events | early warning systems | irreversible and permanent loss and damage | mortality</x:v>
      </x:c>
      <x:c r="D13" s="28" t="n">
        <x:v>23</x:v>
      </x:c>
      <x:c r="E13" s="60" t="n">
        <x:v>22</x:v>
      </x:c>
      <x:c r="F13" s="60" t="n">
        <x:v>1</x:v>
      </x:c>
      <x:c r="G13" s="19" t="str">
        <x:v>damage (1842)</x:v>
      </x:c>
      <x:c r="H13" s="34" t="str">
        <x:v>damage | mortality | drought</x:v>
      </x:c>
      <x:c r="I13" s="19" t="str">
        <x:v>cause-and-effect relationship:2011 | drought:1934 | extreme events:2022 | harmful consequences:2022 | rising global average sea level:2008 | widespread melting of snow and ice:2008 | urgent global response:2007 | damage:1986 | hunger:2015 | water shortages:2009 | coastal flooding:2022 | worst impacts:2022 | adverse impacts:2008 | climate resilience:2022 | vulnerability:2021 | vulnerable groups:2022 | loss and damage:1947 | extreme weather events:2022 | slow onset events:2021 | early warning systems:2022 | irreversible and permanent loss and damage:2021 | mortality:1987</x:v>
      </x:c>
      <x:c r="J13" s="31" t="str">
        <x:v>Compare member trajectories and anchor values individually; no family total is computed.</x:v>
      </x:c>
      <x:c r="K13" s="46" t="str">
        <x:v>Semantic family is not a synonym set. Overlapping and differently scoped strings are never summed.</x:v>
      </x:c>
    </x:row>
    <x:row r="14" ht="40" customHeight="1">
      <x:c r="A14" s="18" t="str">
        <x:v>FT-F02</x:v>
      </x:c>
      <x:c r="B14" s="19" t="str">
        <x:v>heat</x:v>
      </x:c>
      <x:c r="C14" s="60" t="str">
        <x:v>sun's heat | radiation of the heat | excessive heat | heat of the men | Hottest Day for Ten Years | Heat Wave Over Queensland | regional heat waves | heat wave | heat wave/drought occurrences | heat | extreme heat | heat of the irons</x:v>
      </x:c>
      <x:c r="D14" s="28" t="n">
        <x:v>13</x:v>
      </x:c>
      <x:c r="E14" s="60" t="n">
        <x:v>9</x:v>
      </x:c>
      <x:c r="F14" s="60" t="n">
        <x:v>0</x:v>
      </x:c>
      <x:c r="G14" s="19" t="str">
        <x:v>excessive heat (1842)</x:v>
      </x:c>
      <x:c r="H14" s="34" t="str">
        <x:v>heat | excessive heat | extreme heat</x:v>
      </x:c>
      <x:c r="I14" s="19" t="str">
        <x:v>radiation of the heat:1850 | excessive heat:1842 | heat of the men:1864 | regional heat waves:1990 | heat wave:2020 | heat:1962 | extreme heat:1846 | heat of the irons:1843 | heat wave:2020</x:v>
      </x:c>
      <x:c r="J14" s="31" t="str">
        <x:v>Compare member trajectories and anchor values individually; no family total is computed.</x:v>
      </x:c>
      <x:c r="K14" s="46" t="str">
        <x:v>Semantic family is not a synonym set. Overlapping and differently scoped strings are never summed.</x:v>
      </x:c>
    </x:row>
    <x:row r="15" ht="40" customHeight="1">
      <x:c r="A15" s="18" t="str">
        <x:v>FT-F12</x:v>
      </x:c>
      <x:c r="B15" s="19" t="str">
        <x:v>risk</x:v>
      </x:c>
      <x:c r="C15" s="60" t="str">
        <x:v>risks and impacts | risk of loss and damage | risk | comprehensive risk assessment and management</x:v>
      </x:c>
      <x:c r="D15" s="28" t="n">
        <x:v>4</x:v>
      </x:c>
      <x:c r="E15" s="60" t="n">
        <x:v>4</x:v>
      </x:c>
      <x:c r="F15" s="60" t="n">
        <x:v>0</x:v>
      </x:c>
      <x:c r="G15" s="19" t="str">
        <x:v>risk (1842)</x:v>
      </x:c>
      <x:c r="H15" s="34" t="str">
        <x:v>risk | risks and impacts | risk of loss and damage</x:v>
      </x:c>
      <x:c r="I15" s="19" t="str">
        <x:v>risks and impacts:2022 | risk of loss and damage:1956 | risk:2018 | comprehensive risk assessment and management:2018</x:v>
      </x:c>
      <x:c r="J15" s="31" t="str">
        <x:v>Compare member trajectories and anchor values individually; no family total is computed.</x:v>
      </x:c>
      <x:c r="K15" s="46" t="str">
        <x:v>Semantic family is not a synonym set. Overlapping and differently scoped strings are never summed.</x:v>
      </x:c>
    </x:row>
    <x:row r="16" ht="40" customHeight="1">
      <x:c r="A16" s="18" t="str">
        <x:v>FT-F01</x:v>
      </x:c>
      <x:c r="B16" s="19" t="str">
        <x:v>temperature_threshold</x:v>
      </x:c>
      <x:c r="C16" s="60" t="str">
        <x:v>temperature | mean temperature | temperature of the air in shade | maximum temperature | minimum temperature | mean temperature of sea at surface | dew point | standard thermometer | attached thermometer | dry bulb thermometer | wet bulb thermometer | changes of temperature | increase in mean temperature | temperature observations | world temperatures | average rate | small increases in mean temperature | global temperature | warm air | global average air and ocean temperatures | global surface temperature | global average temperature | well below 2°C above pre-industrial levels | 1.5°C above pre-industrial levels</x:v>
      </x:c>
      <x:c r="D16" s="28" t="n">
        <x:v>25</x:v>
      </x:c>
      <x:c r="E16" s="60" t="n">
        <x:v>21</x:v>
      </x:c>
      <x:c r="F16" s="60" t="n">
        <x:v>0</x:v>
      </x:c>
      <x:c r="G16" s="19" t="str">
        <x:v>attached thermometer (1842)</x:v>
      </x:c>
      <x:c r="H16" s="34" t="str">
        <x:v>temperature | average rate | mean temperature</x:v>
      </x:c>
      <x:c r="I16" s="19" t="str">
        <x:v>temperature:1962 | mean temperature:1858 | temperature of the air in shade:1858 | maximum temperature:1958 | minimum temperature:1985 | dew point:1844 | standard thermometer:1875 | attached thermometer:1844 | dry bulb thermometer:1869 | wet bulb thermometer:1869 | changes of temperature:1884 | increase in mean temperature:1868 | mean temperature:1858 | temperature observations:1908 | world temperatures:2007 | average rate:1885 | global temperature:2022 | warm air:1916 | global average air and ocean temperatures:2010 | global surface temperature:2022 | global average temperature:2022</x:v>
      </x:c>
      <x:c r="J16" s="31" t="str">
        <x:v>Compare member trajectories and anchor values individually; no family total is computed.</x:v>
      </x:c>
      <x:c r="K16" s="46" t="str">
        <x:v>Semantic family is not a synonym set. Overlapping and differently scoped strings are never summed.</x:v>
      </x:c>
    </x:row>
    <x:row r="17" ht="40" customHeight="1">
      <x:c r="A17" s="18" t="str">
        <x:v>FT-F03</x:v>
      </x:c>
      <x:c r="B17" s="19" t="str">
        <x:v>warming</x:v>
      </x:c>
      <x:c r="C17" s="60" t="str">
        <x:v>actually increased | global warming | earth is warmer | climate warming | warming of the climate system | temperature increase</x:v>
      </x:c>
      <x:c r="D17" s="28" t="n">
        <x:v>8</x:v>
      </x:c>
      <x:c r="E17" s="60" t="n">
        <x:v>8</x:v>
      </x:c>
      <x:c r="F17" s="60" t="n">
        <x:v>0</x:v>
      </x:c>
      <x:c r="G17" s="19" t="str">
        <x:v>actually increased (1842)</x:v>
      </x:c>
      <x:c r="H17" s="34" t="str">
        <x:v>global warming | global warming | global warming</x:v>
      </x:c>
      <x:c r="I17" s="19" t="str">
        <x:v>actually increased:1933 | global warming:2009 | earth is warmer:1857 | climate warming:2022 | warming of the climate system:2008 | temperature increase:2012 | global warming:2009 | global warming:2009</x:v>
      </x:c>
      <x:c r="J17" s="31" t="str">
        <x:v>Compare member trajectories and anchor values individually; no family total is computed.</x:v>
      </x:c>
      <x:c r="K17" s="46" t="str">
        <x:v>Semantic family is not a synonym set. Overlapping and differently scoped strings are never summed.</x:v>
      </x:c>
    </x:row>
    <x:row r="18" ht="40" customHeight="1">
      <x:c r="A18" s="21" t="str">
        <x:v>FT-F07</x:v>
      </x:c>
      <x:c r="B18" s="22" t="str">
        <x:v>worry</x:v>
      </x:c>
      <x:c r="C18" s="61" t="str">
        <x:v>very worried | somewhat worried | worry | worried | Be Worried. Be Very Worried.</x:v>
      </x:c>
      <x:c r="D18" s="29" t="n">
        <x:v>5</x:v>
      </x:c>
      <x:c r="E18" s="61" t="n">
        <x:v>4</x:v>
      </x:c>
      <x:c r="F18" s="61" t="n">
        <x:v>0</x:v>
      </x:c>
      <x:c r="G18" s="22" t="str">
        <x:v>somewhat worried (1842)</x:v>
      </x:c>
      <x:c r="H18" s="35" t="str">
        <x:v>worry | worried | very worried</x:v>
      </x:c>
      <x:c r="I18" s="22" t="str">
        <x:v>very worried:2020 | somewhat worried:2020 | worry:2020 | worried:2020</x:v>
      </x:c>
      <x:c r="J18" s="32" t="str">
        <x:v>Compare member trajectories and anchor values individually; no family total is computed.</x:v>
      </x:c>
      <x:c r="K18" s="47" t="str">
        <x:v>Semantic family is not a synonym set. Overlapping and differently scoped strings are never summed.</x:v>
      </x:c>
    </x:row>
  </x:sheetData>
  <x:mergeCells>
    <x:mergeCell ref="A1:K1"/>
    <x:mergeCell ref="A2:K2"/>
  </x:mergeCells>
  <x:pageMargins left="0.7" right="0.7" top="0.75" bottom="0.75" header="0.3" footer="0.3"/>
  <x:tableParts count="1">
    <x:tablePart xmlns:r="http://schemas.openxmlformats.org/officeDocument/2006/relationships" r:id="R70b2817d056049b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23" hidden="0" customWidth="1"/>
    <x:col min="5" max="5" width="17" hidden="0" customWidth="1"/>
    <x:col min="6" max="6" width="42" hidden="0" customWidth="1"/>
  </x:cols>
  <x:sheetData>
    <x:row r="1" ht="38" customHeight="1">
      <x:c r="A1" s="3" t="str">
        <x:v>Six Anchors x Five Voices</x:v>
      </x:c>
      <x:c r="B1" s="3" t="str">
        <x:v>Six Anchors x Five Voices</x:v>
      </x:c>
      <x:c r="C1" s="3" t="str">
        <x:v>Six Anchors x Five Voices</x:v>
      </x:c>
      <x:c r="D1" s="3" t="str">
        <x:v>Six Anchors x Five Voices</x:v>
      </x:c>
      <x:c r="E1" s="3" t="str">
        <x:v>Six Anchors x Five Voices</x:v>
      </x:c>
      <x:c r="F1" s="3" t="str">
        <x:v>Six Anchors x Five Voices</x:v>
      </x:c>
      <x:c r="G1" s="3" t="str">
        <x:v>Six Anchors x Five Voices</x:v>
      </x:c>
      <x:c r="H1" s="3" t="str">
        <x:v>Six Anchors x Five Voices</x:v>
      </x:c>
    </x:row>
    <x:row r="2" ht="31" customHeight="1">
      <x:c r="A2" s="7" t="str">
        <x:v>Evidence-backed coverage only. Historically unsupported cells remain visible rather than being filled for symmetry.</x:v>
      </x:c>
      <x:c r="B2" s="7" t="str">
        <x:v>Evidence-backed coverage only. Historically unsupported cells remain visible rather than being filled for symmetry.</x:v>
      </x:c>
      <x:c r="C2" s="7" t="str">
        <x:v>Evidence-backed coverage only. Historically unsupported cells remain visible rather than being filled for symmetry.</x:v>
      </x:c>
      <x:c r="D2" s="7" t="str">
        <x:v>Evidence-backed coverage only. Historically unsupported cells remain visible rather than being filled for symmetry.</x:v>
      </x:c>
      <x:c r="E2" s="7" t="str">
        <x:v>Evidence-backed coverage only. Historically unsupported cells remain visible rather than being filled for symmetry.</x:v>
      </x:c>
      <x:c r="F2" s="7" t="str">
        <x:v>Evidence-backed coverage only. Historically unsupported cells remain visible rather than being filled for symmetry.</x:v>
      </x:c>
      <x:c r="G2" s="7" t="str">
        <x:v>Evidence-backed coverage only. Historically unsupported cells remain visible rather than being filled for symmetry.</x:v>
      </x:c>
      <x:c r="H2" s="7" t="str">
        <x:v>Evidence-backed coverage only. Historically unsupported cells remain visible rather than being filled for symmetry.</x:v>
      </x:c>
    </x:row>
    <x:row r="4" ht="42" customHeight="1">
      <x:c r="A4" s="14" t="str">
        <x:v>anchor_id</x:v>
      </x:c>
      <x:c r="B4" s="14" t="str">
        <x:v>anchor_label</x:v>
      </x:c>
      <x:c r="C4" s="14" t="str">
        <x:v>voice_code</x:v>
      </x:c>
      <x:c r="D4" s="14" t="str">
        <x:v>coverage_status</x:v>
      </x:c>
      <x:c r="E4" s="14" t="str">
        <x:v>representative_high_value_lexical_forms</x:v>
      </x:c>
      <x:c r="F4" s="14" t="str">
        <x:v>source_evidence_note</x:v>
      </x:c>
    </x:row>
    <x:row r="5" ht="44" customHeight="1">
      <x:c r="A5" s="15" t="str">
        <x:v>FT-A1842</x:v>
      </x:c>
      <x:c r="B5" s="16" t="str">
        <x:v>1842</x:v>
      </x:c>
      <x:c r="C5" s="16" t="str">
        <x:v>V1</x:v>
      </x:c>
      <x:c r="D5" s="30" t="str">
        <x:v>STRONG</x:v>
      </x:c>
      <x:c r="E5" s="33" t="str">
        <x:v>wet bulb temperature; mean temperature; meteorological observations</x:v>
      </x:c>
      <x:c r="F5" s="45" t="str">
        <x:v>Royal Society Colaba and Ross observation records; measurement-centred.</x:v>
      </x:c>
    </x:row>
    <x:row r="6" ht="44" customHeight="1">
      <x:c r="A6" s="18" t="str">
        <x:v>FT-A1842</x:v>
      </x:c>
      <x:c r="B6" s="19" t="str">
        <x:v>1842</x:v>
      </x:c>
      <x:c r="C6" s="19" t="str">
        <x:v>V2</x:v>
      </x:c>
      <x:c r="D6" s="31" t="str">
        <x:v>THIN_CONTEXTUAL</x:v>
      </x:c>
      <x:c r="E6" s="34" t="str">
        <x:v>changes of temperature; sickness and mortality</x:v>
      </x:c>
      <x:c r="F6" s="46" t="str">
        <x:v>Institutional inquiry context is present, but substantive worker testimony remains V5.</x:v>
      </x:c>
    </x:row>
    <x:row r="7" ht="44" customHeight="1">
      <x:c r="A7" s="18" t="str">
        <x:v>FT-A1842</x:v>
      </x:c>
      <x:c r="B7" s="19" t="str">
        <x:v>1842</x:v>
      </x:c>
      <x:c r="C7" s="19" t="str">
        <x:v>V3</x:v>
      </x:c>
      <x:c r="D7" s="31" t="str">
        <x:v>THIN_CONTEXTUAL</x:v>
      </x:c>
      <x:c r="E7" s="34" t="str">
        <x:v>alarm to the public</x:v>
      </x:c>
      <x:c r="F7" s="46" t="str">
        <x:v>Possible/negated public-health formulation; not proof that a public reported alarm.</x:v>
      </x:c>
    </x:row>
    <x:row r="8" ht="44" customHeight="1">
      <x:c r="A8" s="18" t="str">
        <x:v>FT-A1842</x:v>
      </x:c>
      <x:c r="B8" s="19" t="str">
        <x:v>1842</x:v>
      </x:c>
      <x:c r="C8" s="19" t="str">
        <x:v>V4</x:v>
      </x:c>
      <x:c r="D8" s="31" t="str">
        <x:v>NOT_LOCATED</x:v>
      </x:c>
      <x:c r="E8" s="34" t="str"/>
      <x:c r="F8" s="46" t="str">
        <x:v>No defensible organised-civic stratum located; cell intentionally unfilled.</x:v>
      </x:c>
    </x:row>
    <x:row r="9" ht="44" customHeight="1">
      <x:c r="A9" s="18" t="str">
        <x:v>FT-A1842</x:v>
      </x:c>
      <x:c r="B9" s="19" t="str">
        <x:v>1842</x:v>
      </x:c>
      <x:c r="C9" s="19" t="str">
        <x:v>V5</x:v>
      </x:c>
      <x:c r="D9" s="31" t="str">
        <x:v>ATTESTED</x:v>
      </x:c>
      <x:c r="E9" s="34" t="str">
        <x:v>heat of the irons; most suffocating; faint away; depressing effect</x:v>
      </x:c>
      <x:c r="F9" s="46" t="str">
        <x:v>Worker testimony and correspondence show embodied heat experience, not climate fear.</x:v>
      </x:c>
    </x:row>
    <x:row r="10" ht="44" customHeight="1">
      <x:c r="A10" s="18" t="str">
        <x:v>FT-A1938</x:v>
      </x:c>
      <x:c r="B10" s="19" t="str">
        <x:v>1938</x:v>
      </x:c>
      <x:c r="C10" s="19" t="str">
        <x:v>V1</x:v>
      </x:c>
      <x:c r="D10" s="31" t="str">
        <x:v>STRONG</x:v>
      </x:c>
      <x:c r="E10" s="34" t="str">
        <x:v>artificial production of carbon dioxide; mean temperature; radiation absorption</x:v>
      </x:c>
      <x:c r="F10" s="46" t="str">
        <x:v>Callendar causal-science configuration.</x:v>
      </x:c>
    </x:row>
    <x:row r="11" ht="44" customHeight="1">
      <x:c r="A11" s="18" t="str">
        <x:v>FT-A1938</x:v>
      </x:c>
      <x:c r="B11" s="19" t="str">
        <x:v>1938</x:v>
      </x:c>
      <x:c r="C11" s="19" t="str">
        <x:v>V2</x:v>
      </x:c>
      <x:c r="D11" s="31" t="str">
        <x:v>THIN_CONTEXTUAL</x:v>
      </x:c>
      <x:c r="E11" s="34" t="str">
        <x:v>meteorological stations</x:v>
      </x:c>
      <x:c r="F11" s="46" t="str">
        <x:v>Official/institutional material is secondary to the scientific anchor.</x:v>
      </x:c>
    </x:row>
    <x:row r="12" ht="44" customHeight="1">
      <x:c r="A12" s="18" t="str">
        <x:v>FT-A1938</x:v>
      </x:c>
      <x:c r="B12" s="19" t="str">
        <x:v>1938</x:v>
      </x:c>
      <x:c r="C12" s="19" t="str">
        <x:v>V3</x:v>
      </x:c>
      <x:c r="D12" s="31" t="str">
        <x:v>ATTESTED</x:v>
      </x:c>
      <x:c r="E12" s="34" t="str">
        <x:v>heat wave; scorching westerly wind; pitiless sun; unbearable heat</x:v>
      </x:c>
      <x:c r="F12" s="46" t="str">
        <x:v>Heat-event journalism, partly from secondary reproduction; not reception of Callendar.</x:v>
      </x:c>
    </x:row>
    <x:row r="13" ht="44" customHeight="1">
      <x:c r="A13" s="18" t="str">
        <x:v>FT-A1938</x:v>
      </x:c>
      <x:c r="B13" s="19" t="str">
        <x:v>1938</x:v>
      </x:c>
      <x:c r="C13" s="19" t="str">
        <x:v>V4</x:v>
      </x:c>
      <x:c r="D13" s="31" t="str">
        <x:v>NOT_LOCATED</x:v>
      </x:c>
      <x:c r="E13" s="34" t="str"/>
      <x:c r="F13" s="46" t="str">
        <x:v>No defensible organised-civic stratum located; cell intentionally unfilled.</x:v>
      </x:c>
    </x:row>
    <x:row r="14" ht="44" customHeight="1">
      <x:c r="A14" s="18" t="str">
        <x:v>FT-A1938</x:v>
      </x:c>
      <x:c r="B14" s="19" t="str">
        <x:v>1938</x:v>
      </x:c>
      <x:c r="C14" s="19" t="str">
        <x:v>V5</x:v>
      </x:c>
      <x:c r="D14" s="31" t="str">
        <x:v>NOT_LOCATED</x:v>
      </x:c>
      <x:c r="E14" s="34" t="str"/>
      <x:c r="F14" s="46" t="str">
        <x:v>No strong exact-year lay reception of Callendar located.</x:v>
      </x:c>
    </x:row>
    <x:row r="15" ht="44" customHeight="1">
      <x:c r="A15" s="18" t="str">
        <x:v>FT-A1988</x:v>
      </x:c>
      <x:c r="B15" s="19" t="str">
        <x:v>1988</x:v>
      </x:c>
      <x:c r="C15" s="19" t="str">
        <x:v>V1</x:v>
      </x:c>
      <x:c r="D15" s="31" t="str">
        <x:v>STRONG</x:v>
      </x:c>
      <x:c r="E15" s="34" t="str">
        <x:v>greenhouse effect; global warming; global temperature; regional heat waves</x:v>
      </x:c>
      <x:c r="F15" s="46" t="str">
        <x:v>Hansen scientific work/testimony.</x:v>
      </x:c>
    </x:row>
    <x:row r="16" ht="44" customHeight="1">
      <x:c r="A16" s="18" t="str">
        <x:v>FT-A1988</x:v>
      </x:c>
      <x:c r="B16" s="19" t="str">
        <x:v>1988</x:v>
      </x:c>
      <x:c r="C16" s="19" t="str">
        <x:v>V2</x:v>
      </x:c>
      <x:c r="D16" s="31" t="str">
        <x:v>STRONG</x:v>
      </x:c>
      <x:c r="E16" s="34" t="str">
        <x:v>global security; major threat; impending crisis; harmful consequences</x:v>
      </x:c>
      <x:c r="F16" s="46" t="str">
        <x:v>Toronto institutional threat/security framing.</x:v>
      </x:c>
    </x:row>
    <x:row r="17" ht="44" customHeight="1">
      <x:c r="A17" s="18" t="str">
        <x:v>FT-A1988</x:v>
      </x:c>
      <x:c r="B17" s="19" t="str">
        <x:v>1988</x:v>
      </x:c>
      <x:c r="C17" s="19" t="str">
        <x:v>V3</x:v>
      </x:c>
      <x:c r="D17" s="31" t="str">
        <x:v>ATTESTED</x:v>
      </x:c>
      <x:c r="E17" s="34" t="str">
        <x:v>Global Warming Has Begun; too much carbon dioxide is dangerous</x:v>
      </x:c>
      <x:c r="F17" s="46" t="str">
        <x:v>Public-facing journalism; does not substitute for V5 evidence.</x:v>
      </x:c>
    </x:row>
    <x:row r="18" ht="44" customHeight="1">
      <x:c r="A18" s="18" t="str">
        <x:v>FT-A1988</x:v>
      </x:c>
      <x:c r="B18" s="19" t="str">
        <x:v>1988</x:v>
      </x:c>
      <x:c r="C18" s="19" t="str">
        <x:v>V4</x:v>
      </x:c>
      <x:c r="D18" s="31" t="str">
        <x:v>THIN_NOT_ALLOCATED</x:v>
      </x:c>
      <x:c r="E18" s="34" t="str"/>
      <x:c r="F18" s="46" t="str">
        <x:v>No strong exact-year V4 passage allocation in the current pilot plan.</x:v>
      </x:c>
    </x:row>
    <x:row r="19" ht="44" customHeight="1">
      <x:c r="A19" s="18" t="str">
        <x:v>FT-A1988</x:v>
      </x:c>
      <x:c r="B19" s="19" t="str">
        <x:v>1988</x:v>
      </x:c>
      <x:c r="C19" s="19" t="str">
        <x:v>V5</x:v>
      </x:c>
      <x:c r="D19" s="31" t="str">
        <x:v>NOT_LOCATED</x:v>
      </x:c>
      <x:c r="E19" s="34" t="str"/>
      <x:c r="F19" s="46" t="str">
        <x:v>Exact-year direct-public fear/worry/anxiety evidence remains weak/not located.</x:v>
      </x:c>
    </x:row>
    <x:row r="20" ht="44" customHeight="1">
      <x:c r="A20" s="18" t="str">
        <x:v>FT-A0607</x:v>
      </x:c>
      <x:c r="B20" s="19" t="str">
        <x:v>2006–2007</x:v>
      </x:c>
      <x:c r="C20" s="19" t="str">
        <x:v>V1</x:v>
      </x:c>
      <x:c r="D20" s="31" t="str">
        <x:v>STRONG</x:v>
      </x:c>
      <x:c r="E20" s="34" t="str">
        <x:v>warming of the climate system; unequivocal; temperature increase</x:v>
      </x:c>
      <x:c r="F20" s="46" t="str">
        <x:v>IPCC scientific assessment language.</x:v>
      </x:c>
    </x:row>
    <x:row r="21" ht="44" customHeight="1">
      <x:c r="A21" s="18" t="str">
        <x:v>FT-A0607</x:v>
      </x:c>
      <x:c r="B21" s="19" t="str">
        <x:v>2006–2007</x:v>
      </x:c>
      <x:c r="C21" s="19" t="str">
        <x:v>V2</x:v>
      </x:c>
      <x:c r="D21" s="31" t="str">
        <x:v>STRONG</x:v>
      </x:c>
      <x:c r="E21" s="34" t="str">
        <x:v>serious global threat; costs and risks; damage</x:v>
      </x:c>
      <x:c r="F21" s="46" t="str">
        <x:v>Stern and institutional risk/governance framing.</x:v>
      </x:c>
    </x:row>
    <x:row r="22" ht="44" customHeight="1">
      <x:c r="A22" s="18" t="str">
        <x:v>FT-A0607</x:v>
      </x:c>
      <x:c r="B22" s="19" t="str">
        <x:v>2006–2007</x:v>
      </x:c>
      <x:c r="C22" s="19" t="str">
        <x:v>V3</x:v>
      </x:c>
      <x:c r="D22" s="31" t="str">
        <x:v>ATTESTED</x:v>
      </x:c>
      <x:c r="E22" s="34" t="str">
        <x:v>Be Worried. Be Very Worried.; global warming</x:v>
      </x:c>
      <x:c r="F22" s="46" t="str">
        <x:v>Media-prescribed affect; not evidence readers felt worried.</x:v>
      </x:c>
    </x:row>
    <x:row r="23" ht="44" customHeight="1">
      <x:c r="A23" s="18" t="str">
        <x:v>FT-A0607</x:v>
      </x:c>
      <x:c r="B23" s="19" t="str">
        <x:v>2006–2007</x:v>
      </x:c>
      <x:c r="C23" s="19" t="str">
        <x:v>V4</x:v>
      </x:c>
      <x:c r="D23" s="31" t="str">
        <x:v>ATTESTED</x:v>
      </x:c>
      <x:c r="E23" s="34" t="str">
        <x:v>dangerous climate change; serious negative effects</x:v>
      </x:c>
      <x:c r="F23" s="46" t="str">
        <x:v>Organised civic/advocacy framing.</x:v>
      </x:c>
    </x:row>
    <x:row r="24" ht="44" customHeight="1">
      <x:c r="A24" s="18" t="str">
        <x:v>FT-A0607</x:v>
      </x:c>
      <x:c r="B24" s="19" t="str">
        <x:v>2006–2007</x:v>
      </x:c>
      <x:c r="C24" s="19" t="str">
        <x:v>V5</x:v>
      </x:c>
      <x:c r="D24" s="31" t="str">
        <x:v>ATTESTED_ELICITED</x:v>
      </x:c>
      <x:c r="E24" s="34" t="str">
        <x:v>personally worry; worry a great deal; urgent threat</x:v>
      </x:c>
      <x:c r="F24" s="46" t="str">
        <x:v>Survey/instrument evidence; participant endorsement is E3.</x:v>
      </x:c>
    </x:row>
    <x:row r="25" ht="44" customHeight="1">
      <x:c r="A25" s="18" t="str">
        <x:v>FT-A2015</x:v>
      </x:c>
      <x:c r="B25" s="19" t="str">
        <x:v>2015</x:v>
      </x:c>
      <x:c r="C25" s="19" t="str">
        <x:v>V1</x:v>
      </x:c>
      <x:c r="D25" s="31" t="str">
        <x:v>THIN_CONTEXTUAL</x:v>
      </x:c>
      <x:c r="E25" s="34" t="str">
        <x:v>global average temperature; climate change</x:v>
      </x:c>
      <x:c r="F25" s="46" t="str">
        <x:v>Scientific context supports governance thresholds but is not the dominant documentary voice.</x:v>
      </x:c>
    </x:row>
    <x:row r="26" ht="44" customHeight="1">
      <x:c r="A26" s="18" t="str">
        <x:v>FT-A2015</x:v>
      </x:c>
      <x:c r="B26" s="19" t="str">
        <x:v>2015</x:v>
      </x:c>
      <x:c r="C26" s="19" t="str">
        <x:v>V2</x:v>
      </x:c>
      <x:c r="D26" s="31" t="str">
        <x:v>STRONG</x:v>
      </x:c>
      <x:c r="E26" s="34" t="str">
        <x:v>well below 2°C; 1.5°C; common concern of humankind; loss and damage</x:v>
      </x:c>
      <x:c r="F26" s="46" t="str">
        <x:v>Paris legal/governance language; common concern is not personal affect.</x:v>
      </x:c>
    </x:row>
    <x:row r="27" ht="44" customHeight="1">
      <x:c r="A27" s="18" t="str">
        <x:v>FT-A2015</x:v>
      </x:c>
      <x:c r="B27" s="19" t="str">
        <x:v>2015</x:v>
      </x:c>
      <x:c r="C27" s="19" t="str">
        <x:v>V3</x:v>
      </x:c>
      <x:c r="D27" s="31" t="str">
        <x:v>ATTESTED</x:v>
      </x:c>
      <x:c r="E27" s="34" t="str">
        <x:v>extreme heat; climate change</x:v>
      </x:c>
      <x:c r="F27" s="46" t="str">
        <x:v>Public-facing circulation exists but is not the anchor's strongest evidence stratum.</x:v>
      </x:c>
    </x:row>
    <x:row r="28" ht="44" customHeight="1">
      <x:c r="A28" s="18" t="str">
        <x:v>FT-A2015</x:v>
      </x:c>
      <x:c r="B28" s="19" t="str">
        <x:v>2015</x:v>
      </x:c>
      <x:c r="C28" s="19" t="str">
        <x:v>V4</x:v>
      </x:c>
      <x:c r="D28" s="31" t="str">
        <x:v>ATTESTED</x:v>
      </x:c>
      <x:c r="E28" s="34" t="str">
        <x:v>climate justice; red line; We are nature defending itself</x:v>
      </x:c>
      <x:c r="F28" s="46" t="str">
        <x:v>COP21 mobilisation and protest.</x:v>
      </x:c>
    </x:row>
    <x:row r="29" ht="44" customHeight="1">
      <x:c r="A29" s="18" t="str">
        <x:v>FT-A2015</x:v>
      </x:c>
      <x:c r="B29" s="19" t="str">
        <x:v>2015</x:v>
      </x:c>
      <x:c r="C29" s="19" t="str">
        <x:v>V5</x:v>
      </x:c>
      <x:c r="D29" s="31" t="str">
        <x:v>ATTESTED_ELICITED</x:v>
      </x:c>
      <x:c r="E29" s="34" t="str">
        <x:v>very worried; serious problem; harm them personally</x:v>
      </x:c>
      <x:c r="F29" s="46" t="str">
        <x:v>Survey-elicited public appraisal.</x:v>
      </x:c>
    </x:row>
    <x:row r="30" ht="44" customHeight="1">
      <x:c r="A30" s="18" t="str">
        <x:v>FT-A2022</x:v>
      </x:c>
      <x:c r="B30" s="19" t="str">
        <x:v>2022</x:v>
      </x:c>
      <x:c r="C30" s="19" t="str">
        <x:v>V1</x:v>
      </x:c>
      <x:c r="D30" s="31" t="str">
        <x:v>STRONG</x:v>
      </x:c>
      <x:c r="E30" s="34" t="str">
        <x:v>climate anxiety; eco-anxiety; anxiety and stress; heat-related mortality</x:v>
      </x:c>
      <x:c r="F30" s="46" t="str">
        <x:v>Research constructs and assessment categories; not automatically participant self-labelling.</x:v>
      </x:c>
    </x:row>
    <x:row r="31" ht="44" customHeight="1">
      <x:c r="A31" s="18" t="str">
        <x:v>FT-A2022</x:v>
      </x:c>
      <x:c r="B31" s="19" t="str">
        <x:v>2022</x:v>
      </x:c>
      <x:c r="C31" s="19" t="str">
        <x:v>V2</x:v>
      </x:c>
      <x:c r="D31" s="31" t="str">
        <x:v>ATTESTED</x:v>
      </x:c>
      <x:c r="E31" s="34" t="str">
        <x:v>climate-related risk; heatwaves; mental-health challenges</x:v>
      </x:c>
      <x:c r="F31" s="46" t="str">
        <x:v>Institutional/assessment framing remains distinct from individual affect.</x:v>
      </x:c>
    </x:row>
    <x:row r="32" ht="44" customHeight="1">
      <x:c r="A32" s="18" t="str">
        <x:v>FT-A2022</x:v>
      </x:c>
      <x:c r="B32" s="19" t="str">
        <x:v>2022</x:v>
      </x:c>
      <x:c r="C32" s="19" t="str">
        <x:v>V3</x:v>
      </x:c>
      <x:c r="D32" s="31" t="str">
        <x:v>ATTESTED</x:v>
      </x:c>
      <x:c r="E32" s="34" t="str">
        <x:v>extreme heat; climate emergency</x:v>
      </x:c>
      <x:c r="F32" s="46" t="str">
        <x:v>Public-facing media framing requires source-specific verification.</x:v>
      </x:c>
    </x:row>
    <x:row r="33" ht="44" customHeight="1">
      <x:c r="A33" s="18" t="str">
        <x:v>FT-A2022</x:v>
      </x:c>
      <x:c r="B33" s="19" t="str">
        <x:v>2022</x:v>
      </x:c>
      <x:c r="C33" s="19" t="str">
        <x:v>V4</x:v>
      </x:c>
      <x:c r="D33" s="31" t="str">
        <x:v>ATTESTED</x:v>
      </x:c>
      <x:c r="E33" s="34" t="str">
        <x:v>climate crisis; climate emergency</x:v>
      </x:c>
      <x:c r="F33" s="46" t="str">
        <x:v>Advocacy/threat framing; crisis is not itself affect.</x:v>
      </x:c>
    </x:row>
    <x:row r="34" ht="44" customHeight="1">
      <x:c r="A34" s="21" t="str">
        <x:v>FT-A2022</x:v>
      </x:c>
      <x:c r="B34" s="22" t="str">
        <x:v>2022</x:v>
      </x:c>
      <x:c r="C34" s="22" t="str">
        <x:v>V5</x:v>
      </x:c>
      <x:c r="D34" s="32" t="str">
        <x:v>STRONG_ELICITED</x:v>
      </x:c>
      <x:c r="E34" s="35" t="str">
        <x:v>very worried; afraid; anxious; hopeless</x:v>
      </x:c>
      <x:c r="F34" s="47" t="str">
        <x:v>Dense survey-elicited endorsement; instrument wording and participant-generated wording remain separate.</x:v>
      </x:c>
    </x:row>
  </x:sheetData>
  <x:mergeCells>
    <x:mergeCell ref="A1:H1"/>
    <x:mergeCell ref="A2:H2"/>
  </x:mergeCells>
  <x:conditionalFormatting sqref="D5:D34">
    <x:cfRule type="containsText" dxfId="209" priority="1" operator="containsText" text="FULLY"/>
    <x:cfRule type="containsText" dxfId="210" priority="2" operator="containsText" text="SUCCESS"/>
    <x:cfRule type="containsText" dxfId="211" priority="3" operator="containsText" text="DIRECT_HEADWORD"/>
    <x:cfRule type="containsText" dxfId="212" priority="4" operator="containsText" text="TECHNICAL_GLOSSARY"/>
    <x:cfRule type="containsText" dxfId="213" priority="5" operator="containsText" text="ZERO"/>
    <x:cfRule type="containsText" dxfId="214" priority="6" operator="containsText" text="UNRESOLVED"/>
    <x:cfRule type="containsText" dxfId="215" priority="7" operator="containsText" text="PENDING"/>
    <x:cfRule type="containsText" dxfId="216" priority="8" operator="containsText" text="NOT_EXPOSED"/>
    <x:cfRule type="containsText" dxfId="217" priority="9" operator="containsText" text="NOT_ANNOTATED"/>
    <x:cfRule type="containsText" dxfId="218" priority="10" operator="containsText" text="NOT_LOCATED"/>
    <x:cfRule type="containsText" dxfId="219" priority="11" operator="containsText" text="NOT_APPLICABLE"/>
  </x:conditionalFormatting>
  <x:pageMargins left="0.7" right="0.7" top="0.75" bottom="0.75" header="0.3" footer="0.3"/>
  <x:tableParts count="1">
    <x:tablePart xmlns:r="http://schemas.openxmlformats.org/officeDocument/2006/relationships" r:id="R50149c6c736d48ee"/>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6" hidden="0" customWidth="1"/>
    <x:col min="4" max="4" width="23" hidden="0" customWidth="1"/>
    <x:col min="5" max="5" width="23" hidden="0" customWidth="1"/>
    <x:col min="6" max="6" width="16" hidden="0" customWidth="1"/>
    <x:col min="7" max="7" width="42" hidden="0" customWidth="1"/>
    <x:col min="8" max="8" width="16" hidden="0" customWidth="1"/>
    <x:col min="9" max="9" width="16" hidden="0" customWidth="1"/>
    <x:col min="10" max="10" width="16" hidden="0" customWidth="1"/>
    <x:col min="11" max="11" width="42" hidden="0" customWidth="1"/>
  </x:cols>
  <x:sheetData>
    <x:row r="1" ht="38" customHeight="1">
      <x:c r="A1" s="3" t="str">
        <x:v>Ngram Compatibility Audit</x:v>
      </x:c>
      <x:c r="B1" s="3" t="str">
        <x:v>Ngram Compatibility Audit</x:v>
      </x:c>
      <x:c r="C1" s="3" t="str">
        <x:v>Ngram Compatibility Audit</x:v>
      </x:c>
      <x:c r="D1" s="3" t="str">
        <x:v>Ngram Compatibility Audit</x:v>
      </x:c>
      <x:c r="E1" s="3" t="str">
        <x:v>Ngram Compatibility Audit</x:v>
      </x:c>
      <x:c r="F1" s="3" t="str">
        <x:v>Ngram Compatibility Audit</x:v>
      </x:c>
      <x:c r="G1" s="3" t="str">
        <x:v>Ngram Compatibility Audit</x:v>
      </x:c>
      <x:c r="H1" s="3" t="str">
        <x:v>Ngram Compatibility Audit</x:v>
      </x:c>
      <x:c r="I1" s="3" t="str">
        <x:v>Ngram Compatibility Audit</x:v>
      </x:c>
      <x:c r="J1" s="3" t="str">
        <x:v>Ngram Compatibility Audit</x:v>
      </x:c>
      <x:c r="K1" s="3" t="str">
        <x:v>Ngram Compatibility Audit</x:v>
      </x:c>
    </x:row>
    <x:row r="2" ht="31" customHeight="1">
      <x:c r="A2" s="7" t="str">
        <x:v>Compatibility, reason and provenance for every provisional query rule, including corpus-only and symbol-dependent exclusions.</x:v>
      </x:c>
      <x:c r="B2" s="7" t="str">
        <x:v>Compatibility, reason and provenance for every provisional query rule, including corpus-only and symbol-dependent exclusions.</x:v>
      </x:c>
      <x:c r="C2" s="7" t="str">
        <x:v>Compatibility, reason and provenance for every provisional query rule, including corpus-only and symbol-dependent exclusions.</x:v>
      </x:c>
      <x:c r="D2" s="7" t="str">
        <x:v>Compatibility, reason and provenance for every provisional query rule, including corpus-only and symbol-dependent exclusions.</x:v>
      </x:c>
      <x:c r="E2" s="7" t="str">
        <x:v>Compatibility, reason and provenance for every provisional query rule, including corpus-only and symbol-dependent exclusions.</x:v>
      </x:c>
      <x:c r="F2" s="7" t="str">
        <x:v>Compatibility, reason and provenance for every provisional query rule, including corpus-only and symbol-dependent exclusions.</x:v>
      </x:c>
      <x:c r="G2" s="7" t="str">
        <x:v>Compatibility, reason and provenance for every provisional query rule, including corpus-only and symbol-dependent exclusions.</x:v>
      </x:c>
      <x:c r="H2" s="7" t="str">
        <x:v>Compatibility, reason and provenance for every provisional query rule, including corpus-only and symbol-dependent exclusions.</x:v>
      </x:c>
      <x:c r="I2" s="7" t="str">
        <x:v>Compatibility, reason and provenance for every provisional query rule, including corpus-only and symbol-dependent exclusions.</x:v>
      </x:c>
      <x:c r="J2" s="7" t="str">
        <x:v>Compatibility, reason and provenance for every provisional query rule, including corpus-only and symbol-dependent exclusions.</x:v>
      </x:c>
      <x:c r="K2" s="7" t="str">
        <x:v>Compatibility, reason and provenance for every provisional query rule, including corpus-only and symbol-dependent exclusions.</x:v>
      </x:c>
    </x:row>
    <x:row r="4" ht="42" customHeight="1">
      <x:c r="A4" s="14" t="str">
        <x:v>query_id</x:v>
      </x:c>
      <x:c r="B4" s="14" t="str">
        <x:v>anchor</x:v>
      </x:c>
      <x:c r="C4" s="14" t="str">
        <x:v>surface_form</x:v>
      </x:c>
      <x:c r="D4" s="14" t="str">
        <x:v>classification</x:v>
      </x:c>
      <x:c r="E4" s="14" t="str">
        <x:v>compatibility_status</x:v>
      </x:c>
      <x:c r="F4" s="14" t="str">
        <x:v>execution_eligible</x:v>
      </x:c>
      <x:c r="G4" s="14" t="str">
        <x:v>reason</x:v>
      </x:c>
      <x:c r="H4" s="14" t="str">
        <x:v>interpretation_class</x:v>
      </x:c>
      <x:c r="I4" s="14" t="str">
        <x:v>source_report</x:v>
      </x:c>
      <x:c r="J4" s="14" t="str">
        <x:v>source_page</x:v>
      </x:c>
      <x:c r="K4" s="14" t="str">
        <x:v>provenance_status</x:v>
      </x:c>
    </x:row>
    <x:row r="5" ht="30" customHeight="1">
      <x:c r="A5" s="15" t="str">
        <x:v>FT-Q-V01-001</x:v>
      </x:c>
      <x:c r="B5" s="16" t="str">
        <x:v>1842</x:v>
      </x:c>
      <x:c r="C5" s="30" t="str">
        <x:v>temperature</x:v>
      </x:c>
      <x:c r="D5" s="30" t="str">
        <x:v>BACKGROUND_AMBIGUOUS</x:v>
      </x:c>
      <x:c r="E5" s="30" t="str">
        <x:v>COMPATIBLE</x:v>
      </x:c>
      <x:c r="F5" s="39" t="b">
        <x:v>1</x:v>
      </x:c>
      <x:c r="G5" s="30" t="str">
        <x:v>Compatible exact string/phrase for unsmoothed public Ngram retrieval (current interface supports up to seven words).</x:v>
      </x:c>
      <x:c r="H5" s="16" t="str">
        <x:v>BACKGROUND_AMBIGUOUS</x:v>
      </x:c>
      <x:c r="I5" s="16" t="str">
        <x:v>Fear of Temperature_ Stratified Lexical Expansion, Voice Mapping, and Semantic-Relational Pre-Valida.pdf</x:v>
      </x:c>
      <x:c r="J5" s="16" t="str">
        <x:v>6</x:v>
      </x:c>
      <x:c r="K5" s="45" t="str">
        <x:v>RECONSTRUCTED_FROM_REPORT</x:v>
      </x:c>
    </x:row>
    <x:row r="6" ht="30" customHeight="1">
      <x:c r="A6" s="18" t="str">
        <x:v>FT-Q-V01-002</x:v>
      </x:c>
      <x:c r="B6" s="19" t="str">
        <x:v>1842</x:v>
      </x:c>
      <x:c r="C6" s="31" t="str">
        <x:v>mean temperature</x:v>
      </x:c>
      <x:c r="D6" s="31" t="str">
        <x:v>EXECUTABLE_NGRAM</x:v>
      </x:c>
      <x:c r="E6" s="31" t="str">
        <x:v>COMPATIBLE</x:v>
      </x:c>
      <x:c r="F6" s="40" t="b">
        <x:v>1</x:v>
      </x:c>
      <x:c r="G6" s="31" t="str">
        <x:v>Compatible exact string/phrase for unsmoothed public Ngram retrieval (current interface supports up to seven words).</x:v>
      </x:c>
      <x:c r="H6" s="19" t="str">
        <x:v>CONTEXT_REQUIRED</x:v>
      </x:c>
      <x:c r="I6" s="19" t="str">
        <x:v>Fear of Temperature_ Stratified Lexical Expansion, Voice Mapping, and Semantic-Relational Pre-Valida.pdf</x:v>
      </x:c>
      <x:c r="J6" s="19" t="str">
        <x:v>6</x:v>
      </x:c>
      <x:c r="K6" s="46" t="str">
        <x:v>RECONSTRUCTED_FROM_REPORT</x:v>
      </x:c>
    </x:row>
    <x:row r="7" ht="30" customHeight="1">
      <x:c r="A7" s="18" t="str">
        <x:v>FT-Q-V01-003</x:v>
      </x:c>
      <x:c r="B7" s="19" t="str">
        <x:v>1842</x:v>
      </x:c>
      <x:c r="C7" s="31" t="str">
        <x:v>temperature of the air in shade</x:v>
      </x:c>
      <x:c r="D7" s="31" t="str">
        <x:v>EXECUTABLE_NGRAM</x:v>
      </x:c>
      <x:c r="E7" s="31" t="str">
        <x:v>COMPATIBLE</x:v>
      </x:c>
      <x:c r="F7" s="40" t="b">
        <x:v>1</x:v>
      </x:c>
      <x:c r="G7" s="31" t="str">
        <x:v>Compatible exact string/phrase for unsmoothed public Ngram retrieval (current interface supports up to seven words).</x:v>
      </x:c>
      <x:c r="H7" s="19" t="str">
        <x:v>CONTEXT_REQUIRED</x:v>
      </x:c>
      <x:c r="I7" s="19" t="str">
        <x:v>Fear of Temperature_ Stratified Lexical Expansion, Voice Mapping, and Semantic-Relational Pre-Valida.pdf</x:v>
      </x:c>
      <x:c r="J7" s="19" t="str">
        <x:v>6</x:v>
      </x:c>
      <x:c r="K7" s="46" t="str">
        <x:v>RECONSTRUCTED_FROM_REPORT</x:v>
      </x:c>
    </x:row>
    <x:row r="8" ht="30" customHeight="1">
      <x:c r="A8" s="18" t="str">
        <x:v>FT-Q-V01-004</x:v>
      </x:c>
      <x:c r="B8" s="19" t="str">
        <x:v>1842</x:v>
      </x:c>
      <x:c r="C8" s="31" t="str">
        <x:v>maximum temperature</x:v>
      </x:c>
      <x:c r="D8" s="31" t="str">
        <x:v>EXECUTABLE_NGRAM</x:v>
      </x:c>
      <x:c r="E8" s="31" t="str">
        <x:v>COMPATIBLE</x:v>
      </x:c>
      <x:c r="F8" s="40" t="b">
        <x:v>1</x:v>
      </x:c>
      <x:c r="G8" s="31" t="str">
        <x:v>Compatible exact string/phrase for unsmoothed public Ngram retrieval (current interface supports up to seven words).</x:v>
      </x:c>
      <x:c r="H8" s="19" t="str">
        <x:v>CONTEXT_REQUIRED</x:v>
      </x:c>
      <x:c r="I8" s="19" t="str">
        <x:v>Fear of Temperature_ Stratified Lexical Expansion, Voice Mapping, and Semantic-Relational Pre-Valida.pdf</x:v>
      </x:c>
      <x:c r="J8" s="19" t="str">
        <x:v>6</x:v>
      </x:c>
      <x:c r="K8" s="46" t="str">
        <x:v>RECONSTRUCTED_FROM_REPORT</x:v>
      </x:c>
    </x:row>
    <x:row r="9" ht="30" customHeight="1">
      <x:c r="A9" s="18" t="str">
        <x:v>FT-Q-V01-005</x:v>
      </x:c>
      <x:c r="B9" s="19" t="str">
        <x:v>1842</x:v>
      </x:c>
      <x:c r="C9" s="31" t="str">
        <x:v>minimum temperature</x:v>
      </x:c>
      <x:c r="D9" s="31" t="str">
        <x:v>EXECUTABLE_NGRAM</x:v>
      </x:c>
      <x:c r="E9" s="31" t="str">
        <x:v>COMPATIBLE</x:v>
      </x:c>
      <x:c r="F9" s="40" t="b">
        <x:v>1</x:v>
      </x:c>
      <x:c r="G9" s="31" t="str">
        <x:v>Compatible exact string/phrase for unsmoothed public Ngram retrieval (current interface supports up to seven words).</x:v>
      </x:c>
      <x:c r="H9" s="19" t="str">
        <x:v>CONTEXT_REQUIRED</x:v>
      </x:c>
      <x:c r="I9" s="19" t="str">
        <x:v>Fear of Temperature_ Stratified Lexical Expansion, Voice Mapping, and Semantic-Relational Pre-Valida.pdf</x:v>
      </x:c>
      <x:c r="J9" s="19" t="str">
        <x:v>6</x:v>
      </x:c>
      <x:c r="K9" s="46" t="str">
        <x:v>RECONSTRUCTED_FROM_REPORT</x:v>
      </x:c>
    </x:row>
    <x:row r="10" ht="30" customHeight="1">
      <x:c r="A10" s="18" t="str">
        <x:v>FT-Q-V01-006</x:v>
      </x:c>
      <x:c r="B10" s="19" t="str">
        <x:v>1842</x:v>
      </x:c>
      <x:c r="C10" s="31" t="str">
        <x:v>mean temperature of sea at surface</x:v>
      </x:c>
      <x:c r="D10" s="31" t="str">
        <x:v>EXECUTABLE_NGRAM</x:v>
      </x:c>
      <x:c r="E10" s="31" t="str">
        <x:v>COMPATIBLE</x:v>
      </x:c>
      <x:c r="F10" s="40" t="b">
        <x:v>1</x:v>
      </x:c>
      <x:c r="G10" s="31" t="str">
        <x:v>Compatible exact string/phrase for unsmoothed public Ngram retrieval (current interface supports up to seven words).</x:v>
      </x:c>
      <x:c r="H10" s="19" t="str">
        <x:v>CONTEXT_REQUIRED</x:v>
      </x:c>
      <x:c r="I10" s="19" t="str">
        <x:v>Fear of Temperature_ Stratified Lexical Expansion, Voice Mapping, and Semantic-Relational Pre-Valida.pdf</x:v>
      </x:c>
      <x:c r="J10" s="19" t="str">
        <x:v>6</x:v>
      </x:c>
      <x:c r="K10" s="46" t="str">
        <x:v>RECONSTRUCTED_FROM_REPORT</x:v>
      </x:c>
    </x:row>
    <x:row r="11" ht="30" customHeight="1">
      <x:c r="A11" s="18" t="str">
        <x:v>FT-Q-V01-007</x:v>
      </x:c>
      <x:c r="B11" s="19" t="str">
        <x:v>1842</x:v>
      </x:c>
      <x:c r="C11" s="31" t="str">
        <x:v>dew point</x:v>
      </x:c>
      <x:c r="D11" s="31" t="str">
        <x:v>EXECUTABLE_NGRAM</x:v>
      </x:c>
      <x:c r="E11" s="31" t="str">
        <x:v>COMPATIBLE</x:v>
      </x:c>
      <x:c r="F11" s="40" t="b">
        <x:v>1</x:v>
      </x:c>
      <x:c r="G11" s="31" t="str">
        <x:v>Compatible exact string/phrase for unsmoothed public Ngram retrieval (current interface supports up to seven words).</x:v>
      </x:c>
      <x:c r="H11" s="19" t="str">
        <x:v>CONTEXT_REQUIRED</x:v>
      </x:c>
      <x:c r="I11" s="19" t="str">
        <x:v>Fear of Temperature_ Stratified Lexical Expansion, Voice Mapping, and Semantic-Relational Pre-Valida.pdf</x:v>
      </x:c>
      <x:c r="J11" s="19" t="str">
        <x:v>6</x:v>
      </x:c>
      <x:c r="K11" s="46" t="str">
        <x:v>RECONSTRUCTED_FROM_REPORT</x:v>
      </x:c>
    </x:row>
    <x:row r="12" ht="30" customHeight="1">
      <x:c r="A12" s="18" t="str">
        <x:v>FT-Q-V01-008</x:v>
      </x:c>
      <x:c r="B12" s="19" t="str">
        <x:v>1842</x:v>
      </x:c>
      <x:c r="C12" s="31" t="str">
        <x:v>standard thermometer</x:v>
      </x:c>
      <x:c r="D12" s="31" t="str">
        <x:v>EXECUTABLE_NGRAM</x:v>
      </x:c>
      <x:c r="E12" s="31" t="str">
        <x:v>COMPATIBLE</x:v>
      </x:c>
      <x:c r="F12" s="40" t="b">
        <x:v>1</x:v>
      </x:c>
      <x:c r="G12" s="31" t="str">
        <x:v>Compatible exact string/phrase for unsmoothed public Ngram retrieval (current interface supports up to seven words).</x:v>
      </x:c>
      <x:c r="H12" s="19" t="str">
        <x:v>CONTEXT_REQUIRED</x:v>
      </x:c>
      <x:c r="I12" s="19" t="str">
        <x:v>Fear of Temperature_ Stratified Lexical Expansion, Voice Mapping, and Semantic-Relational Pre-Valida.pdf</x:v>
      </x:c>
      <x:c r="J12" s="19" t="str">
        <x:v>7</x:v>
      </x:c>
      <x:c r="K12" s="46" t="str">
        <x:v>RECONSTRUCTED_FROM_REPORT</x:v>
      </x:c>
    </x:row>
    <x:row r="13" ht="30" customHeight="1">
      <x:c r="A13" s="18" t="str">
        <x:v>FT-Q-V01-009</x:v>
      </x:c>
      <x:c r="B13" s="19" t="str">
        <x:v>1842</x:v>
      </x:c>
      <x:c r="C13" s="31" t="str">
        <x:v>attached thermometer</x:v>
      </x:c>
      <x:c r="D13" s="31" t="str">
        <x:v>EXECUTABLE_NGRAM</x:v>
      </x:c>
      <x:c r="E13" s="31" t="str">
        <x:v>COMPATIBLE</x:v>
      </x:c>
      <x:c r="F13" s="40" t="b">
        <x:v>1</x:v>
      </x:c>
      <x:c r="G13" s="31" t="str">
        <x:v>Compatible exact string/phrase for unsmoothed public Ngram retrieval (current interface supports up to seven words).</x:v>
      </x:c>
      <x:c r="H13" s="19" t="str">
        <x:v>CONTEXT_REQUIRED</x:v>
      </x:c>
      <x:c r="I13" s="19" t="str">
        <x:v>Fear of Temperature_ Stratified Lexical Expansion, Voice Mapping, and Semantic-Relational Pre-Valida.pdf</x:v>
      </x:c>
      <x:c r="J13" s="19" t="str">
        <x:v>7</x:v>
      </x:c>
      <x:c r="K13" s="46" t="str">
        <x:v>RECONSTRUCTED_FROM_REPORT</x:v>
      </x:c>
    </x:row>
    <x:row r="14" ht="30" customHeight="1">
      <x:c r="A14" s="18" t="str">
        <x:v>FT-Q-V01-010</x:v>
      </x:c>
      <x:c r="B14" s="19" t="str">
        <x:v>1842</x:v>
      </x:c>
      <x:c r="C14" s="31" t="str">
        <x:v>dry bulb thermometer</x:v>
      </x:c>
      <x:c r="D14" s="31" t="str">
        <x:v>EXECUTABLE_NGRAM</x:v>
      </x:c>
      <x:c r="E14" s="31" t="str">
        <x:v>COMPATIBLE</x:v>
      </x:c>
      <x:c r="F14" s="40" t="b">
        <x:v>1</x:v>
      </x:c>
      <x:c r="G14" s="31" t="str">
        <x:v>Compatible exact string/phrase for unsmoothed public Ngram retrieval (current interface supports up to seven words).</x:v>
      </x:c>
      <x:c r="H14" s="19" t="str">
        <x:v>CONTEXT_REQUIRED</x:v>
      </x:c>
      <x:c r="I14" s="19" t="str">
        <x:v>Fear of Temperature_ Stratified Lexical Expansion, Voice Mapping, and Semantic-Relational Pre-Valida.pdf</x:v>
      </x:c>
      <x:c r="J14" s="19" t="str">
        <x:v>7</x:v>
      </x:c>
      <x:c r="K14" s="46" t="str">
        <x:v>RECONSTRUCTED_FROM_REPORT</x:v>
      </x:c>
    </x:row>
    <x:row r="15" ht="30" customHeight="1">
      <x:c r="A15" s="18" t="str">
        <x:v>FT-Q-V01-011</x:v>
      </x:c>
      <x:c r="B15" s="19" t="str">
        <x:v>1842</x:v>
      </x:c>
      <x:c r="C15" s="31" t="str">
        <x:v>wet bulb thermometer</x:v>
      </x:c>
      <x:c r="D15" s="31" t="str">
        <x:v>EXECUTABLE_NGRAM</x:v>
      </x:c>
      <x:c r="E15" s="31" t="str">
        <x:v>COMPATIBLE</x:v>
      </x:c>
      <x:c r="F15" s="40" t="b">
        <x:v>1</x:v>
      </x:c>
      <x:c r="G15" s="31" t="str">
        <x:v>Compatible exact string/phrase for unsmoothed public Ngram retrieval (current interface supports up to seven words).</x:v>
      </x:c>
      <x:c r="H15" s="19" t="str">
        <x:v>CONTEXT_REQUIRED</x:v>
      </x:c>
      <x:c r="I15" s="19" t="str">
        <x:v>Fear of Temperature_ Stratified Lexical Expansion, Voice Mapping, and Semantic-Relational Pre-Valida.pdf</x:v>
      </x:c>
      <x:c r="J15" s="19" t="str">
        <x:v>6</x:v>
      </x:c>
      <x:c r="K15" s="46" t="str">
        <x:v>RECONSTRUCTED_FROM_REPORT</x:v>
      </x:c>
    </x:row>
    <x:row r="16" ht="30" customHeight="1">
      <x:c r="A16" s="18" t="str">
        <x:v>FT-Q-V01-012</x:v>
      </x:c>
      <x:c r="B16" s="19" t="str">
        <x:v>1842</x:v>
      </x:c>
      <x:c r="C16" s="31" t="str">
        <x:v>meteorological observations</x:v>
      </x:c>
      <x:c r="D16" s="31" t="str">
        <x:v>EXECUTABLE_NGRAM</x:v>
      </x:c>
      <x:c r="E16" s="31" t="str">
        <x:v>COMPATIBLE</x:v>
      </x:c>
      <x:c r="F16" s="40" t="b">
        <x:v>1</x:v>
      </x:c>
      <x:c r="G16" s="31" t="str">
        <x:v>Compatible exact string/phrase for unsmoothed public Ngram retrieval (current interface supports up to seven words).</x:v>
      </x:c>
      <x:c r="H16" s="19" t="str">
        <x:v>CONTEXT_REQUIRED</x:v>
      </x:c>
      <x:c r="I16" s="19" t="str">
        <x:v>Fear of Temperature_ Stratified Lexical Expansion, Voice Mapping, and Semantic-Relational Pre-Valida.pdf</x:v>
      </x:c>
      <x:c r="J16" s="19" t="str">
        <x:v>6</x:v>
      </x:c>
      <x:c r="K16" s="46" t="str">
        <x:v>RECONSTRUCTED_FROM_REPORT</x:v>
      </x:c>
    </x:row>
    <x:row r="17" ht="30" customHeight="1">
      <x:c r="A17" s="18" t="str">
        <x:v>FT-Q-V01-013</x:v>
      </x:c>
      <x:c r="B17" s="19" t="str">
        <x:v>1842</x:v>
      </x:c>
      <x:c r="C17" s="31" t="str">
        <x:v>meteorological journal</x:v>
      </x:c>
      <x:c r="D17" s="31" t="str">
        <x:v>EXECUTABLE_NGRAM</x:v>
      </x:c>
      <x:c r="E17" s="31" t="str">
        <x:v>COMPATIBLE</x:v>
      </x:c>
      <x:c r="F17" s="40" t="b">
        <x:v>1</x:v>
      </x:c>
      <x:c r="G17" s="31" t="str">
        <x:v>Compatible exact string/phrase for unsmoothed public Ngram retrieval (current interface supports up to seven words).</x:v>
      </x:c>
      <x:c r="H17" s="19" t="str">
        <x:v>CONTEXT_REQUIRED</x:v>
      </x:c>
      <x:c r="I17" s="19" t="str">
        <x:v>Fear of Temperature_ Stratified Lexical Expansion, Voice Mapping, and Semantic-Relational Pre-Valida.pdf</x:v>
      </x:c>
      <x:c r="J17" s="19" t="str">
        <x:v>6</x:v>
      </x:c>
      <x:c r="K17" s="46" t="str">
        <x:v>RECONSTRUCTED_FROM_REPORT</x:v>
      </x:c>
    </x:row>
    <x:row r="18" ht="30" customHeight="1">
      <x:c r="A18" s="18" t="str">
        <x:v>FT-Q-V01-014</x:v>
      </x:c>
      <x:c r="B18" s="19" t="str">
        <x:v>1842</x:v>
      </x:c>
      <x:c r="C18" s="31" t="str">
        <x:v>weather</x:v>
      </x:c>
      <x:c r="D18" s="31" t="str">
        <x:v>BACKGROUND_AMBIGUOUS</x:v>
      </x:c>
      <x:c r="E18" s="31" t="str">
        <x:v>COMPATIBLE</x:v>
      </x:c>
      <x:c r="F18" s="40" t="b">
        <x:v>1</x:v>
      </x:c>
      <x:c r="G18" s="31" t="str">
        <x:v>Compatible exact string/phrase for unsmoothed public Ngram retrieval (current interface supports up to seven words).</x:v>
      </x:c>
      <x:c r="H18" s="19" t="str">
        <x:v>BACKGROUND_AMBIGUOUS</x:v>
      </x:c>
      <x:c r="I18" s="19" t="str">
        <x:v>Fear of Temperature_ Stratified Lexical Expansion, Voice Mapping, and Semantic-Relational Pre-Valida.pdf</x:v>
      </x:c>
      <x:c r="J18" s="19" t="str">
        <x:v>6</x:v>
      </x:c>
      <x:c r="K18" s="46" t="str">
        <x:v>RECONSTRUCTED_FROM_REPORT</x:v>
      </x:c>
    </x:row>
    <x:row r="19" ht="30" customHeight="1">
      <x:c r="A19" s="18" t="str">
        <x:v>FT-Q-V01-015</x:v>
      </x:c>
      <x:c r="B19" s="19" t="str">
        <x:v>1842</x:v>
      </x:c>
      <x:c r="C19" s="31" t="str">
        <x:v>climate</x:v>
      </x:c>
      <x:c r="D19" s="31" t="str">
        <x:v>BACKGROUND_AMBIGUOUS</x:v>
      </x:c>
      <x:c r="E19" s="31" t="str">
        <x:v>COMPATIBLE</x:v>
      </x:c>
      <x:c r="F19" s="40" t="b">
        <x:v>1</x:v>
      </x:c>
      <x:c r="G19" s="31" t="str">
        <x:v>Compatible exact string/phrase for unsmoothed public Ngram retrieval (current interface supports up to seven words).</x:v>
      </x:c>
      <x:c r="H19" s="19" t="str">
        <x:v>BACKGROUND_AMBIGUOUS</x:v>
      </x:c>
      <x:c r="I19" s="19" t="str">
        <x:v>Fear of Temperature_ Stratified Lexical Expansion, Voice Mapping, and Semantic-Relational Pre-Valida.pdf</x:v>
      </x:c>
      <x:c r="J19" s="19" t="str">
        <x:v>6</x:v>
      </x:c>
      <x:c r="K19" s="46" t="str">
        <x:v>RECONSTRUCTED_FROM_REPORT</x:v>
      </x:c>
    </x:row>
    <x:row r="20" ht="30" customHeight="1">
      <x:c r="A20" s="18" t="str">
        <x:v>FT-Q-V01-016</x:v>
      </x:c>
      <x:c r="B20" s="19" t="str">
        <x:v>1842</x:v>
      </x:c>
      <x:c r="C20" s="31" t="str">
        <x:v>sun's heat</x:v>
      </x:c>
      <x:c r="D20" s="31" t="str">
        <x:v>EXECUTABLE_NGRAM</x:v>
      </x:c>
      <x:c r="E20" s="31" t="str">
        <x:v>COMPATIBLE</x:v>
      </x:c>
      <x:c r="F20" s="40" t="b">
        <x:v>1</x:v>
      </x:c>
      <x:c r="G20" s="31" t="str">
        <x:v>Compatible exact string/phrase for unsmoothed public Ngram retrieval (current interface supports up to seven words).</x:v>
      </x:c>
      <x:c r="H20" s="19" t="str">
        <x:v>CONTEXT_REQUIRED</x:v>
      </x:c>
      <x:c r="I20" s="19" t="str">
        <x:v>Fear of Temperature_ Stratified Lexical Expansion, Voice Mapping, and Semantic-Relational Pre-Valida.pdf</x:v>
      </x:c>
      <x:c r="J20" s="19" t="str">
        <x:v>6</x:v>
      </x:c>
      <x:c r="K20" s="46" t="str">
        <x:v>RECONSTRUCTED_FROM_REPORT</x:v>
      </x:c>
    </x:row>
    <x:row r="21" ht="30" customHeight="1">
      <x:c r="A21" s="18" t="str">
        <x:v>FT-Q-V01-017</x:v>
      </x:c>
      <x:c r="B21" s="19" t="str">
        <x:v>1842</x:v>
      </x:c>
      <x:c r="C21" s="31" t="str">
        <x:v>radiation of the heat</x:v>
      </x:c>
      <x:c r="D21" s="31" t="str">
        <x:v>EXECUTABLE_NGRAM</x:v>
      </x:c>
      <x:c r="E21" s="31" t="str">
        <x:v>COMPATIBLE</x:v>
      </x:c>
      <x:c r="F21" s="40" t="b">
        <x:v>1</x:v>
      </x:c>
      <x:c r="G21" s="31" t="str">
        <x:v>Compatible exact string/phrase for unsmoothed public Ngram retrieval (current interface supports up to seven words).</x:v>
      </x:c>
      <x:c r="H21" s="19" t="str">
        <x:v>CONTEXT_REQUIRED</x:v>
      </x:c>
      <x:c r="I21" s="19" t="str">
        <x:v>Fear of Temperature_ Stratified Lexical Expansion, Voice Mapping, and Semantic-Relational Pre-Valida.pdf</x:v>
      </x:c>
      <x:c r="J21" s="19" t="str">
        <x:v>6</x:v>
      </x:c>
      <x:c r="K21" s="46" t="str">
        <x:v>RECONSTRUCTED_FROM_REPORT</x:v>
      </x:c>
    </x:row>
    <x:row r="22" ht="30" customHeight="1">
      <x:c r="A22" s="18" t="str">
        <x:v>FT-Q-V01-018</x:v>
      </x:c>
      <x:c r="B22" s="19" t="str">
        <x:v>1842</x:v>
      </x:c>
      <x:c r="C22" s="31" t="str">
        <x:v>changes of temperature</x:v>
      </x:c>
      <x:c r="D22" s="31" t="str">
        <x:v>EXECUTABLE_NGRAM</x:v>
      </x:c>
      <x:c r="E22" s="31" t="str">
        <x:v>COMPATIBLE</x:v>
      </x:c>
      <x:c r="F22" s="40" t="b">
        <x:v>1</x:v>
      </x:c>
      <x:c r="G22" s="31" t="str">
        <x:v>Compatible exact string/phrase for unsmoothed public Ngram retrieval (current interface supports up to seven words).</x:v>
      </x:c>
      <x:c r="H22" s="19" t="str">
        <x:v>CONTEXT_REQUIRED</x:v>
      </x:c>
      <x:c r="I22" s="19" t="str">
        <x:v>Fear of Temperature_ Stratified Lexical Expansion, Voice Mapping, and Semantic-Relational Pre-Valida.pdf</x:v>
      </x:c>
      <x:c r="J22" s="19" t="str">
        <x:v>7</x:v>
      </x:c>
      <x:c r="K22" s="46" t="str">
        <x:v>RECONSTRUCTED_FROM_REPORT</x:v>
      </x:c>
    </x:row>
    <x:row r="23" ht="30" customHeight="1">
      <x:c r="A23" s="18" t="str">
        <x:v>FT-Q-V01-019</x:v>
      </x:c>
      <x:c r="B23" s="19" t="str">
        <x:v>1842</x:v>
      </x:c>
      <x:c r="C23" s="31" t="str">
        <x:v>excessive heat</x:v>
      </x:c>
      <x:c r="D23" s="31" t="str">
        <x:v>EXECUTABLE_NGRAM</x:v>
      </x:c>
      <x:c r="E23" s="31" t="str">
        <x:v>COMPATIBLE</x:v>
      </x:c>
      <x:c r="F23" s="40" t="b">
        <x:v>1</x:v>
      </x:c>
      <x:c r="G23" s="31" t="str">
        <x:v>Compatible exact string/phrase for unsmoothed public Ngram retrieval (current interface supports up to seven words).</x:v>
      </x:c>
      <x:c r="H23" s="19" t="str">
        <x:v>CONTEXT_REQUIRED</x:v>
      </x:c>
      <x:c r="I23" s="19" t="str">
        <x:v>Fear of Temperature_ Stratified Lexical Expansion, Voice Mapping, and Semantic-Relational Pre-Valida.pdf</x:v>
      </x:c>
      <x:c r="J23" s="19" t="str">
        <x:v>7</x:v>
      </x:c>
      <x:c r="K23" s="46" t="str">
        <x:v>RECONSTRUCTED_FROM_REPORT</x:v>
      </x:c>
    </x:row>
    <x:row r="24" ht="30" customHeight="1">
      <x:c r="A24" s="18" t="str">
        <x:v>FT-Q-V01-020</x:v>
      </x:c>
      <x:c r="B24" s="19" t="str">
        <x:v>1842</x:v>
      </x:c>
      <x:c r="C24" s="31" t="str">
        <x:v>heat of the men</x:v>
      </x:c>
      <x:c r="D24" s="31" t="str">
        <x:v>EXECUTABLE_NGRAM</x:v>
      </x:c>
      <x:c r="E24" s="31" t="str">
        <x:v>COMPATIBLE</x:v>
      </x:c>
      <x:c r="F24" s="40" t="b">
        <x:v>1</x:v>
      </x:c>
      <x:c r="G24" s="31" t="str">
        <x:v>Compatible exact string/phrase for unsmoothed public Ngram retrieval (current interface supports up to seven words).</x:v>
      </x:c>
      <x:c r="H24" s="19" t="str">
        <x:v>CONTEXT_REQUIRED</x:v>
      </x:c>
      <x:c r="I24" s="19" t="str">
        <x:v>Fear of Temperature_ Stratified Lexical Expansion, Voice Mapping, and Semantic-Relational Pre-Valida.pdf</x:v>
      </x:c>
      <x:c r="J24" s="19" t="str">
        <x:v>7</x:v>
      </x:c>
      <x:c r="K24" s="46" t="str">
        <x:v>RECONSTRUCTED_FROM_REPORT</x:v>
      </x:c>
    </x:row>
    <x:row r="25" ht="30" customHeight="1">
      <x:c r="A25" s="18" t="str">
        <x:v>FT-Q-V01-021</x:v>
      </x:c>
      <x:c r="B25" s="19" t="str">
        <x:v>1938</x:v>
      </x:c>
      <x:c r="C25" s="31" t="str">
        <x:v>artificial production of carbon dioxide</x:v>
      </x:c>
      <x:c r="D25" s="31" t="str">
        <x:v>EXECUTABLE_NGRAM</x:v>
      </x:c>
      <x:c r="E25" s="31" t="str">
        <x:v>COMPATIBLE</x:v>
      </x:c>
      <x:c r="F25" s="40" t="b">
        <x:v>1</x:v>
      </x:c>
      <x:c r="G25" s="31" t="str">
        <x:v>Compatible exact string/phrase for unsmoothed public Ngram retrieval (current interface supports up to seven words).</x:v>
      </x:c>
      <x:c r="H25" s="19" t="str">
        <x:v>CONTEXT_REQUIRED</x:v>
      </x:c>
      <x:c r="I25" s="19" t="str">
        <x:v>Fear of Temperature_ Stratified Lexical Expansion, Voice Mapping, and Semantic-Relational Pre-Valida.pdf</x:v>
      </x:c>
      <x:c r="J25" s="19" t="str">
        <x:v>7</x:v>
      </x:c>
      <x:c r="K25" s="46" t="str">
        <x:v>RECONSTRUCTED_FROM_REPORT</x:v>
      </x:c>
    </x:row>
    <x:row r="26" ht="30" customHeight="1">
      <x:c r="A26" s="18" t="str">
        <x:v>FT-Q-V01-022</x:v>
      </x:c>
      <x:c r="B26" s="19" t="str">
        <x:v>1938</x:v>
      </x:c>
      <x:c r="C26" s="31" t="str">
        <x:v>carbon dioxide</x:v>
      </x:c>
      <x:c r="D26" s="31" t="str">
        <x:v>EXECUTABLE_NGRAM</x:v>
      </x:c>
      <x:c r="E26" s="31" t="str">
        <x:v>COMPATIBLE</x:v>
      </x:c>
      <x:c r="F26" s="40" t="b">
        <x:v>1</x:v>
      </x:c>
      <x:c r="G26" s="31" t="str">
        <x:v>Compatible exact string/phrase for unsmoothed public Ngram retrieval (current interface supports up to seven words).</x:v>
      </x:c>
      <x:c r="H26" s="19" t="str">
        <x:v>CONTEXT_REQUIRED</x:v>
      </x:c>
      <x:c r="I26" s="19" t="str">
        <x:v>Fear of Temperature_ Stratified Lexical Expansion, Voice Mapping, and Semantic-Relational Pre-Valida.pdf</x:v>
      </x:c>
      <x:c r="J26" s="19" t="str">
        <x:v>7</x:v>
      </x:c>
      <x:c r="K26" s="46" t="str">
        <x:v>RECONSTRUCTED_FROM_REPORT</x:v>
      </x:c>
    </x:row>
    <x:row r="27" ht="30" customHeight="1">
      <x:c r="A27" s="18" t="str">
        <x:v>FT-Q-V01-023</x:v>
      </x:c>
      <x:c r="B27" s="19" t="str">
        <x:v>1938</x:v>
      </x:c>
      <x:c r="C27" s="31" t="str">
        <x:v>fuel combustion</x:v>
      </x:c>
      <x:c r="D27" s="31" t="str">
        <x:v>EXECUTABLE_NGRAM</x:v>
      </x:c>
      <x:c r="E27" s="31" t="str">
        <x:v>COMPATIBLE</x:v>
      </x:c>
      <x:c r="F27" s="40" t="b">
        <x:v>1</x:v>
      </x:c>
      <x:c r="G27" s="31" t="str">
        <x:v>Compatible exact string/phrase for unsmoothed public Ngram retrieval (current interface supports up to seven words).</x:v>
      </x:c>
      <x:c r="H27" s="19" t="str">
        <x:v>CONTEXT_REQUIRED</x:v>
      </x:c>
      <x:c r="I27" s="19" t="str">
        <x:v>Fear of Temperature_ Stratified Lexical Expansion, Voice Mapping, and Semantic-Relational Pre-Valida.pdf</x:v>
      </x:c>
      <x:c r="J27" s="19" t="str">
        <x:v>8</x:v>
      </x:c>
      <x:c r="K27" s="46" t="str">
        <x:v>RECONSTRUCTED_FROM_REPORT</x:v>
      </x:c>
    </x:row>
    <x:row r="28" ht="30" customHeight="1">
      <x:c r="A28" s="18" t="str">
        <x:v>FT-Q-V01-024</x:v>
      </x:c>
      <x:c r="B28" s="19" t="str">
        <x:v>1938</x:v>
      </x:c>
      <x:c r="C28" s="31" t="str">
        <x:v>air</x:v>
      </x:c>
      <x:c r="D28" s="31" t="str">
        <x:v>BACKGROUND_AMBIGUOUS</x:v>
      </x:c>
      <x:c r="E28" s="31" t="str">
        <x:v>COMPATIBLE</x:v>
      </x:c>
      <x:c r="F28" s="40" t="b">
        <x:v>1</x:v>
      </x:c>
      <x:c r="G28" s="31" t="str">
        <x:v>Compatible exact string/phrase for unsmoothed public Ngram retrieval (current interface supports up to seven words).</x:v>
      </x:c>
      <x:c r="H28" s="19" t="str">
        <x:v>BACKGROUND_AMBIGUOUS</x:v>
      </x:c>
      <x:c r="I28" s="19" t="str">
        <x:v>Fear of Temperature_ Stratified Lexical Expansion, Voice Mapping, and Semantic-Relational Pre-Valida.pdf</x:v>
      </x:c>
      <x:c r="J28" s="19" t="str">
        <x:v>8</x:v>
      </x:c>
      <x:c r="K28" s="46" t="str">
        <x:v>RECONSTRUCTED_FROM_REPORT</x:v>
      </x:c>
    </x:row>
    <x:row r="29" ht="30" customHeight="1">
      <x:c r="A29" s="18" t="str">
        <x:v>FT-Q-V01-025</x:v>
      </x:c>
      <x:c r="B29" s="19" t="str">
        <x:v>1938</x:v>
      </x:c>
      <x:c r="C29" s="31" t="str">
        <x:v>atmosphere</x:v>
      </x:c>
      <x:c r="D29" s="31" t="str">
        <x:v>BACKGROUND_AMBIGUOUS</x:v>
      </x:c>
      <x:c r="E29" s="31" t="str">
        <x:v>COMPATIBLE</x:v>
      </x:c>
      <x:c r="F29" s="40" t="b">
        <x:v>1</x:v>
      </x:c>
      <x:c r="G29" s="31" t="str">
        <x:v>Compatible exact string/phrase for unsmoothed public Ngram retrieval (current interface supports up to seven words).</x:v>
      </x:c>
      <x:c r="H29" s="19" t="str">
        <x:v>BACKGROUND_AMBIGUOUS</x:v>
      </x:c>
      <x:c r="I29" s="19" t="str">
        <x:v>Fear of Temperature_ Stratified Lexical Expansion, Voice Mapping, and Semantic-Relational Pre-Valida.pdf</x:v>
      </x:c>
      <x:c r="J29" s="19" t="str">
        <x:v>8</x:v>
      </x:c>
      <x:c r="K29" s="46" t="str">
        <x:v>RECONSTRUCTED_FROM_REPORT</x:v>
      </x:c>
    </x:row>
    <x:row r="30" ht="30" customHeight="1">
      <x:c r="A30" s="18" t="str">
        <x:v>FT-Q-V01-026</x:v>
      </x:c>
      <x:c r="B30" s="19" t="str">
        <x:v>1938</x:v>
      </x:c>
      <x:c r="C30" s="31" t="str">
        <x:v>radiation absorption coefficients</x:v>
      </x:c>
      <x:c r="D30" s="31" t="str">
        <x:v>EXECUTABLE_NGRAM</x:v>
      </x:c>
      <x:c r="E30" s="31" t="str">
        <x:v>COMPATIBLE</x:v>
      </x:c>
      <x:c r="F30" s="40" t="b">
        <x:v>1</x:v>
      </x:c>
      <x:c r="G30" s="31" t="str">
        <x:v>Compatible exact string/phrase for unsmoothed public Ngram retrieval (current interface supports up to seven words).</x:v>
      </x:c>
      <x:c r="H30" s="19" t="str">
        <x:v>CONTEXT_REQUIRED</x:v>
      </x:c>
      <x:c r="I30" s="19" t="str">
        <x:v>Fear of Temperature_ Stratified Lexical Expansion, Voice Mapping, and Semantic-Relational Pre-Valida.pdf</x:v>
      </x:c>
      <x:c r="J30" s="19" t="str">
        <x:v>8</x:v>
      </x:c>
      <x:c r="K30" s="46" t="str">
        <x:v>RECONSTRUCTED_FROM_REPORT</x:v>
      </x:c>
    </x:row>
    <x:row r="31" ht="30" customHeight="1">
      <x:c r="A31" s="18" t="str">
        <x:v>FT-Q-V01-027</x:v>
      </x:c>
      <x:c r="B31" s="19" t="str">
        <x:v>1938</x:v>
      </x:c>
      <x:c r="C31" s="31" t="str">
        <x:v>water vapour</x:v>
      </x:c>
      <x:c r="D31" s="31" t="str">
        <x:v>EXECUTABLE_NGRAM</x:v>
      </x:c>
      <x:c r="E31" s="31" t="str">
        <x:v>COMPATIBLE</x:v>
      </x:c>
      <x:c r="F31" s="40" t="b">
        <x:v>1</x:v>
      </x:c>
      <x:c r="G31" s="31" t="str">
        <x:v>Compatible exact string/phrase for unsmoothed public Ngram retrieval (current interface supports up to seven words).</x:v>
      </x:c>
      <x:c r="H31" s="19" t="str">
        <x:v>CONTEXT_REQUIRED</x:v>
      </x:c>
      <x:c r="I31" s="19" t="str">
        <x:v>Fear of Temperature_ Stratified Lexical Expansion, Voice Mapping, and Semantic-Relational Pre-Valida.pdf</x:v>
      </x:c>
      <x:c r="J31" s="19" t="str">
        <x:v>8</x:v>
      </x:c>
      <x:c r="K31" s="46" t="str">
        <x:v>RECONSTRUCTED_FROM_REPORT</x:v>
      </x:c>
    </x:row>
    <x:row r="32" ht="30" customHeight="1">
      <x:c r="A32" s="18" t="str">
        <x:v>FT-Q-V01-028</x:v>
      </x:c>
      <x:c r="B32" s="19" t="str">
        <x:v>1938</x:v>
      </x:c>
      <x:c r="C32" s="31" t="str">
        <x:v>sky radiation</x:v>
      </x:c>
      <x:c r="D32" s="31" t="str">
        <x:v>EXECUTABLE_NGRAM</x:v>
      </x:c>
      <x:c r="E32" s="31" t="str">
        <x:v>COMPATIBLE</x:v>
      </x:c>
      <x:c r="F32" s="40" t="b">
        <x:v>1</x:v>
      </x:c>
      <x:c r="G32" s="31" t="str">
        <x:v>Compatible exact string/phrase for unsmoothed public Ngram retrieval (current interface supports up to seven words).</x:v>
      </x:c>
      <x:c r="H32" s="19" t="str">
        <x:v>CONTEXT_REQUIRED</x:v>
      </x:c>
      <x:c r="I32" s="19" t="str">
        <x:v>Fear of Temperature_ Stratified Lexical Expansion, Voice Mapping, and Semantic-Relational Pre-Valida.pdf</x:v>
      </x:c>
      <x:c r="J32" s="19" t="str">
        <x:v>8</x:v>
      </x:c>
      <x:c r="K32" s="46" t="str">
        <x:v>RECONSTRUCTED_FROM_REPORT</x:v>
      </x:c>
    </x:row>
    <x:row r="33" ht="30" customHeight="1">
      <x:c r="A33" s="18" t="str">
        <x:v>FT-Q-V01-029</x:v>
      </x:c>
      <x:c r="B33" s="19" t="str">
        <x:v>1938</x:v>
      </x:c>
      <x:c r="C33" s="31" t="str">
        <x:v>increase in mean temperature</x:v>
      </x:c>
      <x:c r="D33" s="31" t="str">
        <x:v>EXECUTABLE_NGRAM</x:v>
      </x:c>
      <x:c r="E33" s="31" t="str">
        <x:v>COMPATIBLE</x:v>
      </x:c>
      <x:c r="F33" s="40" t="b">
        <x:v>1</x:v>
      </x:c>
      <x:c r="G33" s="31" t="str">
        <x:v>Compatible exact string/phrase for unsmoothed public Ngram retrieval (current interface supports up to seven words).</x:v>
      </x:c>
      <x:c r="H33" s="19" t="str">
        <x:v>CONTEXT_REQUIRED</x:v>
      </x:c>
      <x:c r="I33" s="19" t="str">
        <x:v>Fear of Temperature_ Stratified Lexical Expansion, Voice Mapping, and Semantic-Relational Pre-Valida.pdf</x:v>
      </x:c>
      <x:c r="J33" s="19" t="str">
        <x:v>8</x:v>
      </x:c>
      <x:c r="K33" s="46" t="str">
        <x:v>RECONSTRUCTED_FROM_REPORT</x:v>
      </x:c>
    </x:row>
    <x:row r="34" ht="30" customHeight="1">
      <x:c r="A34" s="18" t="str">
        <x:v>FT-Q-V01-030</x:v>
      </x:c>
      <x:c r="B34" s="19" t="str">
        <x:v>1938</x:v>
      </x:c>
      <x:c r="C34" s="31" t="str">
        <x:v>mean temperature</x:v>
      </x:c>
      <x:c r="D34" s="31" t="str">
        <x:v>EXECUTABLE_NGRAM</x:v>
      </x:c>
      <x:c r="E34" s="31" t="str">
        <x:v>COMPATIBLE</x:v>
      </x:c>
      <x:c r="F34" s="40" t="b">
        <x:v>1</x:v>
      </x:c>
      <x:c r="G34" s="31" t="str">
        <x:v>Compatible exact string/phrase for unsmoothed public Ngram retrieval (current interface supports up to seven words).</x:v>
      </x:c>
      <x:c r="H34" s="19" t="str">
        <x:v>CONTEXT_REQUIRED</x:v>
      </x:c>
      <x:c r="I34" s="19" t="str">
        <x:v>Fear of Temperature_ Stratified Lexical Expansion, Voice Mapping, and Semantic-Relational Pre-Valida.pdf</x:v>
      </x:c>
      <x:c r="J34" s="19" t="str">
        <x:v>8</x:v>
      </x:c>
      <x:c r="K34" s="46" t="str">
        <x:v>RECONSTRUCTED_FROM_REPORT</x:v>
      </x:c>
    </x:row>
    <x:row r="35" ht="30" customHeight="1">
      <x:c r="A35" s="18" t="str">
        <x:v>FT-Q-V01-031</x:v>
      </x:c>
      <x:c r="B35" s="19" t="str">
        <x:v>1938</x:v>
      </x:c>
      <x:c r="C35" s="31" t="str">
        <x:v>temperature observations</x:v>
      </x:c>
      <x:c r="D35" s="31" t="str">
        <x:v>EXECUTABLE_NGRAM</x:v>
      </x:c>
      <x:c r="E35" s="31" t="str">
        <x:v>COMPATIBLE</x:v>
      </x:c>
      <x:c r="F35" s="40" t="b">
        <x:v>1</x:v>
      </x:c>
      <x:c r="G35" s="31" t="str">
        <x:v>Compatible exact string/phrase for unsmoothed public Ngram retrieval (current interface supports up to seven words).</x:v>
      </x:c>
      <x:c r="H35" s="19" t="str">
        <x:v>CONTEXT_REQUIRED</x:v>
      </x:c>
      <x:c r="I35" s="19" t="str">
        <x:v>Fear of Temperature_ Stratified Lexical Expansion, Voice Mapping, and Semantic-Relational Pre-Valida.pdf</x:v>
      </x:c>
      <x:c r="J35" s="19" t="str">
        <x:v>7</x:v>
      </x:c>
      <x:c r="K35" s="46" t="str">
        <x:v>RECONSTRUCTED_FROM_REPORT</x:v>
      </x:c>
    </x:row>
    <x:row r="36" ht="30" customHeight="1">
      <x:c r="A36" s="18" t="str">
        <x:v>FT-Q-V01-032</x:v>
      </x:c>
      <x:c r="B36" s="19" t="str">
        <x:v>1938</x:v>
      </x:c>
      <x:c r="C36" s="31" t="str">
        <x:v>meteorological stations</x:v>
      </x:c>
      <x:c r="D36" s="31" t="str">
        <x:v>EXECUTABLE_NGRAM</x:v>
      </x:c>
      <x:c r="E36" s="31" t="str">
        <x:v>COMPATIBLE</x:v>
      </x:c>
      <x:c r="F36" s="40" t="b">
        <x:v>1</x:v>
      </x:c>
      <x:c r="G36" s="31" t="str">
        <x:v>Compatible exact string/phrase for unsmoothed public Ngram retrieval (current interface supports up to seven words).</x:v>
      </x:c>
      <x:c r="H36" s="19" t="str">
        <x:v>CONTEXT_REQUIRED</x:v>
      </x:c>
      <x:c r="I36" s="19" t="str">
        <x:v>Fear of Temperature_ Stratified Lexical Expansion, Voice Mapping, and Semantic-Relational Pre-Valida.pdf</x:v>
      </x:c>
      <x:c r="J36" s="19" t="str">
        <x:v>7</x:v>
      </x:c>
      <x:c r="K36" s="46" t="str">
        <x:v>RECONSTRUCTED_FROM_REPORT</x:v>
      </x:c>
    </x:row>
    <x:row r="37" ht="30" customHeight="1">
      <x:c r="A37" s="18" t="str">
        <x:v>FT-Q-V01-033</x:v>
      </x:c>
      <x:c r="B37" s="19" t="str">
        <x:v>1938</x:v>
      </x:c>
      <x:c r="C37" s="31" t="str">
        <x:v>world temperatures</x:v>
      </x:c>
      <x:c r="D37" s="31" t="str">
        <x:v>EXECUTABLE_NGRAM</x:v>
      </x:c>
      <x:c r="E37" s="31" t="str">
        <x:v>COMPATIBLE</x:v>
      </x:c>
      <x:c r="F37" s="40" t="b">
        <x:v>1</x:v>
      </x:c>
      <x:c r="G37" s="31" t="str">
        <x:v>Compatible exact string/phrase for unsmoothed public Ngram retrieval (current interface supports up to seven words).</x:v>
      </x:c>
      <x:c r="H37" s="19" t="str">
        <x:v>CONTEXT_REQUIRED</x:v>
      </x:c>
      <x:c r="I37" s="19" t="str">
        <x:v>Fear of Temperature_ Stratified Lexical Expansion, Voice Mapping, and Semantic-Relational Pre-Valida.pdf</x:v>
      </x:c>
      <x:c r="J37" s="19" t="str">
        <x:v>8</x:v>
      </x:c>
      <x:c r="K37" s="46" t="str">
        <x:v>RECONSTRUCTED_FROM_REPORT</x:v>
      </x:c>
    </x:row>
    <x:row r="38" ht="30" customHeight="1">
      <x:c r="A38" s="18" t="str">
        <x:v>FT-Q-V01-034</x:v>
      </x:c>
      <x:c r="B38" s="19" t="str">
        <x:v>1938</x:v>
      </x:c>
      <x:c r="C38" s="31" t="str">
        <x:v>actually increased</x:v>
      </x:c>
      <x:c r="D38" s="31" t="str">
        <x:v>EXECUTABLE_NGRAM</x:v>
      </x:c>
      <x:c r="E38" s="31" t="str">
        <x:v>COMPATIBLE</x:v>
      </x:c>
      <x:c r="F38" s="40" t="b">
        <x:v>1</x:v>
      </x:c>
      <x:c r="G38" s="31" t="str">
        <x:v>Compatible exact string/phrase for unsmoothed public Ngram retrieval (current interface supports up to seven words).</x:v>
      </x:c>
      <x:c r="H38" s="19" t="str">
        <x:v>CONTEXT_REQUIRED</x:v>
      </x:c>
      <x:c r="I38" s="19" t="str">
        <x:v>Fear of Temperature_ Stratified Lexical Expansion, Voice Mapping, and Semantic-Relational Pre-Valida.pdf</x:v>
      </x:c>
      <x:c r="J38" s="19" t="str">
        <x:v>8</x:v>
      </x:c>
      <x:c r="K38" s="46" t="str">
        <x:v>RECONSTRUCTED_FROM_REPORT</x:v>
      </x:c>
    </x:row>
    <x:row r="39" ht="30" customHeight="1">
      <x:c r="A39" s="18" t="str">
        <x:v>FT-Q-V01-035</x:v>
      </x:c>
      <x:c r="B39" s="19" t="str">
        <x:v>1938</x:v>
      </x:c>
      <x:c r="C39" s="31" t="str">
        <x:v>average rate</x:v>
      </x:c>
      <x:c r="D39" s="31" t="str">
        <x:v>EXECUTABLE_NGRAM</x:v>
      </x:c>
      <x:c r="E39" s="31" t="str">
        <x:v>COMPATIBLE</x:v>
      </x:c>
      <x:c r="F39" s="40" t="b">
        <x:v>1</x:v>
      </x:c>
      <x:c r="G39" s="31" t="str">
        <x:v>Compatible exact string/phrase for unsmoothed public Ngram retrieval (current interface supports up to seven words).</x:v>
      </x:c>
      <x:c r="H39" s="19" t="str">
        <x:v>CONTEXT_REQUIRED</x:v>
      </x:c>
      <x:c r="I39" s="19" t="str">
        <x:v>Fear of Temperature_ Stratified Lexical Expansion, Voice Mapping, and Semantic-Relational Pre-Valida.pdf</x:v>
      </x:c>
      <x:c r="J39" s="19" t="str">
        <x:v>8</x:v>
      </x:c>
      <x:c r="K39" s="46" t="str">
        <x:v>RECONSTRUCTED_FROM_REPORT</x:v>
      </x:c>
    </x:row>
    <x:row r="40" ht="30" customHeight="1">
      <x:c r="A40" s="18" t="str">
        <x:v>FT-Q-V01-036</x:v>
      </x:c>
      <x:c r="B40" s="19" t="str">
        <x:v>1938</x:v>
      </x:c>
      <x:c r="C40" s="31" t="str">
        <x:v>small increases in mean temperature</x:v>
      </x:c>
      <x:c r="D40" s="31" t="str">
        <x:v>EXECUTABLE_NGRAM</x:v>
      </x:c>
      <x:c r="E40" s="31" t="str">
        <x:v>COMPATIBLE</x:v>
      </x:c>
      <x:c r="F40" s="40" t="b">
        <x:v>1</x:v>
      </x:c>
      <x:c r="G40" s="31" t="str">
        <x:v>Compatible exact string/phrase for unsmoothed public Ngram retrieval (current interface supports up to seven words).</x:v>
      </x:c>
      <x:c r="H40" s="19" t="str">
        <x:v>CONTEXT_REQUIRED</x:v>
      </x:c>
      <x:c r="I40" s="19" t="str">
        <x:v>Fear of Temperature_ Stratified Lexical Expansion, Voice Mapping, and Semantic-Relational Pre-Valida.pdf</x:v>
      </x:c>
      <x:c r="J40" s="19" t="str">
        <x:v>8</x:v>
      </x:c>
      <x:c r="K40" s="46" t="str">
        <x:v>RECONSTRUCTED_FROM_REPORT</x:v>
      </x:c>
    </x:row>
    <x:row r="41" ht="30" customHeight="1">
      <x:c r="A41" s="18" t="str">
        <x:v>FT-Q-V01-037</x:v>
      </x:c>
      <x:c r="B41" s="19" t="str">
        <x:v>1938</x:v>
      </x:c>
      <x:c r="C41" s="31" t="str">
        <x:v>deadly glaciers</x:v>
      </x:c>
      <x:c r="D41" s="31" t="str">
        <x:v>EXECUTABLE_NGRAM</x:v>
      </x:c>
      <x:c r="E41" s="31" t="str">
        <x:v>COMPATIBLE</x:v>
      </x:c>
      <x:c r="F41" s="40" t="b">
        <x:v>1</x:v>
      </x:c>
      <x:c r="G41" s="31" t="str">
        <x:v>Compatible exact string/phrase for unsmoothed public Ngram retrieval (current interface supports up to seven words).</x:v>
      </x:c>
      <x:c r="H41" s="19" t="str">
        <x:v>CONTEXT_REQUIRED</x:v>
      </x:c>
      <x:c r="I41" s="19" t="str">
        <x:v>Fear of Temperature_ Stratified Lexical Expansion, Voice Mapping, and Semantic-Relational Pre-Valida.pdf</x:v>
      </x:c>
      <x:c r="J41" s="19" t="str">
        <x:v>8</x:v>
      </x:c>
      <x:c r="K41" s="46" t="str">
        <x:v>RECONSTRUCTED_FROM_REPORT</x:v>
      </x:c>
    </x:row>
    <x:row r="42" ht="30" customHeight="1">
      <x:c r="A42" s="18" t="str">
        <x:v>FT-Q-V01-038</x:v>
      </x:c>
      <x:c r="B42" s="19" t="str">
        <x:v>1938</x:v>
      </x:c>
      <x:c r="C42" s="31" t="str">
        <x:v>rather a coincidence</x:v>
      </x:c>
      <x:c r="D42" s="31" t="str">
        <x:v>EXECUTABLE_NGRAM</x:v>
      </x:c>
      <x:c r="E42" s="31" t="str">
        <x:v>COMPATIBLE</x:v>
      </x:c>
      <x:c r="F42" s="40" t="b">
        <x:v>1</x:v>
      </x:c>
      <x:c r="G42" s="31" t="str">
        <x:v>Compatible exact string/phrase for unsmoothed public Ngram retrieval (current interface supports up to seven words).</x:v>
      </x:c>
      <x:c r="H42" s="19" t="str">
        <x:v>CONTEXT_REQUIRED</x:v>
      </x:c>
      <x:c r="I42" s="19" t="str">
        <x:v>Fear of Temperature_ Stratified Lexical Expansion, Voice Mapping, and Semantic-Relational Pre-Valida.pdf</x:v>
      </x:c>
      <x:c r="J42" s="19" t="str">
        <x:v>8</x:v>
      </x:c>
      <x:c r="K42" s="46" t="str">
        <x:v>RECONSTRUCTED_FROM_REPORT</x:v>
      </x:c>
    </x:row>
    <x:row r="43" ht="30" customHeight="1">
      <x:c r="A43" s="18" t="str">
        <x:v>FT-Q-V01-039</x:v>
      </x:c>
      <x:c r="B43" s="19" t="str">
        <x:v>1938</x:v>
      </x:c>
      <x:c r="C43" s="31" t="str">
        <x:v>Hottest Day for Ten Years</x:v>
      </x:c>
      <x:c r="D43" s="31" t="str">
        <x:v>EXECUTABLE_NGRAM</x:v>
      </x:c>
      <x:c r="E43" s="31" t="str">
        <x:v>COMPATIBLE</x:v>
      </x:c>
      <x:c r="F43" s="40" t="b">
        <x:v>1</x:v>
      </x:c>
      <x:c r="G43" s="31" t="str">
        <x:v>Compatible exact string/phrase for unsmoothed public Ngram retrieval (current interface supports up to seven words).</x:v>
      </x:c>
      <x:c r="H43" s="19" t="str">
        <x:v>CONTEXT_REQUIRED</x:v>
      </x:c>
      <x:c r="I43" s="19" t="str">
        <x:v>Fear of Temperature_ Stratified Lexical Expansion, Voice Mapping, and Semantic-Relational Pre-Valida.pdf</x:v>
      </x:c>
      <x:c r="J43" s="19" t="str">
        <x:v>8</x:v>
      </x:c>
      <x:c r="K43" s="46" t="str">
        <x:v>RECONSTRUCTED_FROM_REPORT</x:v>
      </x:c>
    </x:row>
    <x:row r="44" ht="30" customHeight="1">
      <x:c r="A44" s="18" t="str">
        <x:v>FT-Q-V01-040</x:v>
      </x:c>
      <x:c r="B44" s="19" t="str">
        <x:v>1938</x:v>
      </x:c>
      <x:c r="C44" s="31" t="str">
        <x:v>Heat Wave Over Queensland</x:v>
      </x:c>
      <x:c r="D44" s="31" t="str">
        <x:v>EXECUTABLE_NGRAM</x:v>
      </x:c>
      <x:c r="E44" s="31" t="str">
        <x:v>COMPATIBLE</x:v>
      </x:c>
      <x:c r="F44" s="40" t="b">
        <x:v>1</x:v>
      </x:c>
      <x:c r="G44" s="31" t="str">
        <x:v>Compatible exact string/phrase for unsmoothed public Ngram retrieval (current interface supports up to seven words).</x:v>
      </x:c>
      <x:c r="H44" s="19" t="str">
        <x:v>CONTEXT_REQUIRED</x:v>
      </x:c>
      <x:c r="I44" s="19" t="str">
        <x:v>Fear of Temperature_ Stratified Lexical Expansion, Voice Mapping, and Semantic-Relational Pre-Valida.pdf</x:v>
      </x:c>
      <x:c r="J44" s="19" t="str">
        <x:v>8</x:v>
      </x:c>
      <x:c r="K44" s="46" t="str">
        <x:v>RECONSTRUCTED_FROM_REPORT</x:v>
      </x:c>
    </x:row>
    <x:row r="45" ht="30" customHeight="1">
      <x:c r="A45" s="18" t="str">
        <x:v>FT-Q-V01-041</x:v>
      </x:c>
      <x:c r="B45" s="19" t="str">
        <x:v>1988</x:v>
      </x:c>
      <x:c r="C45" s="31" t="str">
        <x:v>greenhouse effect</x:v>
      </x:c>
      <x:c r="D45" s="31" t="str">
        <x:v>EXECUTABLE_NGRAM</x:v>
      </x:c>
      <x:c r="E45" s="31" t="str">
        <x:v>COMPATIBLE</x:v>
      </x:c>
      <x:c r="F45" s="40" t="b">
        <x:v>1</x:v>
      </x:c>
      <x:c r="G45" s="31" t="str">
        <x:v>Compatible exact string/phrase for unsmoothed public Ngram retrieval (current interface supports up to seven words).</x:v>
      </x:c>
      <x:c r="H45" s="19" t="str">
        <x:v>CLIMATE_SPECIFIC</x:v>
      </x:c>
      <x:c r="I45" s="19" t="str">
        <x:v>Fear of Temperature_ Stratified Lexical Expansion, Voice Mapping, and Semantic-Relational Pre-Valida.pdf</x:v>
      </x:c>
      <x:c r="J45" s="19" t="str">
        <x:v>9</x:v>
      </x:c>
      <x:c r="K45" s="46" t="str">
        <x:v>RECONSTRUCTED_FROM_REPORT</x:v>
      </x:c>
    </x:row>
    <x:row r="46" ht="30" customHeight="1">
      <x:c r="A46" s="18" t="str">
        <x:v>FT-Q-V01-042</x:v>
      </x:c>
      <x:c r="B46" s="19" t="str">
        <x:v>1988</x:v>
      </x:c>
      <x:c r="C46" s="31" t="str">
        <x:v>global warming</x:v>
      </x:c>
      <x:c r="D46" s="31" t="str">
        <x:v>EXECUTABLE_NGRAM</x:v>
      </x:c>
      <x:c r="E46" s="31" t="str">
        <x:v>COMPATIBLE</x:v>
      </x:c>
      <x:c r="F46" s="40" t="b">
        <x:v>1</x:v>
      </x:c>
      <x:c r="G46" s="31" t="str">
        <x:v>Compatible exact string/phrase for unsmoothed public Ngram retrieval (current interface supports up to seven words).</x:v>
      </x:c>
      <x:c r="H46" s="19" t="str">
        <x:v>CLIMATE_SPECIFIC</x:v>
      </x:c>
      <x:c r="I46" s="19" t="str">
        <x:v>Fear of Temperature_ Stratified Lexical Expansion, Voice Mapping, and Semantic-Relational Pre-Valida.pdf</x:v>
      </x:c>
      <x:c r="J46" s="19" t="str">
        <x:v>9</x:v>
      </x:c>
      <x:c r="K46" s="46" t="str">
        <x:v>RECONSTRUCTED_FROM_REPORT</x:v>
      </x:c>
    </x:row>
    <x:row r="47" ht="30" customHeight="1">
      <x:c r="A47" s="18" t="str">
        <x:v>FT-Q-V01-043</x:v>
      </x:c>
      <x:c r="B47" s="19" t="str">
        <x:v>1988</x:v>
      </x:c>
      <x:c r="C47" s="31" t="str">
        <x:v>earth is warmer</x:v>
      </x:c>
      <x:c r="D47" s="31" t="str">
        <x:v>EXECUTABLE_NGRAM</x:v>
      </x:c>
      <x:c r="E47" s="31" t="str">
        <x:v>COMPATIBLE</x:v>
      </x:c>
      <x:c r="F47" s="40" t="b">
        <x:v>1</x:v>
      </x:c>
      <x:c r="G47" s="31" t="str">
        <x:v>Compatible exact string/phrase for unsmoothed public Ngram retrieval (current interface supports up to seven words).</x:v>
      </x:c>
      <x:c r="H47" s="19" t="str">
        <x:v>CONTEXT_REQUIRED</x:v>
      </x:c>
      <x:c r="I47" s="19" t="str">
        <x:v>Fear of Temperature_ Stratified Lexical Expansion, Voice Mapping, and Semantic-Relational Pre-Valida.pdf</x:v>
      </x:c>
      <x:c r="J47" s="19" t="str">
        <x:v>9</x:v>
      </x:c>
      <x:c r="K47" s="46" t="str">
        <x:v>RECONSTRUCTED_FROM_REPORT</x:v>
      </x:c>
    </x:row>
    <x:row r="48" ht="30" customHeight="1">
      <x:c r="A48" s="18" t="str">
        <x:v>FT-Q-V01-044</x:v>
      </x:c>
      <x:c r="B48" s="19" t="str">
        <x:v>1988</x:v>
      </x:c>
      <x:c r="C48" s="31" t="str">
        <x:v>instrumental measurements</x:v>
      </x:c>
      <x:c r="D48" s="31" t="str">
        <x:v>EXECUTABLE_NGRAM</x:v>
      </x:c>
      <x:c r="E48" s="31" t="str">
        <x:v>COMPATIBLE</x:v>
      </x:c>
      <x:c r="F48" s="40" t="b">
        <x:v>1</x:v>
      </x:c>
      <x:c r="G48" s="31" t="str">
        <x:v>Compatible exact string/phrase for unsmoothed public Ngram retrieval (current interface supports up to seven words).</x:v>
      </x:c>
      <x:c r="H48" s="19" t="str">
        <x:v>CONTEXT_REQUIRED</x:v>
      </x:c>
      <x:c r="I48" s="19" t="str">
        <x:v>Fear of Temperature_ Stratified Lexical Expansion, Voice Mapping, and Semantic-Relational Pre-Valida.pdf</x:v>
      </x:c>
      <x:c r="J48" s="19" t="str">
        <x:v>9</x:v>
      </x:c>
      <x:c r="K48" s="46" t="str">
        <x:v>RECONSTRUCTED_FROM_REPORT</x:v>
      </x:c>
    </x:row>
    <x:row r="49" ht="30" customHeight="1">
      <x:c r="A49" s="18" t="str">
        <x:v>FT-Q-V01-045</x:v>
      </x:c>
      <x:c r="B49" s="19" t="str">
        <x:v>1988</x:v>
      </x:c>
      <x:c r="C49" s="31" t="str">
        <x:v>cause-and-effect relationship</x:v>
      </x:c>
      <x:c r="D49" s="31" t="str">
        <x:v>EXECUTABLE_NGRAM</x:v>
      </x:c>
      <x:c r="E49" s="31" t="str">
        <x:v>COMPATIBLE</x:v>
      </x:c>
      <x:c r="F49" s="40" t="b">
        <x:v>1</x:v>
      </x:c>
      <x:c r="G49" s="31" t="str">
        <x:v>Compatible exact string/phrase for unsmoothed public Ngram retrieval (current interface supports up to seven words).</x:v>
      </x:c>
      <x:c r="H49" s="19" t="str">
        <x:v>CONTEXT_REQUIRED</x:v>
      </x:c>
      <x:c r="I49" s="19" t="str">
        <x:v>Fear of Temperature_ Stratified Lexical Expansion, Voice Mapping, and Semantic-Relational Pre-Valida.pdf</x:v>
      </x:c>
      <x:c r="J49" s="19" t="str">
        <x:v>9</x:v>
      </x:c>
      <x:c r="K49" s="46" t="str">
        <x:v>RECONSTRUCTED_FROM_REPORT</x:v>
      </x:c>
    </x:row>
    <x:row r="50" ht="30" customHeight="1">
      <x:c r="A50" s="18" t="str">
        <x:v>FT-Q-V01-046</x:v>
      </x:c>
      <x:c r="B50" s="19" t="str">
        <x:v>1988</x:v>
      </x:c>
      <x:c r="C50" s="31" t="str">
        <x:v>global temperature</x:v>
      </x:c>
      <x:c r="D50" s="31" t="str">
        <x:v>EXECUTABLE_NGRAM</x:v>
      </x:c>
      <x:c r="E50" s="31" t="str">
        <x:v>COMPATIBLE</x:v>
      </x:c>
      <x:c r="F50" s="40" t="b">
        <x:v>1</x:v>
      </x:c>
      <x:c r="G50" s="31" t="str">
        <x:v>Compatible exact string/phrase for unsmoothed public Ngram retrieval (current interface supports up to seven words).</x:v>
      </x:c>
      <x:c r="H50" s="19" t="str">
        <x:v>CONTEXT_REQUIRED</x:v>
      </x:c>
      <x:c r="I50" s="19" t="str">
        <x:v>Fear of Temperature_ Stratified Lexical Expansion, Voice Mapping, and Semantic-Relational Pre-Valida.pdf</x:v>
      </x:c>
      <x:c r="J50" s="19" t="str">
        <x:v>9</x:v>
      </x:c>
      <x:c r="K50" s="46" t="str">
        <x:v>RECONSTRUCTED_FROM_REPORT</x:v>
      </x:c>
    </x:row>
    <x:row r="51" ht="30" customHeight="1">
      <x:c r="A51" s="18" t="str">
        <x:v>FT-Q-V01-047</x:v>
      </x:c>
      <x:c r="B51" s="19" t="str">
        <x:v>1988</x:v>
      </x:c>
      <x:c r="C51" s="31" t="str">
        <x:v>regional heat waves</x:v>
      </x:c>
      <x:c r="D51" s="31" t="str">
        <x:v>EXECUTABLE_NGRAM</x:v>
      </x:c>
      <x:c r="E51" s="31" t="str">
        <x:v>COMPATIBLE</x:v>
      </x:c>
      <x:c r="F51" s="40" t="b">
        <x:v>1</x:v>
      </x:c>
      <x:c r="G51" s="31" t="str">
        <x:v>Compatible exact string/phrase for unsmoothed public Ngram retrieval (current interface supports up to seven words).</x:v>
      </x:c>
      <x:c r="H51" s="19" t="str">
        <x:v>CONTEXT_REQUIRED</x:v>
      </x:c>
      <x:c r="I51" s="19" t="str">
        <x:v>Fear of Temperature_ Stratified Lexical Expansion, Voice Mapping, and Semantic-Relational Pre-Valida.pdf</x:v>
      </x:c>
      <x:c r="J51" s="19" t="str">
        <x:v>9</x:v>
      </x:c>
      <x:c r="K51" s="46" t="str">
        <x:v>RECONSTRUCTED_FROM_REPORT</x:v>
      </x:c>
    </x:row>
    <x:row r="52" ht="30" customHeight="1">
      <x:c r="A52" s="18" t="str">
        <x:v>FT-Q-V01-048</x:v>
      </x:c>
      <x:c r="B52" s="19" t="str">
        <x:v>1988</x:v>
      </x:c>
      <x:c r="C52" s="31" t="str">
        <x:v>heat wave</x:v>
      </x:c>
      <x:c r="D52" s="31" t="str">
        <x:v>EXECUTABLE_NGRAM</x:v>
      </x:c>
      <x:c r="E52" s="31" t="str">
        <x:v>COMPATIBLE</x:v>
      </x:c>
      <x:c r="F52" s="40" t="b">
        <x:v>1</x:v>
      </x:c>
      <x:c r="G52" s="31" t="str">
        <x:v>Compatible exact string/phrase for unsmoothed public Ngram retrieval (current interface supports up to seven words).</x:v>
      </x:c>
      <x:c r="H52" s="19" t="str">
        <x:v>CLIMATE_SPECIFIC</x:v>
      </x:c>
      <x:c r="I52" s="19" t="str">
        <x:v>Fear of Temperature_ Stratified Lexical Expansion, Voice Mapping, and Semantic-Relational Pre-Valida.pdf</x:v>
      </x:c>
      <x:c r="J52" s="19" t="str">
        <x:v>9</x:v>
      </x:c>
      <x:c r="K52" s="46" t="str">
        <x:v>RECONSTRUCTED_FROM_REPORT</x:v>
      </x:c>
    </x:row>
    <x:row r="53" ht="30" customHeight="1">
      <x:c r="A53" s="18" t="str">
        <x:v>FT-Q-V01-049</x:v>
      </x:c>
      <x:c r="B53" s="19" t="str">
        <x:v>1988</x:v>
      </x:c>
      <x:c r="C53" s="31" t="str">
        <x:v>drought</x:v>
      </x:c>
      <x:c r="D53" s="31" t="str">
        <x:v>BACKGROUND_AMBIGUOUS</x:v>
      </x:c>
      <x:c r="E53" s="31" t="str">
        <x:v>COMPATIBLE</x:v>
      </x:c>
      <x:c r="F53" s="40" t="b">
        <x:v>1</x:v>
      </x:c>
      <x:c r="G53" s="31" t="str">
        <x:v>Compatible exact string/phrase for unsmoothed public Ngram retrieval (current interface supports up to seven words).</x:v>
      </x:c>
      <x:c r="H53" s="19" t="str">
        <x:v>BACKGROUND_AMBIGUOUS</x:v>
      </x:c>
      <x:c r="I53" s="19" t="str">
        <x:v>Fear of Temperature_ Stratified Lexical Expansion, Voice Mapping, and Semantic-Relational Pre-Valida.pdf</x:v>
      </x:c>
      <x:c r="J53" s="19" t="str">
        <x:v>9</x:v>
      </x:c>
      <x:c r="K53" s="46" t="str">
        <x:v>RECONSTRUCTED_FROM_REPORT</x:v>
      </x:c>
    </x:row>
    <x:row r="54" ht="30" customHeight="1">
      <x:c r="A54" s="18" t="str">
        <x:v>FT-Q-V01-050</x:v>
      </x:c>
      <x:c r="B54" s="19" t="str">
        <x:v>1988</x:v>
      </x:c>
      <x:c r="C54" s="31" t="str">
        <x:v>heat wave/drought occurrences</x:v>
      </x:c>
      <x:c r="D54" s="31" t="str">
        <x:v>EXECUTABLE_CORPUS_ONLY</x:v>
      </x:c>
      <x:c r="E54" s="31" t="str">
        <x:v>STRUCTURALLY_UNSUPPORTED</x:v>
      </x:c>
      <x:c r="F54" s="40" t="b">
        <x:v>0</x:v>
      </x:c>
      <x:c r="G54" s="31" t="str">
        <x:v>Slash construction is not a defensible isolated Ngram phrase.</x:v>
      </x:c>
      <x:c r="H54" s="19" t="str">
        <x:v>CONTEXT_REQUIRED</x:v>
      </x:c>
      <x:c r="I54" s="19" t="str">
        <x:v>Fear of Temperature_ Stratified Lexical Expansion, Voice Mapping, and Semantic-Relational Pre-Valida.pdf</x:v>
      </x:c>
      <x:c r="J54" s="19" t="str">
        <x:v>9</x:v>
      </x:c>
      <x:c r="K54" s="46" t="str">
        <x:v>RECONSTRUCTED_FROM_REPORT</x:v>
      </x:c>
    </x:row>
    <x:row r="55" ht="30" customHeight="1">
      <x:c r="A55" s="18" t="str">
        <x:v>FT-Q-V01-051</x:v>
      </x:c>
      <x:c r="B55" s="19" t="str">
        <x:v>1988</x:v>
      </x:c>
      <x:c r="C55" s="31" t="str">
        <x:v>extreme events</x:v>
      </x:c>
      <x:c r="D55" s="31" t="str">
        <x:v>EXECUTABLE_NGRAM</x:v>
      </x:c>
      <x:c r="E55" s="31" t="str">
        <x:v>COMPATIBLE</x:v>
      </x:c>
      <x:c r="F55" s="40" t="b">
        <x:v>1</x:v>
      </x:c>
      <x:c r="G55" s="31" t="str">
        <x:v>Compatible exact string/phrase for unsmoothed public Ngram retrieval (current interface supports up to seven words).</x:v>
      </x:c>
      <x:c r="H55" s="19" t="str">
        <x:v>CONTEXT_REQUIRED</x:v>
      </x:c>
      <x:c r="I55" s="19" t="str">
        <x:v>Fear of Temperature_ Stratified Lexical Expansion, Voice Mapping, and Semantic-Relational Pre-Valida.pdf</x:v>
      </x:c>
      <x:c r="J55" s="19" t="str">
        <x:v>9</x:v>
      </x:c>
      <x:c r="K55" s="46" t="str">
        <x:v>RECONSTRUCTED_FROM_REPORT</x:v>
      </x:c>
    </x:row>
    <x:row r="56" ht="30" customHeight="1">
      <x:c r="A56" s="18" t="str">
        <x:v>FT-Q-V01-052</x:v>
      </x:c>
      <x:c r="B56" s="19" t="str">
        <x:v>1988</x:v>
      </x:c>
      <x:c r="C56" s="31" t="str">
        <x:v>global climate models</x:v>
      </x:c>
      <x:c r="D56" s="31" t="str">
        <x:v>EXECUTABLE_NGRAM</x:v>
      </x:c>
      <x:c r="E56" s="31" t="str">
        <x:v>COMPATIBLE</x:v>
      </x:c>
      <x:c r="F56" s="40" t="b">
        <x:v>1</x:v>
      </x:c>
      <x:c r="G56" s="31" t="str">
        <x:v>Compatible exact string/phrase for unsmoothed public Ngram retrieval (current interface supports up to seven words).</x:v>
      </x:c>
      <x:c r="H56" s="19" t="str">
        <x:v>CONTEXT_REQUIRED</x:v>
      </x:c>
      <x:c r="I56" s="19" t="str">
        <x:v>Fear of Temperature_ Stratified Lexical Expansion, Voice Mapping, and Semantic-Relational Pre-Valida.pdf</x:v>
      </x:c>
      <x:c r="J56" s="19" t="str">
        <x:v>9</x:v>
      </x:c>
      <x:c r="K56" s="46" t="str">
        <x:v>RECONSTRUCTED_FROM_REPORT</x:v>
      </x:c>
    </x:row>
    <x:row r="57" ht="30" customHeight="1">
      <x:c r="A57" s="18" t="str">
        <x:v>FT-Q-V01-053</x:v>
      </x:c>
      <x:c r="B57" s="19" t="str">
        <x:v>1988</x:v>
      </x:c>
      <x:c r="C57" s="31" t="str">
        <x:v>global observations</x:v>
      </x:c>
      <x:c r="D57" s="31" t="str">
        <x:v>EXECUTABLE_NGRAM</x:v>
      </x:c>
      <x:c r="E57" s="31" t="str">
        <x:v>COMPATIBLE</x:v>
      </x:c>
      <x:c r="F57" s="40" t="b">
        <x:v>1</x:v>
      </x:c>
      <x:c r="G57" s="31" t="str">
        <x:v>Compatible exact string/phrase for unsmoothed public Ngram retrieval (current interface supports up to seven words).</x:v>
      </x:c>
      <x:c r="H57" s="19" t="str">
        <x:v>CONTEXT_REQUIRED</x:v>
      </x:c>
      <x:c r="I57" s="19" t="str">
        <x:v>Fear of Temperature_ Stratified Lexical Expansion, Voice Mapping, and Semantic-Relational Pre-Valida.pdf</x:v>
      </x:c>
      <x:c r="J57" s="19" t="str">
        <x:v>9</x:v>
      </x:c>
      <x:c r="K57" s="46" t="str">
        <x:v>RECONSTRUCTED_FROM_REPORT</x:v>
      </x:c>
    </x:row>
    <x:row r="58" ht="30" customHeight="1">
      <x:c r="A58" s="18" t="str">
        <x:v>FT-Q-V01-054</x:v>
      </x:c>
      <x:c r="B58" s="19" t="str">
        <x:v>1988</x:v>
      </x:c>
      <x:c r="C58" s="31" t="str">
        <x:v>warm air</x:v>
      </x:c>
      <x:c r="D58" s="31" t="str">
        <x:v>EXECUTABLE_NGRAM</x:v>
      </x:c>
      <x:c r="E58" s="31" t="str">
        <x:v>COMPATIBLE</x:v>
      </x:c>
      <x:c r="F58" s="40" t="b">
        <x:v>1</x:v>
      </x:c>
      <x:c r="G58" s="31" t="str">
        <x:v>Compatible exact string/phrase for unsmoothed public Ngram retrieval (current interface supports up to seven words).</x:v>
      </x:c>
      <x:c r="H58" s="19" t="str">
        <x:v>CONTEXT_REQUIRED</x:v>
      </x:c>
      <x:c r="I58" s="19" t="str">
        <x:v>Fear of Temperature_ Stratified Lexical Expansion, Voice Mapping, and Semantic-Relational Pre-Valida.pdf</x:v>
      </x:c>
      <x:c r="J58" s="19" t="str">
        <x:v>9</x:v>
      </x:c>
      <x:c r="K58" s="46" t="str">
        <x:v>RECONSTRUCTED_FROM_REPORT</x:v>
      </x:c>
    </x:row>
    <x:row r="59" ht="30" customHeight="1">
      <x:c r="A59" s="18" t="str">
        <x:v>FT-Q-V01-055</x:v>
      </x:c>
      <x:c r="B59" s="19" t="str">
        <x:v>1988</x:v>
      </x:c>
      <x:c r="C59" s="31" t="str">
        <x:v>changing atmosphere</x:v>
      </x:c>
      <x:c r="D59" s="31" t="str">
        <x:v>EXECUTABLE_NGRAM</x:v>
      </x:c>
      <x:c r="E59" s="31" t="str">
        <x:v>COMPATIBLE</x:v>
      </x:c>
      <x:c r="F59" s="40" t="b">
        <x:v>1</x:v>
      </x:c>
      <x:c r="G59" s="31" t="str">
        <x:v>Compatible exact string/phrase for unsmoothed public Ngram retrieval (current interface supports up to seven words).</x:v>
      </x:c>
      <x:c r="H59" s="19" t="str">
        <x:v>CLIMATE_SPECIFIC</x:v>
      </x:c>
      <x:c r="I59" s="19" t="str">
        <x:v>Fear of Temperature_ Stratified Lexical Expansion, Voice Mapping, and Semantic-Relational Pre-Valida.pdf</x:v>
      </x:c>
      <x:c r="J59" s="19" t="str">
        <x:v>9</x:v>
      </x:c>
      <x:c r="K59" s="46" t="str">
        <x:v>RECONSTRUCTED_FROM_REPORT</x:v>
      </x:c>
    </x:row>
    <x:row r="60" ht="30" customHeight="1">
      <x:c r="A60" s="18" t="str">
        <x:v>FT-Q-V01-056</x:v>
      </x:c>
      <x:c r="B60" s="19" t="str">
        <x:v>1988</x:v>
      </x:c>
      <x:c r="C60" s="31" t="str">
        <x:v>global security</x:v>
      </x:c>
      <x:c r="D60" s="31" t="str">
        <x:v>EXECUTABLE_NGRAM</x:v>
      </x:c>
      <x:c r="E60" s="31" t="str">
        <x:v>COMPATIBLE</x:v>
      </x:c>
      <x:c r="F60" s="40" t="b">
        <x:v>1</x:v>
      </x:c>
      <x:c r="G60" s="31" t="str">
        <x:v>Compatible exact string/phrase for unsmoothed public Ngram retrieval (current interface supports up to seven words).</x:v>
      </x:c>
      <x:c r="H60" s="19" t="str">
        <x:v>CONTEXT_REQUIRED</x:v>
      </x:c>
      <x:c r="I60" s="19" t="str">
        <x:v>Fear of Temperature_ Stratified Lexical Expansion, Voice Mapping, and Semantic-Relational Pre-Valida.pdf</x:v>
      </x:c>
      <x:c r="J60" s="19" t="str">
        <x:v>9</x:v>
      </x:c>
      <x:c r="K60" s="46" t="str">
        <x:v>RECONSTRUCTED_FROM_REPORT</x:v>
      </x:c>
    </x:row>
    <x:row r="61" ht="30" customHeight="1">
      <x:c r="A61" s="18" t="str">
        <x:v>FT-Q-V01-057</x:v>
      </x:c>
      <x:c r="B61" s="19" t="str">
        <x:v>1988</x:v>
      </x:c>
      <x:c r="C61" s="31" t="str">
        <x:v>climate warming</x:v>
      </x:c>
      <x:c r="D61" s="31" t="str">
        <x:v>EXECUTABLE_NGRAM</x:v>
      </x:c>
      <x:c r="E61" s="31" t="str">
        <x:v>COMPATIBLE</x:v>
      </x:c>
      <x:c r="F61" s="40" t="b">
        <x:v>1</x:v>
      </x:c>
      <x:c r="G61" s="31" t="str">
        <x:v>Compatible exact string/phrase for unsmoothed public Ngram retrieval (current interface supports up to seven words).</x:v>
      </x:c>
      <x:c r="H61" s="19" t="str">
        <x:v>CONTEXT_REQUIRED</x:v>
      </x:c>
      <x:c r="I61" s="19" t="str">
        <x:v>Fear of Temperature_ Stratified Lexical Expansion, Voice Mapping, and Semantic-Relational Pre-Valida.pdf</x:v>
      </x:c>
      <x:c r="J61" s="19" t="str">
        <x:v>9</x:v>
      </x:c>
      <x:c r="K61" s="46" t="str">
        <x:v>RECONSTRUCTED_FROM_REPORT</x:v>
      </x:c>
    </x:row>
    <x:row r="62" ht="30" customHeight="1">
      <x:c r="A62" s="18" t="str">
        <x:v>FT-Q-V01-058</x:v>
      </x:c>
      <x:c r="B62" s="19" t="str">
        <x:v>1988</x:v>
      </x:c>
      <x:c r="C62" s="31" t="str">
        <x:v>changed climatic extremes</x:v>
      </x:c>
      <x:c r="D62" s="31" t="str">
        <x:v>EXECUTABLE_NGRAM</x:v>
      </x:c>
      <x:c r="E62" s="31" t="str">
        <x:v>COMPATIBLE</x:v>
      </x:c>
      <x:c r="F62" s="40" t="b">
        <x:v>1</x:v>
      </x:c>
      <x:c r="G62" s="31" t="str">
        <x:v>Compatible exact string/phrase for unsmoothed public Ngram retrieval (current interface supports up to seven words).</x:v>
      </x:c>
      <x:c r="H62" s="19" t="str">
        <x:v>CONTEXT_REQUIRED</x:v>
      </x:c>
      <x:c r="I62" s="19" t="str">
        <x:v>Fear of Temperature_ Stratified Lexical Expansion, Voice Mapping, and Semantic-Relational Pre-Valida.pdf</x:v>
      </x:c>
      <x:c r="J62" s="19" t="str">
        <x:v>9</x:v>
      </x:c>
      <x:c r="K62" s="46" t="str">
        <x:v>RECONSTRUCTED_FROM_REPORT</x:v>
      </x:c>
    </x:row>
    <x:row r="63" ht="30" customHeight="1">
      <x:c r="A63" s="18" t="str">
        <x:v>FT-Q-V01-059</x:v>
      </x:c>
      <x:c r="B63" s="19" t="str">
        <x:v>1988</x:v>
      </x:c>
      <x:c r="C63" s="31" t="str">
        <x:v>major threat</x:v>
      </x:c>
      <x:c r="D63" s="31" t="str">
        <x:v>EXECUTABLE_NGRAM</x:v>
      </x:c>
      <x:c r="E63" s="31" t="str">
        <x:v>COMPATIBLE</x:v>
      </x:c>
      <x:c r="F63" s="40" t="b">
        <x:v>1</x:v>
      </x:c>
      <x:c r="G63" s="31" t="str">
        <x:v>Compatible exact string/phrase for unsmoothed public Ngram retrieval (current interface supports up to seven words).</x:v>
      </x:c>
      <x:c r="H63" s="19" t="str">
        <x:v>CONTEXT_REQUIRED</x:v>
      </x:c>
      <x:c r="I63" s="19" t="str">
        <x:v>Fear of Temperature_ Stratified Lexical Expansion, Voice Mapping, and Semantic-Relational Pre-Valida.pdf</x:v>
      </x:c>
      <x:c r="J63" s="19" t="str">
        <x:v>9</x:v>
      </x:c>
      <x:c r="K63" s="46" t="str">
        <x:v>RECONSTRUCTED_FROM_REPORT</x:v>
      </x:c>
    </x:row>
    <x:row r="64" ht="30" customHeight="1">
      <x:c r="A64" s="18" t="str">
        <x:v>FT-Q-V01-060</x:v>
      </x:c>
      <x:c r="B64" s="19" t="str">
        <x:v>1988</x:v>
      </x:c>
      <x:c r="C64" s="31" t="str">
        <x:v>harmful consequences</x:v>
      </x:c>
      <x:c r="D64" s="31" t="str">
        <x:v>EXECUTABLE_NGRAM</x:v>
      </x:c>
      <x:c r="E64" s="31" t="str">
        <x:v>COMPATIBLE</x:v>
      </x:c>
      <x:c r="F64" s="40" t="b">
        <x:v>1</x:v>
      </x:c>
      <x:c r="G64" s="31" t="str">
        <x:v>Compatible exact string/phrase for unsmoothed public Ngram retrieval (current interface supports up to seven words).</x:v>
      </x:c>
      <x:c r="H64" s="19" t="str">
        <x:v>CONTEXT_REQUIRED</x:v>
      </x:c>
      <x:c r="I64" s="19" t="str">
        <x:v>Fear of Temperature_ Stratified Lexical Expansion, Voice Mapping, and Semantic-Relational Pre-Valida.pdf</x:v>
      </x:c>
      <x:c r="J64" s="19" t="str">
        <x:v>9</x:v>
      </x:c>
      <x:c r="K64" s="46" t="str">
        <x:v>RECONSTRUCTED_FROM_REPORT</x:v>
      </x:c>
    </x:row>
    <x:row r="65" ht="30" customHeight="1">
      <x:c r="A65" s="18" t="str">
        <x:v>FT-Q-V01-061</x:v>
      </x:c>
      <x:c r="B65" s="19" t="str">
        <x:v>2006–2007</x:v>
      </x:c>
      <x:c r="C65" s="31" t="str">
        <x:v>warming of the climate system</x:v>
      </x:c>
      <x:c r="D65" s="31" t="str">
        <x:v>EXECUTABLE_NGRAM</x:v>
      </x:c>
      <x:c r="E65" s="31" t="str">
        <x:v>COMPATIBLE</x:v>
      </x:c>
      <x:c r="F65" s="40" t="b">
        <x:v>1</x:v>
      </x:c>
      <x:c r="G65" s="31" t="str">
        <x:v>Compatible exact string/phrase for unsmoothed public Ngram retrieval (current interface supports up to seven words).</x:v>
      </x:c>
      <x:c r="H65" s="19" t="str">
        <x:v>CONTEXT_REQUIRED</x:v>
      </x:c>
      <x:c r="I65" s="19" t="str">
        <x:v>Fear of Temperature_ Stratified Lexical Expansion, Voice Mapping, and Semantic-Relational Pre-Valida.pdf</x:v>
      </x:c>
      <x:c r="J65" s="19" t="str">
        <x:v>10</x:v>
      </x:c>
      <x:c r="K65" s="46" t="str">
        <x:v>RECONSTRUCTED_FROM_REPORT</x:v>
      </x:c>
    </x:row>
    <x:row r="66" ht="30" customHeight="1">
      <x:c r="A66" s="18" t="str">
        <x:v>FT-Q-V01-062</x:v>
      </x:c>
      <x:c r="B66" s="19" t="str">
        <x:v>2006–2007</x:v>
      </x:c>
      <x:c r="C66" s="31" t="str">
        <x:v>unequivocal</x:v>
      </x:c>
      <x:c r="D66" s="31" t="str">
        <x:v>EXECUTABLE_NGRAM</x:v>
      </x:c>
      <x:c r="E66" s="31" t="str">
        <x:v>COMPATIBLE</x:v>
      </x:c>
      <x:c r="F66" s="40" t="b">
        <x:v>1</x:v>
      </x:c>
      <x:c r="G66" s="31" t="str">
        <x:v>Compatible exact string/phrase for unsmoothed public Ngram retrieval (current interface supports up to seven words).</x:v>
      </x:c>
      <x:c r="H66" s="19" t="str">
        <x:v>CONTEXT_REQUIRED</x:v>
      </x:c>
      <x:c r="I66" s="19" t="str">
        <x:v>Fear of Temperature_ Stratified Lexical Expansion, Voice Mapping, and Semantic-Relational Pre-Valida.pdf</x:v>
      </x:c>
      <x:c r="J66" s="19" t="str">
        <x:v>10</x:v>
      </x:c>
      <x:c r="K66" s="46" t="str">
        <x:v>RECONSTRUCTED_FROM_REPORT</x:v>
      </x:c>
    </x:row>
    <x:row r="67" ht="30" customHeight="1">
      <x:c r="A67" s="18" t="str">
        <x:v>FT-Q-V01-063</x:v>
      </x:c>
      <x:c r="B67" s="19" t="str">
        <x:v>2006–2007</x:v>
      </x:c>
      <x:c r="C67" s="31" t="str">
        <x:v>global average air and ocean temperatures</x:v>
      </x:c>
      <x:c r="D67" s="31" t="str">
        <x:v>EXECUTABLE_NGRAM</x:v>
      </x:c>
      <x:c r="E67" s="31" t="str">
        <x:v>COMPATIBLE</x:v>
      </x:c>
      <x:c r="F67" s="40" t="b">
        <x:v>1</x:v>
      </x:c>
      <x:c r="G67" s="31" t="str">
        <x:v>Compatible exact string/phrase for unsmoothed public Ngram retrieval (current interface supports up to seven words).</x:v>
      </x:c>
      <x:c r="H67" s="19" t="str">
        <x:v>CONTEXT_REQUIRED</x:v>
      </x:c>
      <x:c r="I67" s="19" t="str">
        <x:v>Fear of Temperature_ Stratified Lexical Expansion, Voice Mapping, and Semantic-Relational Pre-Valida.pdf</x:v>
      </x:c>
      <x:c r="J67" s="19" t="str">
        <x:v>10</x:v>
      </x:c>
      <x:c r="K67" s="46" t="str">
        <x:v>RECONSTRUCTED_FROM_REPORT</x:v>
      </x:c>
    </x:row>
    <x:row r="68" ht="30" customHeight="1">
      <x:c r="A68" s="18" t="str">
        <x:v>FT-Q-V01-064</x:v>
      </x:c>
      <x:c r="B68" s="19" t="str">
        <x:v>2006–2007</x:v>
      </x:c>
      <x:c r="C68" s="31" t="str">
        <x:v>global surface temperature</x:v>
      </x:c>
      <x:c r="D68" s="31" t="str">
        <x:v>EXECUTABLE_NGRAM</x:v>
      </x:c>
      <x:c r="E68" s="31" t="str">
        <x:v>COMPATIBLE</x:v>
      </x:c>
      <x:c r="F68" s="40" t="b">
        <x:v>1</x:v>
      </x:c>
      <x:c r="G68" s="31" t="str">
        <x:v>Compatible exact string/phrase for unsmoothed public Ngram retrieval (current interface supports up to seven words).</x:v>
      </x:c>
      <x:c r="H68" s="19" t="str">
        <x:v>CONTEXT_REQUIRED</x:v>
      </x:c>
      <x:c r="I68" s="19" t="str">
        <x:v>Fear of Temperature_ Stratified Lexical Expansion, Voice Mapping, and Semantic-Relational Pre-Valida.pdf</x:v>
      </x:c>
      <x:c r="J68" s="19" t="str">
        <x:v>10</x:v>
      </x:c>
      <x:c r="K68" s="46" t="str">
        <x:v>RECONSTRUCTED_FROM_REPORT</x:v>
      </x:c>
    </x:row>
    <x:row r="69" ht="30" customHeight="1">
      <x:c r="A69" s="18" t="str">
        <x:v>FT-Q-V01-065</x:v>
      </x:c>
      <x:c r="B69" s="19" t="str">
        <x:v>2006–2007</x:v>
      </x:c>
      <x:c r="C69" s="31" t="str">
        <x:v>temperature increase</x:v>
      </x:c>
      <x:c r="D69" s="31" t="str">
        <x:v>EXECUTABLE_NGRAM</x:v>
      </x:c>
      <x:c r="E69" s="31" t="str">
        <x:v>COMPATIBLE</x:v>
      </x:c>
      <x:c r="F69" s="40" t="b">
        <x:v>1</x:v>
      </x:c>
      <x:c r="G69" s="31" t="str">
        <x:v>Compatible exact string/phrase for unsmoothed public Ngram retrieval (current interface supports up to seven words).</x:v>
      </x:c>
      <x:c r="H69" s="19" t="str">
        <x:v>CLIMATE_SPECIFIC</x:v>
      </x:c>
      <x:c r="I69" s="19" t="str">
        <x:v>Fear of Temperature_ Stratified Lexical Expansion, Voice Mapping, and Semantic-Relational Pre-Valida.pdf</x:v>
      </x:c>
      <x:c r="J69" s="19" t="str">
        <x:v>10</x:v>
      </x:c>
      <x:c r="K69" s="46" t="str">
        <x:v>RECONSTRUCTED_FROM_REPORT</x:v>
      </x:c>
    </x:row>
    <x:row r="70" ht="30" customHeight="1">
      <x:c r="A70" s="18" t="str">
        <x:v>FT-Q-V01-066</x:v>
      </x:c>
      <x:c r="B70" s="19" t="str">
        <x:v>2006–2007</x:v>
      </x:c>
      <x:c r="C70" s="31" t="str">
        <x:v>rising global average sea level</x:v>
      </x:c>
      <x:c r="D70" s="31" t="str">
        <x:v>EXECUTABLE_NGRAM</x:v>
      </x:c>
      <x:c r="E70" s="31" t="str">
        <x:v>COMPATIBLE</x:v>
      </x:c>
      <x:c r="F70" s="40" t="b">
        <x:v>1</x:v>
      </x:c>
      <x:c r="G70" s="31" t="str">
        <x:v>Compatible exact string/phrase for unsmoothed public Ngram retrieval (current interface supports up to seven words).</x:v>
      </x:c>
      <x:c r="H70" s="19" t="str">
        <x:v>CONTEXT_REQUIRED</x:v>
      </x:c>
      <x:c r="I70" s="19" t="str">
        <x:v>Fear of Temperature_ Stratified Lexical Expansion, Voice Mapping, and Semantic-Relational Pre-Valida.pdf</x:v>
      </x:c>
      <x:c r="J70" s="19" t="str">
        <x:v>10</x:v>
      </x:c>
      <x:c r="K70" s="46" t="str">
        <x:v>RECONSTRUCTED_FROM_REPORT</x:v>
      </x:c>
    </x:row>
    <x:row r="71" ht="30" customHeight="1">
      <x:c r="A71" s="18" t="str">
        <x:v>FT-Q-V01-067</x:v>
      </x:c>
      <x:c r="B71" s="19" t="str">
        <x:v>2006–2007</x:v>
      </x:c>
      <x:c r="C71" s="31" t="str">
        <x:v>widespread melting of snow and ice</x:v>
      </x:c>
      <x:c r="D71" s="31" t="str">
        <x:v>EXECUTABLE_NGRAM</x:v>
      </x:c>
      <x:c r="E71" s="31" t="str">
        <x:v>COMPATIBLE</x:v>
      </x:c>
      <x:c r="F71" s="40" t="b">
        <x:v>1</x:v>
      </x:c>
      <x:c r="G71" s="31" t="str">
        <x:v>Compatible exact string/phrase for unsmoothed public Ngram retrieval (current interface supports up to seven words).</x:v>
      </x:c>
      <x:c r="H71" s="19" t="str">
        <x:v>CONTEXT_REQUIRED</x:v>
      </x:c>
      <x:c r="I71" s="19" t="str">
        <x:v>Fear of Temperature_ Stratified Lexical Expansion, Voice Mapping, and Semantic-Relational Pre-Valida.pdf</x:v>
      </x:c>
      <x:c r="J71" s="19" t="str">
        <x:v>10</x:v>
      </x:c>
      <x:c r="K71" s="46" t="str">
        <x:v>RECONSTRUCTED_FROM_REPORT</x:v>
      </x:c>
    </x:row>
    <x:row r="72" ht="30" customHeight="1">
      <x:c r="A72" s="18" t="str">
        <x:v>FT-Q-V01-068</x:v>
      </x:c>
      <x:c r="B72" s="19" t="str">
        <x:v>2006–2007</x:v>
      </x:c>
      <x:c r="C72" s="31" t="str">
        <x:v>anthropogenic CO₂</x:v>
      </x:c>
      <x:c r="D72" s="31" t="str">
        <x:v>EXECUTABLE_CORPUS_ONLY</x:v>
      </x:c>
      <x:c r="E72" s="31" t="str">
        <x:v>NUMERIC_OR_SYMBOLIC</x:v>
      </x:c>
      <x:c r="F72" s="40" t="b">
        <x:v>0</x:v>
      </x:c>
      <x:c r="G72" s="31" t="str">
        <x:v>Degree/subscript notation is not queried as an isolated public-interface Ngram.</x:v>
      </x:c>
      <x:c r="H72" s="19" t="str">
        <x:v>CONTEXT_REQUIRED</x:v>
      </x:c>
      <x:c r="I72" s="19" t="str">
        <x:v>Fear of Temperature_ Stratified Lexical Expansion, Voice Mapping, and Semantic-Relational Pre-Valida.pdf</x:v>
      </x:c>
      <x:c r="J72" s="19" t="str">
        <x:v>10</x:v>
      </x:c>
      <x:c r="K72" s="46" t="str">
        <x:v>RECONSTRUCTED_FROM_REPORT</x:v>
      </x:c>
    </x:row>
    <x:row r="73" ht="30" customHeight="1">
      <x:c r="A73" s="18" t="str">
        <x:v>FT-Q-V01-069</x:v>
      </x:c>
      <x:c r="B73" s="19" t="str">
        <x:v>2006–2007</x:v>
      </x:c>
      <x:c r="C73" s="31" t="str">
        <x:v>anthropogenic GHG emissions</x:v>
      </x:c>
      <x:c r="D73" s="31" t="str">
        <x:v>EXECUTABLE_NGRAM</x:v>
      </x:c>
      <x:c r="E73" s="31" t="str">
        <x:v>COMPATIBLE</x:v>
      </x:c>
      <x:c r="F73" s="40" t="b">
        <x:v>1</x:v>
      </x:c>
      <x:c r="G73" s="31" t="str">
        <x:v>Compatible exact string/phrase for unsmoothed public Ngram retrieval (current interface supports up to seven words).</x:v>
      </x:c>
      <x:c r="H73" s="19" t="str">
        <x:v>CONTEXT_REQUIRED</x:v>
      </x:c>
      <x:c r="I73" s="19" t="str">
        <x:v>Fear of Temperature_ Stratified Lexical Expansion, Voice Mapping, and Semantic-Relational Pre-Valida.pdf</x:v>
      </x:c>
      <x:c r="J73" s="19" t="str">
        <x:v>10</x:v>
      </x:c>
      <x:c r="K73" s="46" t="str">
        <x:v>RECONSTRUCTED_FROM_REPORT</x:v>
      </x:c>
    </x:row>
    <x:row r="74" ht="30" customHeight="1">
      <x:c r="A74" s="18" t="str">
        <x:v>FT-Q-V01-070</x:v>
      </x:c>
      <x:c r="B74" s="19" t="str">
        <x:v>2006–2007</x:v>
      </x:c>
      <x:c r="C74" s="31" t="str">
        <x:v>climate change</x:v>
      </x:c>
      <x:c r="D74" s="31" t="str">
        <x:v>EXECUTABLE_NGRAM</x:v>
      </x:c>
      <x:c r="E74" s="31" t="str">
        <x:v>COMPATIBLE</x:v>
      </x:c>
      <x:c r="F74" s="40" t="b">
        <x:v>1</x:v>
      </x:c>
      <x:c r="G74" s="31" t="str">
        <x:v>Compatible exact string/phrase for unsmoothed public Ngram retrieval (current interface supports up to seven words).</x:v>
      </x:c>
      <x:c r="H74" s="19" t="str">
        <x:v>CLIMATE_SPECIFIC</x:v>
      </x:c>
      <x:c r="I74" s="19" t="str">
        <x:v>Fear of Temperature_ Stratified Lexical Expansion, Voice Mapping, and Semantic-Relational Pre-Valida.pdf</x:v>
      </x:c>
      <x:c r="J74" s="19" t="str">
        <x:v>10</x:v>
      </x:c>
      <x:c r="K74" s="46" t="str">
        <x:v>RECONSTRUCTED_FROM_REPORT</x:v>
      </x:c>
    </x:row>
    <x:row r="75" ht="30" customHeight="1">
      <x:c r="A75" s="18" t="str">
        <x:v>FT-Q-V01-071</x:v>
      </x:c>
      <x:c r="B75" s="19" t="str">
        <x:v>2006–2007</x:v>
      </x:c>
      <x:c r="C75" s="31" t="str">
        <x:v>global warming</x:v>
      </x:c>
      <x:c r="D75" s="31" t="str">
        <x:v>EXECUTABLE_NGRAM</x:v>
      </x:c>
      <x:c r="E75" s="31" t="str">
        <x:v>COMPATIBLE</x:v>
      </x:c>
      <x:c r="F75" s="40" t="b">
        <x:v>1</x:v>
      </x:c>
      <x:c r="G75" s="31" t="str">
        <x:v>Compatible exact string/phrase for unsmoothed public Ngram retrieval (current interface supports up to seven words).</x:v>
      </x:c>
      <x:c r="H75" s="19" t="str">
        <x:v>CLIMATE_SPECIFIC</x:v>
      </x:c>
      <x:c r="I75" s="19" t="str">
        <x:v>Fear of Temperature_ Stratified Lexical Expansion, Voice Mapping, and Semantic-Relational Pre-Valida.pdf</x:v>
      </x:c>
      <x:c r="J75" s="19" t="str">
        <x:v>10</x:v>
      </x:c>
      <x:c r="K75" s="46" t="str">
        <x:v>RECONSTRUCTED_FROM_REPORT</x:v>
      </x:c>
    </x:row>
    <x:row r="76" ht="30" customHeight="1">
      <x:c r="A76" s="18" t="str">
        <x:v>FT-Q-V01-072</x:v>
      </x:c>
      <x:c r="B76" s="19" t="str">
        <x:v>2006–2007</x:v>
      </x:c>
      <x:c r="C76" s="31" t="str">
        <x:v>serious global threat</x:v>
      </x:c>
      <x:c r="D76" s="31" t="str">
        <x:v>EXECUTABLE_NGRAM</x:v>
      </x:c>
      <x:c r="E76" s="31" t="str">
        <x:v>COMPATIBLE</x:v>
      </x:c>
      <x:c r="F76" s="40" t="b">
        <x:v>1</x:v>
      </x:c>
      <x:c r="G76" s="31" t="str">
        <x:v>Compatible exact string/phrase for unsmoothed public Ngram retrieval (current interface supports up to seven words).</x:v>
      </x:c>
      <x:c r="H76" s="19" t="str">
        <x:v>CONTEXT_REQUIRED</x:v>
      </x:c>
      <x:c r="I76" s="19" t="str">
        <x:v>Fear of Temperature_ Stratified Lexical Expansion, Voice Mapping, and Semantic-Relational Pre-Valida.pdf</x:v>
      </x:c>
      <x:c r="J76" s="19" t="str">
        <x:v>10</x:v>
      </x:c>
      <x:c r="K76" s="46" t="str">
        <x:v>RECONSTRUCTED_FROM_REPORT</x:v>
      </x:c>
    </x:row>
    <x:row r="77" ht="30" customHeight="1">
      <x:c r="A77" s="18" t="str">
        <x:v>FT-Q-V01-073</x:v>
      </x:c>
      <x:c r="B77" s="19" t="str">
        <x:v>2006–2007</x:v>
      </x:c>
      <x:c r="C77" s="31" t="str">
        <x:v>urgent global response</x:v>
      </x:c>
      <x:c r="D77" s="31" t="str">
        <x:v>EXECUTABLE_NGRAM</x:v>
      </x:c>
      <x:c r="E77" s="31" t="str">
        <x:v>COMPATIBLE</x:v>
      </x:c>
      <x:c r="F77" s="40" t="b">
        <x:v>1</x:v>
      </x:c>
      <x:c r="G77" s="31" t="str">
        <x:v>Compatible exact string/phrase for unsmoothed public Ngram retrieval (current interface supports up to seven words).</x:v>
      </x:c>
      <x:c r="H77" s="19" t="str">
        <x:v>CONTEXT_REQUIRED</x:v>
      </x:c>
      <x:c r="I77" s="19" t="str">
        <x:v>Fear of Temperature_ Stratified Lexical Expansion, Voice Mapping, and Semantic-Relational Pre-Valida.pdf</x:v>
      </x:c>
      <x:c r="J77" s="19" t="str">
        <x:v>10</x:v>
      </x:c>
      <x:c r="K77" s="46" t="str">
        <x:v>RECONSTRUCTED_FROM_REPORT</x:v>
      </x:c>
    </x:row>
    <x:row r="78" ht="30" customHeight="1">
      <x:c r="A78" s="18" t="str">
        <x:v>FT-Q-V01-074</x:v>
      </x:c>
      <x:c r="B78" s="19" t="str">
        <x:v>2006–2007</x:v>
      </x:c>
      <x:c r="C78" s="31" t="str">
        <x:v>costs and risks of climate change</x:v>
      </x:c>
      <x:c r="D78" s="31" t="str">
        <x:v>EXECUTABLE_NGRAM</x:v>
      </x:c>
      <x:c r="E78" s="31" t="str">
        <x:v>COMPATIBLE</x:v>
      </x:c>
      <x:c r="F78" s="40" t="b">
        <x:v>1</x:v>
      </x:c>
      <x:c r="G78" s="31" t="str">
        <x:v>Compatible exact string/phrase for unsmoothed public Ngram retrieval (current interface supports up to seven words).</x:v>
      </x:c>
      <x:c r="H78" s="19" t="str">
        <x:v>CONTEXT_REQUIRED</x:v>
      </x:c>
      <x:c r="I78" s="19" t="str">
        <x:v>Fear of Temperature_ Stratified Lexical Expansion, Voice Mapping, and Semantic-Relational Pre-Valida.pdf</x:v>
      </x:c>
      <x:c r="J78" s="19" t="str">
        <x:v>10</x:v>
      </x:c>
      <x:c r="K78" s="46" t="str">
        <x:v>RECONSTRUCTED_FROM_REPORT</x:v>
      </x:c>
    </x:row>
    <x:row r="79" ht="30" customHeight="1">
      <x:c r="A79" s="18" t="str">
        <x:v>FT-Q-V01-075</x:v>
      </x:c>
      <x:c r="B79" s="19" t="str">
        <x:v>2006–2007</x:v>
      </x:c>
      <x:c r="C79" s="31" t="str">
        <x:v>impacts of climate change</x:v>
      </x:c>
      <x:c r="D79" s="31" t="str">
        <x:v>EXECUTABLE_NGRAM</x:v>
      </x:c>
      <x:c r="E79" s="31" t="str">
        <x:v>COMPATIBLE</x:v>
      </x:c>
      <x:c r="F79" s="40" t="b">
        <x:v>1</x:v>
      </x:c>
      <x:c r="G79" s="31" t="str">
        <x:v>Compatible exact string/phrase for unsmoothed public Ngram retrieval (current interface supports up to seven words).</x:v>
      </x:c>
      <x:c r="H79" s="19" t="str">
        <x:v>CONTEXT_REQUIRED</x:v>
      </x:c>
      <x:c r="I79" s="19" t="str">
        <x:v>Fear of Temperature_ Stratified Lexical Expansion, Voice Mapping, and Semantic-Relational Pre-Valida.pdf</x:v>
      </x:c>
      <x:c r="J79" s="19" t="str">
        <x:v>10</x:v>
      </x:c>
      <x:c r="K79" s="46" t="str">
        <x:v>RECONSTRUCTED_FROM_REPORT</x:v>
      </x:c>
    </x:row>
    <x:row r="80" ht="30" customHeight="1">
      <x:c r="A80" s="18" t="str">
        <x:v>FT-Q-V01-076</x:v>
      </x:c>
      <x:c r="B80" s="19" t="str">
        <x:v>2006–2007</x:v>
      </x:c>
      <x:c r="C80" s="31" t="str">
        <x:v>damage</x:v>
      </x:c>
      <x:c r="D80" s="31" t="str">
        <x:v>BACKGROUND_AMBIGUOUS</x:v>
      </x:c>
      <x:c r="E80" s="31" t="str">
        <x:v>COMPATIBLE</x:v>
      </x:c>
      <x:c r="F80" s="40" t="b">
        <x:v>1</x:v>
      </x:c>
      <x:c r="G80" s="31" t="str">
        <x:v>Compatible exact string/phrase for unsmoothed public Ngram retrieval (current interface supports up to seven words).</x:v>
      </x:c>
      <x:c r="H80" s="19" t="str">
        <x:v>BACKGROUND_AMBIGUOUS</x:v>
      </x:c>
      <x:c r="I80" s="19" t="str">
        <x:v>Fear of Temperature_ Stratified Lexical Expansion, Voice Mapping, and Semantic-Relational Pre-Valida.pdf</x:v>
      </x:c>
      <x:c r="J80" s="19" t="str">
        <x:v>10</x:v>
      </x:c>
      <x:c r="K80" s="46" t="str">
        <x:v>RECONSTRUCTED_FROM_REPORT</x:v>
      </x:c>
    </x:row>
    <x:row r="81" ht="30" customHeight="1">
      <x:c r="A81" s="18" t="str">
        <x:v>FT-Q-V01-077</x:v>
      </x:c>
      <x:c r="B81" s="19" t="str">
        <x:v>2006–2007</x:v>
      </x:c>
      <x:c r="C81" s="31" t="str">
        <x:v>hunger</x:v>
      </x:c>
      <x:c r="D81" s="31" t="str">
        <x:v>EXECUTABLE_NGRAM</x:v>
      </x:c>
      <x:c r="E81" s="31" t="str">
        <x:v>COMPATIBLE</x:v>
      </x:c>
      <x:c r="F81" s="40" t="b">
        <x:v>1</x:v>
      </x:c>
      <x:c r="G81" s="31" t="str">
        <x:v>Compatible exact string/phrase for unsmoothed public Ngram retrieval (current interface supports up to seven words).</x:v>
      </x:c>
      <x:c r="H81" s="19" t="str">
        <x:v>CONTEXT_REQUIRED</x:v>
      </x:c>
      <x:c r="I81" s="19" t="str">
        <x:v>Fear of Temperature_ Stratified Lexical Expansion, Voice Mapping, and Semantic-Relational Pre-Valida.pdf</x:v>
      </x:c>
      <x:c r="J81" s="19" t="str">
        <x:v>10</x:v>
      </x:c>
      <x:c r="K81" s="46" t="str">
        <x:v>RECONSTRUCTED_FROM_REPORT</x:v>
      </x:c>
    </x:row>
    <x:row r="82" ht="30" customHeight="1">
      <x:c r="A82" s="18" t="str">
        <x:v>FT-Q-V01-078</x:v>
      </x:c>
      <x:c r="B82" s="19" t="str">
        <x:v>2006–2007</x:v>
      </x:c>
      <x:c r="C82" s="31" t="str">
        <x:v>water shortages</x:v>
      </x:c>
      <x:c r="D82" s="31" t="str">
        <x:v>EXECUTABLE_NGRAM</x:v>
      </x:c>
      <x:c r="E82" s="31" t="str">
        <x:v>COMPATIBLE</x:v>
      </x:c>
      <x:c r="F82" s="40" t="b">
        <x:v>1</x:v>
      </x:c>
      <x:c r="G82" s="31" t="str">
        <x:v>Compatible exact string/phrase for unsmoothed public Ngram retrieval (current interface supports up to seven words).</x:v>
      </x:c>
      <x:c r="H82" s="19" t="str">
        <x:v>CONTEXT_REQUIRED</x:v>
      </x:c>
      <x:c r="I82" s="19" t="str">
        <x:v>Fear of Temperature_ Stratified Lexical Expansion, Voice Mapping, and Semantic-Relational Pre-Valida.pdf</x:v>
      </x:c>
      <x:c r="J82" s="19" t="str">
        <x:v>10</x:v>
      </x:c>
      <x:c r="K82" s="46" t="str">
        <x:v>RECONSTRUCTED_FROM_REPORT</x:v>
      </x:c>
    </x:row>
    <x:row r="83" ht="30" customHeight="1">
      <x:c r="A83" s="18" t="str">
        <x:v>FT-Q-V01-079</x:v>
      </x:c>
      <x:c r="B83" s="19" t="str">
        <x:v>2006–2007</x:v>
      </x:c>
      <x:c r="C83" s="31" t="str">
        <x:v>coastal flooding</x:v>
      </x:c>
      <x:c r="D83" s="31" t="str">
        <x:v>EXECUTABLE_NGRAM</x:v>
      </x:c>
      <x:c r="E83" s="31" t="str">
        <x:v>COMPATIBLE</x:v>
      </x:c>
      <x:c r="F83" s="40" t="b">
        <x:v>1</x:v>
      </x:c>
      <x:c r="G83" s="31" t="str">
        <x:v>Compatible exact string/phrase for unsmoothed public Ngram retrieval (current interface supports up to seven words).</x:v>
      </x:c>
      <x:c r="H83" s="19" t="str">
        <x:v>CONTEXT_REQUIRED</x:v>
      </x:c>
      <x:c r="I83" s="19" t="str">
        <x:v>Fear of Temperature_ Stratified Lexical Expansion, Voice Mapping, and Semantic-Relational Pre-Valida.pdf</x:v>
      </x:c>
      <x:c r="J83" s="19" t="str">
        <x:v>10</x:v>
      </x:c>
      <x:c r="K83" s="46" t="str">
        <x:v>RECONSTRUCTED_FROM_REPORT</x:v>
      </x:c>
    </x:row>
    <x:row r="84" ht="30" customHeight="1">
      <x:c r="A84" s="18" t="str">
        <x:v>FT-Q-V01-080</x:v>
      </x:c>
      <x:c r="B84" s="19" t="str">
        <x:v>2006–2007</x:v>
      </x:c>
      <x:c r="C84" s="31" t="str">
        <x:v>worst impacts</x:v>
      </x:c>
      <x:c r="D84" s="31" t="str">
        <x:v>EXECUTABLE_NGRAM</x:v>
      </x:c>
      <x:c r="E84" s="31" t="str">
        <x:v>COMPATIBLE</x:v>
      </x:c>
      <x:c r="F84" s="40" t="b">
        <x:v>1</x:v>
      </x:c>
      <x:c r="G84" s="31" t="str">
        <x:v>Compatible exact string/phrase for unsmoothed public Ngram retrieval (current interface supports up to seven words).</x:v>
      </x:c>
      <x:c r="H84" s="19" t="str">
        <x:v>CONTEXT_REQUIRED</x:v>
      </x:c>
      <x:c r="I84" s="19" t="str">
        <x:v>Fear of Temperature_ Stratified Lexical Expansion, Voice Mapping, and Semantic-Relational Pre-Valida.pdf</x:v>
      </x:c>
      <x:c r="J84" s="19" t="str">
        <x:v>10</x:v>
      </x:c>
      <x:c r="K84" s="46" t="str">
        <x:v>RECONSTRUCTED_FROM_REPORT</x:v>
      </x:c>
    </x:row>
    <x:row r="85" ht="30" customHeight="1">
      <x:c r="A85" s="18" t="str">
        <x:v>FT-Q-V01-081</x:v>
      </x:c>
      <x:c r="B85" s="19" t="str">
        <x:v>2015</x:v>
      </x:c>
      <x:c r="C85" s="31" t="str">
        <x:v>climate change</x:v>
      </x:c>
      <x:c r="D85" s="31" t="str">
        <x:v>EXECUTABLE_NGRAM</x:v>
      </x:c>
      <x:c r="E85" s="31" t="str">
        <x:v>COMPATIBLE</x:v>
      </x:c>
      <x:c r="F85" s="40" t="b">
        <x:v>1</x:v>
      </x:c>
      <x:c r="G85" s="31" t="str">
        <x:v>Compatible exact string/phrase for unsmoothed public Ngram retrieval (current interface supports up to seven words).</x:v>
      </x:c>
      <x:c r="H85" s="19" t="str">
        <x:v>CLIMATE_SPECIFIC</x:v>
      </x:c>
      <x:c r="I85" s="19" t="str">
        <x:v>Fear of Temperature_ Stratified Lexical Expansion, Voice Mapping, and Semantic-Relational Pre-Valida.pdf</x:v>
      </x:c>
      <x:c r="J85" s="19" t="str">
        <x:v>11</x:v>
      </x:c>
      <x:c r="K85" s="46" t="str">
        <x:v>RECONSTRUCTED_FROM_REPORT</x:v>
      </x:c>
    </x:row>
    <x:row r="86" ht="30" customHeight="1">
      <x:c r="A86" s="18" t="str">
        <x:v>FT-Q-V01-082</x:v>
      </x:c>
      <x:c r="B86" s="19" t="str">
        <x:v>2015</x:v>
      </x:c>
      <x:c r="C86" s="31" t="str">
        <x:v>threat of climate change</x:v>
      </x:c>
      <x:c r="D86" s="31" t="str">
        <x:v>EXECUTABLE_NGRAM</x:v>
      </x:c>
      <x:c r="E86" s="31" t="str">
        <x:v>COMPATIBLE</x:v>
      </x:c>
      <x:c r="F86" s="40" t="b">
        <x:v>1</x:v>
      </x:c>
      <x:c r="G86" s="31" t="str">
        <x:v>Compatible exact string/phrase for unsmoothed public Ngram retrieval (current interface supports up to seven words).</x:v>
      </x:c>
      <x:c r="H86" s="19" t="str">
        <x:v>CONTEXT_REQUIRED</x:v>
      </x:c>
      <x:c r="I86" s="19" t="str">
        <x:v>Fear of Temperature_ Stratified Lexical Expansion, Voice Mapping, and Semantic-Relational Pre-Valida.pdf</x:v>
      </x:c>
      <x:c r="J86" s="19" t="str">
        <x:v>11</x:v>
      </x:c>
      <x:c r="K86" s="46" t="str">
        <x:v>RECONSTRUCTED_FROM_REPORT</x:v>
      </x:c>
    </x:row>
    <x:row r="87" ht="30" customHeight="1">
      <x:c r="A87" s="18" t="str">
        <x:v>FT-Q-V01-083</x:v>
      </x:c>
      <x:c r="B87" s="19" t="str">
        <x:v>2015</x:v>
      </x:c>
      <x:c r="C87" s="31" t="str">
        <x:v>global average temperature</x:v>
      </x:c>
      <x:c r="D87" s="31" t="str">
        <x:v>EXECUTABLE_NGRAM</x:v>
      </x:c>
      <x:c r="E87" s="31" t="str">
        <x:v>COMPATIBLE</x:v>
      </x:c>
      <x:c r="F87" s="40" t="b">
        <x:v>1</x:v>
      </x:c>
      <x:c r="G87" s="31" t="str">
        <x:v>Compatible exact string/phrase for unsmoothed public Ngram retrieval (current interface supports up to seven words).</x:v>
      </x:c>
      <x:c r="H87" s="19" t="str">
        <x:v>CLIMATE_SPECIFIC</x:v>
      </x:c>
      <x:c r="I87" s="19" t="str">
        <x:v>Fear of Temperature_ Stratified Lexical Expansion, Voice Mapping, and Semantic-Relational Pre-Valida.pdf</x:v>
      </x:c>
      <x:c r="J87" s="19" t="str">
        <x:v>11</x:v>
      </x:c>
      <x:c r="K87" s="46" t="str">
        <x:v>RECONSTRUCTED_FROM_REPORT</x:v>
      </x:c>
    </x:row>
    <x:row r="88" ht="30" customHeight="1">
      <x:c r="A88" s="18" t="str">
        <x:v>FT-Q-V01-084</x:v>
      </x:c>
      <x:c r="B88" s="19" t="str">
        <x:v>2015</x:v>
      </x:c>
      <x:c r="C88" s="31" t="str">
        <x:v>well below 2°C above pre-industrial levels</x:v>
      </x:c>
      <x:c r="D88" s="31" t="str">
        <x:v>EXECUTABLE_CORPUS_ONLY</x:v>
      </x:c>
      <x:c r="E88" s="31" t="str">
        <x:v>NUMERIC_OR_SYMBOLIC</x:v>
      </x:c>
      <x:c r="F88" s="40" t="b">
        <x:v>0</x:v>
      </x:c>
      <x:c r="G88" s="31" t="str">
        <x:v>Degree/subscript notation is not queried as an isolated public-interface Ngram.</x:v>
      </x:c>
      <x:c r="H88" s="19" t="str">
        <x:v>CONTEXT_REQUIRED</x:v>
      </x:c>
      <x:c r="I88" s="19" t="str">
        <x:v>Fear of Temperature_ Stratified Lexical Expansion, Voice Mapping, and Semantic-Relational Pre-Valida.pdf</x:v>
      </x:c>
      <x:c r="J88" s="19" t="str">
        <x:v>11</x:v>
      </x:c>
      <x:c r="K88" s="46" t="str">
        <x:v>RECONSTRUCTED_FROM_REPORT</x:v>
      </x:c>
    </x:row>
    <x:row r="89" ht="30" customHeight="1">
      <x:c r="A89" s="18" t="str">
        <x:v>FT-Q-V01-085</x:v>
      </x:c>
      <x:c r="B89" s="19" t="str">
        <x:v>2015</x:v>
      </x:c>
      <x:c r="C89" s="31" t="str">
        <x:v>1.5°C above pre-industrial levels</x:v>
      </x:c>
      <x:c r="D89" s="31" t="str">
        <x:v>EXECUTABLE_CORPUS_ONLY</x:v>
      </x:c>
      <x:c r="E89" s="31" t="str">
        <x:v>NUMERIC_OR_SYMBOLIC</x:v>
      </x:c>
      <x:c r="F89" s="40" t="b">
        <x:v>0</x:v>
      </x:c>
      <x:c r="G89" s="31" t="str">
        <x:v>Degree/subscript notation is not queried as an isolated public-interface Ngram.</x:v>
      </x:c>
      <x:c r="H89" s="19" t="str">
        <x:v>CONTEXT_REQUIRED</x:v>
      </x:c>
      <x:c r="I89" s="19" t="str">
        <x:v>Fear of Temperature_ Stratified Lexical Expansion, Voice Mapping, and Semantic-Relational Pre-Valida.pdf</x:v>
      </x:c>
      <x:c r="J89" s="19" t="str">
        <x:v>11</x:v>
      </x:c>
      <x:c r="K89" s="46" t="str">
        <x:v>RECONSTRUCTED_FROM_REPORT</x:v>
      </x:c>
    </x:row>
    <x:row r="90" ht="30" customHeight="1">
      <x:c r="A90" s="18" t="str">
        <x:v>FT-Q-V01-086</x:v>
      </x:c>
      <x:c r="B90" s="19" t="str">
        <x:v>2015</x:v>
      </x:c>
      <x:c r="C90" s="31" t="str">
        <x:v>pre-industrial levels</x:v>
      </x:c>
      <x:c r="D90" s="31" t="str">
        <x:v>EXECUTABLE_NGRAM</x:v>
      </x:c>
      <x:c r="E90" s="31" t="str">
        <x:v>COMPATIBLE</x:v>
      </x:c>
      <x:c r="F90" s="40" t="b">
        <x:v>1</x:v>
      </x:c>
      <x:c r="G90" s="31" t="str">
        <x:v>Compatible exact string/phrase for unsmoothed public Ngram retrieval (current interface supports up to seven words).</x:v>
      </x:c>
      <x:c r="H90" s="19" t="str">
        <x:v>CONTEXT_REQUIRED</x:v>
      </x:c>
      <x:c r="I90" s="19" t="str">
        <x:v>Fear of Temperature_ Stratified Lexical Expansion, Voice Mapping, and Semantic-Relational Pre-Valida.pdf</x:v>
      </x:c>
      <x:c r="J90" s="19" t="str">
        <x:v>11</x:v>
      </x:c>
      <x:c r="K90" s="46" t="str">
        <x:v>RECONSTRUCTED_FROM_REPORT</x:v>
      </x:c>
    </x:row>
    <x:row r="91" ht="30" customHeight="1">
      <x:c r="A91" s="18" t="str">
        <x:v>FT-Q-V01-087</x:v>
      </x:c>
      <x:c r="B91" s="19" t="str">
        <x:v>2015</x:v>
      </x:c>
      <x:c r="C91" s="31" t="str">
        <x:v>risks and impacts</x:v>
      </x:c>
      <x:c r="D91" s="31" t="str">
        <x:v>EXECUTABLE_NGRAM</x:v>
      </x:c>
      <x:c r="E91" s="31" t="str">
        <x:v>COMPATIBLE</x:v>
      </x:c>
      <x:c r="F91" s="40" t="b">
        <x:v>1</x:v>
      </x:c>
      <x:c r="G91" s="31" t="str">
        <x:v>Compatible exact string/phrase for unsmoothed public Ngram retrieval (current interface supports up to seven words).</x:v>
      </x:c>
      <x:c r="H91" s="19" t="str">
        <x:v>CONTEXT_REQUIRED</x:v>
      </x:c>
      <x:c r="I91" s="19" t="str">
        <x:v>Fear of Temperature_ Stratified Lexical Expansion, Voice Mapping, and Semantic-Relational Pre-Valida.pdf</x:v>
      </x:c>
      <x:c r="J91" s="19" t="str">
        <x:v>11</x:v>
      </x:c>
      <x:c r="K91" s="46" t="str">
        <x:v>RECONSTRUCTED_FROM_REPORT</x:v>
      </x:c>
    </x:row>
    <x:row r="92" ht="30" customHeight="1">
      <x:c r="A92" s="18" t="str">
        <x:v>FT-Q-V01-088</x:v>
      </x:c>
      <x:c r="B92" s="19" t="str">
        <x:v>2015</x:v>
      </x:c>
      <x:c r="C92" s="31" t="str">
        <x:v>adverse impacts</x:v>
      </x:c>
      <x:c r="D92" s="31" t="str">
        <x:v>EXECUTABLE_NGRAM</x:v>
      </x:c>
      <x:c r="E92" s="31" t="str">
        <x:v>COMPATIBLE</x:v>
      </x:c>
      <x:c r="F92" s="40" t="b">
        <x:v>1</x:v>
      </x:c>
      <x:c r="G92" s="31" t="str">
        <x:v>Compatible exact string/phrase for unsmoothed public Ngram retrieval (current interface supports up to seven words).</x:v>
      </x:c>
      <x:c r="H92" s="19" t="str">
        <x:v>CONTEXT_REQUIRED</x:v>
      </x:c>
      <x:c r="I92" s="19" t="str">
        <x:v>Fear of Temperature_ Stratified Lexical Expansion, Voice Mapping, and Semantic-Relational Pre-Valida.pdf</x:v>
      </x:c>
      <x:c r="J92" s="19" t="str">
        <x:v>11</x:v>
      </x:c>
      <x:c r="K92" s="46" t="str">
        <x:v>RECONSTRUCTED_FROM_REPORT</x:v>
      </x:c>
    </x:row>
    <x:row r="93" ht="30" customHeight="1">
      <x:c r="A93" s="18" t="str">
        <x:v>FT-Q-V01-089</x:v>
      </x:c>
      <x:c r="B93" s="19" t="str">
        <x:v>2015</x:v>
      </x:c>
      <x:c r="C93" s="31" t="str">
        <x:v>adverse effects of climate change</x:v>
      </x:c>
      <x:c r="D93" s="31" t="str">
        <x:v>EXECUTABLE_NGRAM</x:v>
      </x:c>
      <x:c r="E93" s="31" t="str">
        <x:v>COMPATIBLE</x:v>
      </x:c>
      <x:c r="F93" s="40" t="b">
        <x:v>1</x:v>
      </x:c>
      <x:c r="G93" s="31" t="str">
        <x:v>Compatible exact string/phrase for unsmoothed public Ngram retrieval (current interface supports up to seven words).</x:v>
      </x:c>
      <x:c r="H93" s="19" t="str">
        <x:v>CONTEXT_REQUIRED</x:v>
      </x:c>
      <x:c r="I93" s="19" t="str">
        <x:v>Fear of Temperature_ Stratified Lexical Expansion, Voice Mapping, and Semantic-Relational Pre-Valida.pdf</x:v>
      </x:c>
      <x:c r="J93" s="19" t="str">
        <x:v>11</x:v>
      </x:c>
      <x:c r="K93" s="46" t="str">
        <x:v>RECONSTRUCTED_FROM_REPORT</x:v>
      </x:c>
    </x:row>
    <x:row r="94" ht="30" customHeight="1">
      <x:c r="A94" s="18" t="str">
        <x:v>FT-Q-V01-090</x:v>
      </x:c>
      <x:c r="B94" s="19" t="str">
        <x:v>2015</x:v>
      </x:c>
      <x:c r="C94" s="31" t="str">
        <x:v>greenhouse gas emissions</x:v>
      </x:c>
      <x:c r="D94" s="31" t="str">
        <x:v>EXECUTABLE_NGRAM</x:v>
      </x:c>
      <x:c r="E94" s="31" t="str">
        <x:v>COMPATIBLE</x:v>
      </x:c>
      <x:c r="F94" s="40" t="b">
        <x:v>1</x:v>
      </x:c>
      <x:c r="G94" s="31" t="str">
        <x:v>Compatible exact string/phrase for unsmoothed public Ngram retrieval (current interface supports up to seven words).</x:v>
      </x:c>
      <x:c r="H94" s="19" t="str">
        <x:v>CONTEXT_REQUIRED</x:v>
      </x:c>
      <x:c r="I94" s="19" t="str">
        <x:v>Fear of Temperature_ Stratified Lexical Expansion, Voice Mapping, and Semantic-Relational Pre-Valida.pdf</x:v>
      </x:c>
      <x:c r="J94" s="19" t="str">
        <x:v>11</x:v>
      </x:c>
      <x:c r="K94" s="46" t="str">
        <x:v>RECONSTRUCTED_FROM_REPORT</x:v>
      </x:c>
    </x:row>
    <x:row r="95" ht="30" customHeight="1">
      <x:c r="A95" s="18" t="str">
        <x:v>FT-Q-V01-091</x:v>
      </x:c>
      <x:c r="B95" s="19" t="str">
        <x:v>2015</x:v>
      </x:c>
      <x:c r="C95" s="31" t="str">
        <x:v>climate resilience</x:v>
      </x:c>
      <x:c r="D95" s="31" t="str">
        <x:v>EXECUTABLE_NGRAM</x:v>
      </x:c>
      <x:c r="E95" s="31" t="str">
        <x:v>COMPATIBLE</x:v>
      </x:c>
      <x:c r="F95" s="40" t="b">
        <x:v>1</x:v>
      </x:c>
      <x:c r="G95" s="31" t="str">
        <x:v>Compatible exact string/phrase for unsmoothed public Ngram retrieval (current interface supports up to seven words).</x:v>
      </x:c>
      <x:c r="H95" s="19" t="str">
        <x:v>CONTEXT_REQUIRED</x:v>
      </x:c>
      <x:c r="I95" s="19" t="str">
        <x:v>Fear of Temperature_ Stratified Lexical Expansion, Voice Mapping, and Semantic-Relational Pre-Valida.pdf</x:v>
      </x:c>
      <x:c r="J95" s="19" t="str">
        <x:v>11</x:v>
      </x:c>
      <x:c r="K95" s="46" t="str">
        <x:v>RECONSTRUCTED_FROM_REPORT</x:v>
      </x:c>
    </x:row>
    <x:row r="96" ht="30" customHeight="1">
      <x:c r="A96" s="18" t="str">
        <x:v>FT-Q-V01-092</x:v>
      </x:c>
      <x:c r="B96" s="19" t="str">
        <x:v>2015</x:v>
      </x:c>
      <x:c r="C96" s="31" t="str">
        <x:v>vulnerability</x:v>
      </x:c>
      <x:c r="D96" s="31" t="str">
        <x:v>EXECUTABLE_NGRAM</x:v>
      </x:c>
      <x:c r="E96" s="31" t="str">
        <x:v>COMPATIBLE</x:v>
      </x:c>
      <x:c r="F96" s="40" t="b">
        <x:v>1</x:v>
      </x:c>
      <x:c r="G96" s="31" t="str">
        <x:v>Compatible exact string/phrase for unsmoothed public Ngram retrieval (current interface supports up to seven words).</x:v>
      </x:c>
      <x:c r="H96" s="19" t="str">
        <x:v>CONTEXT_REQUIRED</x:v>
      </x:c>
      <x:c r="I96" s="19" t="str">
        <x:v>Fear of Temperature_ Stratified Lexical Expansion, Voice Mapping, and Semantic-Relational Pre-Valida.pdf</x:v>
      </x:c>
      <x:c r="J96" s="19" t="str">
        <x:v>11</x:v>
      </x:c>
      <x:c r="K96" s="46" t="str">
        <x:v>RECONSTRUCTED_FROM_REPORT</x:v>
      </x:c>
    </x:row>
    <x:row r="97" ht="30" customHeight="1">
      <x:c r="A97" s="18" t="str">
        <x:v>FT-Q-V01-093</x:v>
      </x:c>
      <x:c r="B97" s="19" t="str">
        <x:v>2015</x:v>
      </x:c>
      <x:c r="C97" s="31" t="str">
        <x:v>vulnerable groups</x:v>
      </x:c>
      <x:c r="D97" s="31" t="str">
        <x:v>EXECUTABLE_NGRAM</x:v>
      </x:c>
      <x:c r="E97" s="31" t="str">
        <x:v>COMPATIBLE</x:v>
      </x:c>
      <x:c r="F97" s="40" t="b">
        <x:v>1</x:v>
      </x:c>
      <x:c r="G97" s="31" t="str">
        <x:v>Compatible exact string/phrase for unsmoothed public Ngram retrieval (current interface supports up to seven words).</x:v>
      </x:c>
      <x:c r="H97" s="19" t="str">
        <x:v>CONTEXT_REQUIRED</x:v>
      </x:c>
      <x:c r="I97" s="19" t="str">
        <x:v>Fear of Temperature_ Stratified Lexical Expansion, Voice Mapping, and Semantic-Relational Pre-Valida.pdf</x:v>
      </x:c>
      <x:c r="J97" s="19" t="str">
        <x:v>11</x:v>
      </x:c>
      <x:c r="K97" s="46" t="str">
        <x:v>RECONSTRUCTED_FROM_REPORT</x:v>
      </x:c>
    </x:row>
    <x:row r="98" ht="30" customHeight="1">
      <x:c r="A98" s="18" t="str">
        <x:v>FT-Q-V01-094</x:v>
      </x:c>
      <x:c r="B98" s="19" t="str">
        <x:v>2015</x:v>
      </x:c>
      <x:c r="C98" s="31" t="str">
        <x:v>loss and damage</x:v>
      </x:c>
      <x:c r="D98" s="31" t="str">
        <x:v>EXECUTABLE_NGRAM</x:v>
      </x:c>
      <x:c r="E98" s="31" t="str">
        <x:v>COMPATIBLE</x:v>
      </x:c>
      <x:c r="F98" s="40" t="b">
        <x:v>1</x:v>
      </x:c>
      <x:c r="G98" s="31" t="str">
        <x:v>Compatible exact string/phrase for unsmoothed public Ngram retrieval (current interface supports up to seven words).</x:v>
      </x:c>
      <x:c r="H98" s="19" t="str">
        <x:v>CLIMATE_SPECIFIC</x:v>
      </x:c>
      <x:c r="I98" s="19" t="str">
        <x:v>Fear of Temperature_ Stratified Lexical Expansion, Voice Mapping, and Semantic-Relational Pre-Valida.pdf</x:v>
      </x:c>
      <x:c r="J98" s="19" t="str">
        <x:v>11</x:v>
      </x:c>
      <x:c r="K98" s="46" t="str">
        <x:v>RECONSTRUCTED_FROM_REPORT</x:v>
      </x:c>
    </x:row>
    <x:row r="99" ht="30" customHeight="1">
      <x:c r="A99" s="18" t="str">
        <x:v>FT-Q-V01-095</x:v>
      </x:c>
      <x:c r="B99" s="19" t="str">
        <x:v>2015</x:v>
      </x:c>
      <x:c r="C99" s="31" t="str">
        <x:v>extreme weather events</x:v>
      </x:c>
      <x:c r="D99" s="31" t="str">
        <x:v>EXECUTABLE_NGRAM</x:v>
      </x:c>
      <x:c r="E99" s="31" t="str">
        <x:v>COMPATIBLE</x:v>
      </x:c>
      <x:c r="F99" s="40" t="b">
        <x:v>1</x:v>
      </x:c>
      <x:c r="G99" s="31" t="str">
        <x:v>Compatible exact string/phrase for unsmoothed public Ngram retrieval (current interface supports up to seven words).</x:v>
      </x:c>
      <x:c r="H99" s="19" t="str">
        <x:v>CONTEXT_REQUIRED</x:v>
      </x:c>
      <x:c r="I99" s="19" t="str">
        <x:v>Fear of Temperature_ Stratified Lexical Expansion, Voice Mapping, and Semantic-Relational Pre-Valida.pdf</x:v>
      </x:c>
      <x:c r="J99" s="19" t="str">
        <x:v>11</x:v>
      </x:c>
      <x:c r="K99" s="46" t="str">
        <x:v>RECONSTRUCTED_FROM_REPORT</x:v>
      </x:c>
    </x:row>
    <x:row r="100" ht="30" customHeight="1">
      <x:c r="A100" s="18" t="str">
        <x:v>FT-Q-V01-096</x:v>
      </x:c>
      <x:c r="B100" s="19" t="str">
        <x:v>2015</x:v>
      </x:c>
      <x:c r="C100" s="31" t="str">
        <x:v>slow onset events</x:v>
      </x:c>
      <x:c r="D100" s="31" t="str">
        <x:v>EXECUTABLE_NGRAM</x:v>
      </x:c>
      <x:c r="E100" s="31" t="str">
        <x:v>COMPATIBLE</x:v>
      </x:c>
      <x:c r="F100" s="40" t="b">
        <x:v>1</x:v>
      </x:c>
      <x:c r="G100" s="31" t="str">
        <x:v>Compatible exact string/phrase for unsmoothed public Ngram retrieval (current interface supports up to seven words).</x:v>
      </x:c>
      <x:c r="H100" s="19" t="str">
        <x:v>CONTEXT_REQUIRED</x:v>
      </x:c>
      <x:c r="I100" s="19" t="str">
        <x:v>Fear of Temperature_ Stratified Lexical Expansion, Voice Mapping, and Semantic-Relational Pre-Valida.pdf</x:v>
      </x:c>
      <x:c r="J100" s="19" t="str">
        <x:v>11</x:v>
      </x:c>
      <x:c r="K100" s="46" t="str">
        <x:v>RECONSTRUCTED_FROM_REPORT</x:v>
      </x:c>
    </x:row>
    <x:row r="101" ht="30" customHeight="1">
      <x:c r="A101" s="18" t="str">
        <x:v>FT-Q-V01-097</x:v>
      </x:c>
      <x:c r="B101" s="19" t="str">
        <x:v>2015</x:v>
      </x:c>
      <x:c r="C101" s="31" t="str">
        <x:v>risk of loss and damage</x:v>
      </x:c>
      <x:c r="D101" s="31" t="str">
        <x:v>EXECUTABLE_NGRAM</x:v>
      </x:c>
      <x:c r="E101" s="31" t="str">
        <x:v>COMPATIBLE</x:v>
      </x:c>
      <x:c r="F101" s="40" t="b">
        <x:v>1</x:v>
      </x:c>
      <x:c r="G101" s="31" t="str">
        <x:v>Compatible exact string/phrase for unsmoothed public Ngram retrieval (current interface supports up to seven words).</x:v>
      </x:c>
      <x:c r="H101" s="19" t="str">
        <x:v>CONTEXT_REQUIRED</x:v>
      </x:c>
      <x:c r="I101" s="19" t="str">
        <x:v>Fear of Temperature_ Stratified Lexical Expansion, Voice Mapping, and Semantic-Relational Pre-Valida.pdf</x:v>
      </x:c>
      <x:c r="J101" s="19" t="str">
        <x:v>11</x:v>
      </x:c>
      <x:c r="K101" s="46" t="str">
        <x:v>RECONSTRUCTED_FROM_REPORT</x:v>
      </x:c>
    </x:row>
    <x:row r="102" ht="30" customHeight="1">
      <x:c r="A102" s="18" t="str">
        <x:v>FT-Q-V01-098</x:v>
      </x:c>
      <x:c r="B102" s="19" t="str">
        <x:v>2015</x:v>
      </x:c>
      <x:c r="C102" s="31" t="str">
        <x:v>early warning systems</x:v>
      </x:c>
      <x:c r="D102" s="31" t="str">
        <x:v>EXECUTABLE_NGRAM</x:v>
      </x:c>
      <x:c r="E102" s="31" t="str">
        <x:v>COMPATIBLE</x:v>
      </x:c>
      <x:c r="F102" s="40" t="b">
        <x:v>1</x:v>
      </x:c>
      <x:c r="G102" s="31" t="str">
        <x:v>Compatible exact string/phrase for unsmoothed public Ngram retrieval (current interface supports up to seven words).</x:v>
      </x:c>
      <x:c r="H102" s="19" t="str">
        <x:v>CONTEXT_REQUIRED</x:v>
      </x:c>
      <x:c r="I102" s="19" t="str">
        <x:v>Fear of Temperature_ Stratified Lexical Expansion, Voice Mapping, and Semantic-Relational Pre-Valida.pdf</x:v>
      </x:c>
      <x:c r="J102" s="19" t="str">
        <x:v>11</x:v>
      </x:c>
      <x:c r="K102" s="46" t="str">
        <x:v>RECONSTRUCTED_FROM_REPORT</x:v>
      </x:c>
    </x:row>
    <x:row r="103" ht="30" customHeight="1">
      <x:c r="A103" s="18" t="str">
        <x:v>FT-Q-V01-099</x:v>
      </x:c>
      <x:c r="B103" s="19" t="str">
        <x:v>2015</x:v>
      </x:c>
      <x:c r="C103" s="31" t="str">
        <x:v>emergency preparedness</x:v>
      </x:c>
      <x:c r="D103" s="31" t="str">
        <x:v>EXECUTABLE_NGRAM</x:v>
      </x:c>
      <x:c r="E103" s="31" t="str">
        <x:v>COMPATIBLE</x:v>
      </x:c>
      <x:c r="F103" s="40" t="b">
        <x:v>1</x:v>
      </x:c>
      <x:c r="G103" s="31" t="str">
        <x:v>Compatible exact string/phrase for unsmoothed public Ngram retrieval (current interface supports up to seven words).</x:v>
      </x:c>
      <x:c r="H103" s="19" t="str">
        <x:v>CONTEXT_REQUIRED</x:v>
      </x:c>
      <x:c r="I103" s="19" t="str">
        <x:v>Fear of Temperature_ Stratified Lexical Expansion, Voice Mapping, and Semantic-Relational Pre-Valida.pdf</x:v>
      </x:c>
      <x:c r="J103" s="19" t="str">
        <x:v>11</x:v>
      </x:c>
      <x:c r="K103" s="46" t="str">
        <x:v>RECONSTRUCTED_FROM_REPORT</x:v>
      </x:c>
    </x:row>
    <x:row r="104" ht="30" customHeight="1">
      <x:c r="A104" s="18" t="str">
        <x:v>FT-Q-V01-100</x:v>
      </x:c>
      <x:c r="B104" s="19" t="str">
        <x:v>2015</x:v>
      </x:c>
      <x:c r="C104" s="31" t="str">
        <x:v>irreversible and permanent loss and damage</x:v>
      </x:c>
      <x:c r="D104" s="31" t="str">
        <x:v>EXECUTABLE_NGRAM</x:v>
      </x:c>
      <x:c r="E104" s="31" t="str">
        <x:v>COMPATIBLE</x:v>
      </x:c>
      <x:c r="F104" s="40" t="b">
        <x:v>1</x:v>
      </x:c>
      <x:c r="G104" s="31" t="str">
        <x:v>Compatible exact string/phrase for unsmoothed public Ngram retrieval (current interface supports up to seven words).</x:v>
      </x:c>
      <x:c r="H104" s="19" t="str">
        <x:v>CONTEXT_REQUIRED</x:v>
      </x:c>
      <x:c r="I104" s="19" t="str">
        <x:v>Fear of Temperature_ Stratified Lexical Expansion, Voice Mapping, and Semantic-Relational Pre-Valida.pdf</x:v>
      </x:c>
      <x:c r="J104" s="19" t="str">
        <x:v>11</x:v>
      </x:c>
      <x:c r="K104" s="46" t="str">
        <x:v>RECONSTRUCTED_FROM_REPORT</x:v>
      </x:c>
    </x:row>
    <x:row r="105" ht="30" customHeight="1">
      <x:c r="A105" s="18" t="str">
        <x:v>FT-Q-V01-101</x:v>
      </x:c>
      <x:c r="B105" s="19" t="str">
        <x:v>2022</x:v>
      </x:c>
      <x:c r="C105" s="31" t="str">
        <x:v>climate change</x:v>
      </x:c>
      <x:c r="D105" s="31" t="str">
        <x:v>EXECUTABLE_NGRAM</x:v>
      </x:c>
      <x:c r="E105" s="31" t="str">
        <x:v>COMPATIBLE</x:v>
      </x:c>
      <x:c r="F105" s="40" t="b">
        <x:v>1</x:v>
      </x:c>
      <x:c r="G105" s="31" t="str">
        <x:v>Compatible exact string/phrase for unsmoothed public Ngram retrieval (current interface supports up to seven words).</x:v>
      </x:c>
      <x:c r="H105" s="19" t="str">
        <x:v>CLIMATE_SPECIFIC</x:v>
      </x:c>
      <x:c r="I105" s="19" t="str">
        <x:v>Fear of Temperature_ Stratified Lexical Expansion, Voice Mapping, and Semantic-Relational Pre-Valida.pdf</x:v>
      </x:c>
      <x:c r="J105" s="19" t="str">
        <x:v>12</x:v>
      </x:c>
      <x:c r="K105" s="46" t="str">
        <x:v>RECONSTRUCTED_FROM_REPORT</x:v>
      </x:c>
    </x:row>
    <x:row r="106" ht="30" customHeight="1">
      <x:c r="A106" s="18" t="str">
        <x:v>FT-Q-V01-102</x:v>
      </x:c>
      <x:c r="B106" s="19" t="str">
        <x:v>2022</x:v>
      </x:c>
      <x:c r="C106" s="31" t="str">
        <x:v>global warming</x:v>
      </x:c>
      <x:c r="D106" s="31" t="str">
        <x:v>EXECUTABLE_NGRAM</x:v>
      </x:c>
      <x:c r="E106" s="31" t="str">
        <x:v>COMPATIBLE</x:v>
      </x:c>
      <x:c r="F106" s="40" t="b">
        <x:v>1</x:v>
      </x:c>
      <x:c r="G106" s="31" t="str">
        <x:v>Compatible exact string/phrase for unsmoothed public Ngram retrieval (current interface supports up to seven words).</x:v>
      </x:c>
      <x:c r="H106" s="19" t="str">
        <x:v>CLIMATE_SPECIFIC</x:v>
      </x:c>
      <x:c r="I106" s="19" t="str">
        <x:v>Fear of Temperature_ Stratified Lexical Expansion, Voice Mapping, and Semantic-Relational Pre-Valida.pdf</x:v>
      </x:c>
      <x:c r="J106" s="19" t="str">
        <x:v>12</x:v>
      </x:c>
      <x:c r="K106" s="46" t="str">
        <x:v>RECONSTRUCTED_FROM_REPORT</x:v>
      </x:c>
    </x:row>
    <x:row r="107" ht="30" customHeight="1">
      <x:c r="A107" s="18" t="str">
        <x:v>FT-Q-V01-103</x:v>
      </x:c>
      <x:c r="B107" s="19" t="str">
        <x:v>2022</x:v>
      </x:c>
      <x:c r="C107" s="31" t="str">
        <x:v>very worried</x:v>
      </x:c>
      <x:c r="D107" s="31" t="str">
        <x:v>EXECUTABLE_NGRAM</x:v>
      </x:c>
      <x:c r="E107" s="31" t="str">
        <x:v>COMPATIBLE</x:v>
      </x:c>
      <x:c r="F107" s="40" t="b">
        <x:v>1</x:v>
      </x:c>
      <x:c r="G107" s="31" t="str">
        <x:v>Compatible exact string/phrase for unsmoothed public Ngram retrieval (current interface supports up to seven words).</x:v>
      </x:c>
      <x:c r="H107" s="19" t="str">
        <x:v>CONTEXT_REQUIRED</x:v>
      </x:c>
      <x:c r="I107" s="19" t="str">
        <x:v>Fear of Temperature_ Stratified Lexical Expansion, Voice Mapping, and Semantic-Relational Pre-Valida.pdf</x:v>
      </x:c>
      <x:c r="J107" s="19" t="str">
        <x:v>12</x:v>
      </x:c>
      <x:c r="K107" s="46" t="str">
        <x:v>RECONSTRUCTED_FROM_REPORT</x:v>
      </x:c>
    </x:row>
    <x:row r="108" ht="30" customHeight="1">
      <x:c r="A108" s="18" t="str">
        <x:v>FT-Q-V01-104</x:v>
      </x:c>
      <x:c r="B108" s="19" t="str">
        <x:v>2022</x:v>
      </x:c>
      <x:c r="C108" s="31" t="str">
        <x:v>somewhat worried</x:v>
      </x:c>
      <x:c r="D108" s="31" t="str">
        <x:v>EXECUTABLE_NGRAM</x:v>
      </x:c>
      <x:c r="E108" s="31" t="str">
        <x:v>COMPATIBLE</x:v>
      </x:c>
      <x:c r="F108" s="40" t="b">
        <x:v>1</x:v>
      </x:c>
      <x:c r="G108" s="31" t="str">
        <x:v>Compatible exact string/phrase for unsmoothed public Ngram retrieval (current interface supports up to seven words).</x:v>
      </x:c>
      <x:c r="H108" s="19" t="str">
        <x:v>CONTEXT_REQUIRED</x:v>
      </x:c>
      <x:c r="I108" s="19" t="str">
        <x:v>Fear of Temperature_ Stratified Lexical Expansion, Voice Mapping, and Semantic-Relational Pre-Valida.pdf</x:v>
      </x:c>
      <x:c r="J108" s="19" t="str">
        <x:v>12</x:v>
      </x:c>
      <x:c r="K108" s="46" t="str">
        <x:v>RECONSTRUCTED_FROM_REPORT</x:v>
      </x:c>
    </x:row>
    <x:row r="109" ht="30" customHeight="1">
      <x:c r="A109" s="18" t="str">
        <x:v>FT-Q-V01-105</x:v>
      </x:c>
      <x:c r="B109" s="19" t="str">
        <x:v>2022</x:v>
      </x:c>
      <x:c r="C109" s="31" t="str">
        <x:v>afraid</x:v>
      </x:c>
      <x:c r="D109" s="31" t="str">
        <x:v>BACKGROUND_AMBIGUOUS</x:v>
      </x:c>
      <x:c r="E109" s="31" t="str">
        <x:v>COMPATIBLE</x:v>
      </x:c>
      <x:c r="F109" s="40" t="b">
        <x:v>1</x:v>
      </x:c>
      <x:c r="G109" s="31" t="str">
        <x:v>Compatible exact string/phrase for unsmoothed public Ngram retrieval (current interface supports up to seven words).</x:v>
      </x:c>
      <x:c r="H109" s="19" t="str">
        <x:v>BACKGROUND_AMBIGUOUS</x:v>
      </x:c>
      <x:c r="I109" s="19" t="str">
        <x:v>Fear of Temperature_ Stratified Lexical Expansion, Voice Mapping, and Semantic-Relational Pre-Valida.pdf</x:v>
      </x:c>
      <x:c r="J109" s="19" t="str">
        <x:v>12</x:v>
      </x:c>
      <x:c r="K109" s="46" t="str">
        <x:v>RECONSTRUCTED_FROM_REPORT</x:v>
      </x:c>
    </x:row>
    <x:row r="110" ht="30" customHeight="1">
      <x:c r="A110" s="18" t="str">
        <x:v>FT-Q-V01-106</x:v>
      </x:c>
      <x:c r="B110" s="19" t="str">
        <x:v>2022</x:v>
      </x:c>
      <x:c r="C110" s="31" t="str">
        <x:v>anxious</x:v>
      </x:c>
      <x:c r="D110" s="31" t="str">
        <x:v>EXECUTABLE_NGRAM</x:v>
      </x:c>
      <x:c r="E110" s="31" t="str">
        <x:v>COMPATIBLE</x:v>
      </x:c>
      <x:c r="F110" s="40" t="b">
        <x:v>1</x:v>
      </x:c>
      <x:c r="G110" s="31" t="str">
        <x:v>Compatible exact string/phrase for unsmoothed public Ngram retrieval (current interface supports up to seven words).</x:v>
      </x:c>
      <x:c r="H110" s="19" t="str">
        <x:v>CONTEXT_REQUIRED</x:v>
      </x:c>
      <x:c r="I110" s="19" t="str">
        <x:v>Fear of Temperature_ Stratified Lexical Expansion, Voice Mapping, and Semantic-Relational Pre-Valida.pdf</x:v>
      </x:c>
      <x:c r="J110" s="19" t="str">
        <x:v>12</x:v>
      </x:c>
      <x:c r="K110" s="46" t="str">
        <x:v>RECONSTRUCTED_FROM_REPORT</x:v>
      </x:c>
    </x:row>
    <x:row r="111" ht="30" customHeight="1">
      <x:c r="A111" s="18" t="str">
        <x:v>FT-Q-V01-107</x:v>
      </x:c>
      <x:c r="B111" s="19" t="str">
        <x:v>2022</x:v>
      </x:c>
      <x:c r="C111" s="31" t="str">
        <x:v>hopeless</x:v>
      </x:c>
      <x:c r="D111" s="31" t="str">
        <x:v>EXECUTABLE_NGRAM</x:v>
      </x:c>
      <x:c r="E111" s="31" t="str">
        <x:v>COMPATIBLE</x:v>
      </x:c>
      <x:c r="F111" s="40" t="b">
        <x:v>1</x:v>
      </x:c>
      <x:c r="G111" s="31" t="str">
        <x:v>Compatible exact string/phrase for unsmoothed public Ngram retrieval (current interface supports up to seven words).</x:v>
      </x:c>
      <x:c r="H111" s="19" t="str">
        <x:v>CONTEXT_REQUIRED</x:v>
      </x:c>
      <x:c r="I111" s="19" t="str">
        <x:v>Fear of Temperature_ Stratified Lexical Expansion, Voice Mapping, and Semantic-Relational Pre-Valida.pdf</x:v>
      </x:c>
      <x:c r="J111" s="19" t="str">
        <x:v>12</x:v>
      </x:c>
      <x:c r="K111" s="46" t="str">
        <x:v>RECONSTRUCTED_FROM_REPORT</x:v>
      </x:c>
    </x:row>
    <x:row r="112" ht="30" customHeight="1">
      <x:c r="A112" s="18" t="str">
        <x:v>FT-Q-V01-108</x:v>
      </x:c>
      <x:c r="B112" s="19" t="str">
        <x:v>2022</x:v>
      </x:c>
      <x:c r="C112" s="31" t="str">
        <x:v>sad</x:v>
      </x:c>
      <x:c r="D112" s="31" t="str">
        <x:v>EXECUTABLE_NGRAM</x:v>
      </x:c>
      <x:c r="E112" s="31" t="str">
        <x:v>COMPATIBLE</x:v>
      </x:c>
      <x:c r="F112" s="40" t="b">
        <x:v>1</x:v>
      </x:c>
      <x:c r="G112" s="31" t="str">
        <x:v>Compatible exact string/phrase for unsmoothed public Ngram retrieval (current interface supports up to seven words).</x:v>
      </x:c>
      <x:c r="H112" s="19" t="str">
        <x:v>CONTEXT_REQUIRED</x:v>
      </x:c>
      <x:c r="I112" s="19" t="str">
        <x:v>Fear of Temperature_ Stratified Lexical Expansion, Voice Mapping, and Semantic-Relational Pre-Valida.pdf</x:v>
      </x:c>
      <x:c r="J112" s="19" t="str">
        <x:v>12</x:v>
      </x:c>
      <x:c r="K112" s="46" t="str">
        <x:v>RECONSTRUCTED_FROM_REPORT</x:v>
      </x:c>
    </x:row>
    <x:row r="113" ht="30" customHeight="1">
      <x:c r="A113" s="18" t="str">
        <x:v>FT-Q-V01-109</x:v>
      </x:c>
      <x:c r="B113" s="19" t="str">
        <x:v>2022</x:v>
      </x:c>
      <x:c r="C113" s="31" t="str">
        <x:v>angry</x:v>
      </x:c>
      <x:c r="D113" s="31" t="str">
        <x:v>EXECUTABLE_NGRAM</x:v>
      </x:c>
      <x:c r="E113" s="31" t="str">
        <x:v>COMPATIBLE</x:v>
      </x:c>
      <x:c r="F113" s="40" t="b">
        <x:v>1</x:v>
      </x:c>
      <x:c r="G113" s="31" t="str">
        <x:v>Compatible exact string/phrase for unsmoothed public Ngram retrieval (current interface supports up to seven words).</x:v>
      </x:c>
      <x:c r="H113" s="19" t="str">
        <x:v>CONTEXT_REQUIRED</x:v>
      </x:c>
      <x:c r="I113" s="19" t="str">
        <x:v>Fear of Temperature_ Stratified Lexical Expansion, Voice Mapping, and Semantic-Relational Pre-Valida.pdf</x:v>
      </x:c>
      <x:c r="J113" s="19" t="str">
        <x:v>13</x:v>
      </x:c>
      <x:c r="K113" s="46" t="str">
        <x:v>RECONSTRUCTED_FROM_REPORT</x:v>
      </x:c>
    </x:row>
    <x:row r="114" ht="30" customHeight="1">
      <x:c r="A114" s="18" t="str">
        <x:v>FT-Q-V01-110</x:v>
      </x:c>
      <x:c r="B114" s="19" t="str">
        <x:v>2022</x:v>
      </x:c>
      <x:c r="C114" s="31" t="str">
        <x:v>frustrated</x:v>
      </x:c>
      <x:c r="D114" s="31" t="str">
        <x:v>EXECUTABLE_NGRAM</x:v>
      </x:c>
      <x:c r="E114" s="31" t="str">
        <x:v>COMPATIBLE</x:v>
      </x:c>
      <x:c r="F114" s="40" t="b">
        <x:v>1</x:v>
      </x:c>
      <x:c r="G114" s="31" t="str">
        <x:v>Compatible exact string/phrase for unsmoothed public Ngram retrieval (current interface supports up to seven words).</x:v>
      </x:c>
      <x:c r="H114" s="19" t="str">
        <x:v>CONTEXT_REQUIRED</x:v>
      </x:c>
      <x:c r="I114" s="19" t="str">
        <x:v>Fear of Temperature_ Stratified Lexical Expansion, Voice Mapping, and Semantic-Relational Pre-Valida.pdf</x:v>
      </x:c>
      <x:c r="J114" s="19" t="str">
        <x:v>13</x:v>
      </x:c>
      <x:c r="K114" s="46" t="str">
        <x:v>RECONSTRUCTED_FROM_REPORT</x:v>
      </x:c>
    </x:row>
    <x:row r="115" ht="30" customHeight="1">
      <x:c r="A115" s="18" t="str">
        <x:v>FT-Q-V01-111</x:v>
      </x:c>
      <x:c r="B115" s="19" t="str">
        <x:v>2022</x:v>
      </x:c>
      <x:c r="C115" s="31" t="str">
        <x:v>hopeful</x:v>
      </x:c>
      <x:c r="D115" s="31" t="str">
        <x:v>EXECUTABLE_NGRAM</x:v>
      </x:c>
      <x:c r="E115" s="31" t="str">
        <x:v>COMPATIBLE</x:v>
      </x:c>
      <x:c r="F115" s="40" t="b">
        <x:v>1</x:v>
      </x:c>
      <x:c r="G115" s="31" t="str">
        <x:v>Compatible exact string/phrase for unsmoothed public Ngram retrieval (current interface supports up to seven words).</x:v>
      </x:c>
      <x:c r="H115" s="19" t="str">
        <x:v>CONTEXT_REQUIRED</x:v>
      </x:c>
      <x:c r="I115" s="19" t="str">
        <x:v>Fear of Temperature_ Stratified Lexical Expansion, Voice Mapping, and Semantic-Relational Pre-Valida.pdf</x:v>
      </x:c>
      <x:c r="J115" s="19" t="str">
        <x:v>12</x:v>
      </x:c>
      <x:c r="K115" s="46" t="str">
        <x:v>RECONSTRUCTED_FROM_REPORT</x:v>
      </x:c>
    </x:row>
    <x:row r="116" ht="30" customHeight="1">
      <x:c r="A116" s="18" t="str">
        <x:v>FT-Q-V01-112</x:v>
      </x:c>
      <x:c r="B116" s="19" t="str">
        <x:v>2022</x:v>
      </x:c>
      <x:c r="C116" s="31" t="str">
        <x:v>disgusted</x:v>
      </x:c>
      <x:c r="D116" s="31" t="str">
        <x:v>EXECUTABLE_NGRAM</x:v>
      </x:c>
      <x:c r="E116" s="31" t="str">
        <x:v>COMPATIBLE</x:v>
      </x:c>
      <x:c r="F116" s="40" t="b">
        <x:v>1</x:v>
      </x:c>
      <x:c r="G116" s="31" t="str">
        <x:v>Compatible exact string/phrase for unsmoothed public Ngram retrieval (current interface supports up to seven words).</x:v>
      </x:c>
      <x:c r="H116" s="19" t="str">
        <x:v>CONTEXT_REQUIRED</x:v>
      </x:c>
      <x:c r="I116" s="19" t="str">
        <x:v>Fear of Temperature_ Stratified Lexical Expansion, Voice Mapping, and Semantic-Relational Pre-Valida.pdf</x:v>
      </x:c>
      <x:c r="J116" s="19" t="str">
        <x:v>12</x:v>
      </x:c>
      <x:c r="K116" s="46" t="str">
        <x:v>RECONSTRUCTED_FROM_REPORT</x:v>
      </x:c>
    </x:row>
    <x:row r="117" ht="30" customHeight="1">
      <x:c r="A117" s="18" t="str">
        <x:v>FT-Q-V01-113</x:v>
      </x:c>
      <x:c r="B117" s="19" t="str">
        <x:v>2022</x:v>
      </x:c>
      <x:c r="C117" s="31" t="str">
        <x:v>outraged</x:v>
      </x:c>
      <x:c r="D117" s="31" t="str">
        <x:v>EXECUTABLE_NGRAM</x:v>
      </x:c>
      <x:c r="E117" s="31" t="str">
        <x:v>COMPATIBLE</x:v>
      </x:c>
      <x:c r="F117" s="40" t="b">
        <x:v>1</x:v>
      </x:c>
      <x:c r="G117" s="31" t="str">
        <x:v>Compatible exact string/phrase for unsmoothed public Ngram retrieval (current interface supports up to seven words).</x:v>
      </x:c>
      <x:c r="H117" s="19" t="str">
        <x:v>CONTEXT_REQUIRED</x:v>
      </x:c>
      <x:c r="I117" s="19" t="str">
        <x:v>Fear of Temperature_ Stratified Lexical Expansion, Voice Mapping, and Semantic-Relational Pre-Valida.pdf</x:v>
      </x:c>
      <x:c r="J117" s="19" t="str">
        <x:v>12</x:v>
      </x:c>
      <x:c r="K117" s="46" t="str">
        <x:v>RECONSTRUCTED_FROM_REPORT</x:v>
      </x:c>
    </x:row>
    <x:row r="118" ht="30" customHeight="1">
      <x:c r="A118" s="18" t="str">
        <x:v>FT-Q-V01-114</x:v>
      </x:c>
      <x:c r="B118" s="19" t="str">
        <x:v>2022</x:v>
      </x:c>
      <x:c r="C118" s="31" t="str">
        <x:v>depressed</x:v>
      </x:c>
      <x:c r="D118" s="31" t="str">
        <x:v>BACKGROUND_AMBIGUOUS</x:v>
      </x:c>
      <x:c r="E118" s="31" t="str">
        <x:v>COMPATIBLE</x:v>
      </x:c>
      <x:c r="F118" s="40" t="b">
        <x:v>1</x:v>
      </x:c>
      <x:c r="G118" s="31" t="str">
        <x:v>Compatible exact string/phrase for unsmoothed public Ngram retrieval (current interface supports up to seven words).</x:v>
      </x:c>
      <x:c r="H118" s="19" t="str">
        <x:v>BACKGROUND_AMBIGUOUS</x:v>
      </x:c>
      <x:c r="I118" s="19" t="str">
        <x:v>Fear of Temperature_ Stratified Lexical Expansion, Voice Mapping, and Semantic-Relational Pre-Valida.pdf</x:v>
      </x:c>
      <x:c r="J118" s="19" t="str">
        <x:v>12</x:v>
      </x:c>
      <x:c r="K118" s="46" t="str">
        <x:v>RECONSTRUCTED_FROM_REPORT</x:v>
      </x:c>
    </x:row>
    <x:row r="119" ht="30" customHeight="1">
      <x:c r="A119" s="18" t="str">
        <x:v>FT-Q-V01-115</x:v>
      </x:c>
      <x:c r="B119" s="19" t="str">
        <x:v>2022</x:v>
      </x:c>
      <x:c r="C119" s="31" t="str">
        <x:v>symptoms of anxiety</x:v>
      </x:c>
      <x:c r="D119" s="31" t="str">
        <x:v>EXECUTABLE_NGRAM</x:v>
      </x:c>
      <x:c r="E119" s="31" t="str">
        <x:v>COMPATIBLE</x:v>
      </x:c>
      <x:c r="F119" s="40" t="b">
        <x:v>1</x:v>
      </x:c>
      <x:c r="G119" s="31" t="str">
        <x:v>Compatible exact string/phrase for unsmoothed public Ngram retrieval (current interface supports up to seven words).</x:v>
      </x:c>
      <x:c r="H119" s="19" t="str">
        <x:v>CONTEXT_REQUIRED</x:v>
      </x:c>
      <x:c r="I119" s="19" t="str">
        <x:v>Fear of Temperature_ Stratified Lexical Expansion, Voice Mapping, and Semantic-Relational Pre-Valida.pdf</x:v>
      </x:c>
      <x:c r="J119" s="19" t="str">
        <x:v>12</x:v>
      </x:c>
      <x:c r="K119" s="46" t="str">
        <x:v>RECONSTRUCTED_FROM_REPORT</x:v>
      </x:c>
    </x:row>
    <x:row r="120" ht="30" customHeight="1">
      <x:c r="A120" s="18" t="str">
        <x:v>FT-Q-V01-116</x:v>
      </x:c>
      <x:c r="B120" s="19" t="str">
        <x:v>2022</x:v>
      </x:c>
      <x:c r="C120" s="31" t="str">
        <x:v>climate anxiety</x:v>
      </x:c>
      <x:c r="D120" s="31" t="str">
        <x:v>EXECUTABLE_NGRAM</x:v>
      </x:c>
      <x:c r="E120" s="31" t="str">
        <x:v>COMPATIBLE</x:v>
      </x:c>
      <x:c r="F120" s="40" t="b">
        <x:v>1</x:v>
      </x:c>
      <x:c r="G120" s="31" t="str">
        <x:v>Compatible exact string/phrase for unsmoothed public Ngram retrieval (current interface supports up to seven words).</x:v>
      </x:c>
      <x:c r="H120" s="19" t="str">
        <x:v>CLIMATE_SPECIFIC</x:v>
      </x:c>
      <x:c r="I120" s="19" t="str">
        <x:v>Fear of Temperature_ Stratified Lexical Expansion, Voice Mapping, and Semantic-Relational Pre-Valida.pdf</x:v>
      </x:c>
      <x:c r="J120" s="19" t="str">
        <x:v>12</x:v>
      </x:c>
      <x:c r="K120" s="46" t="str">
        <x:v>RECONSTRUCTED_FROM_REPORT</x:v>
      </x:c>
    </x:row>
    <x:row r="121" ht="30" customHeight="1">
      <x:c r="A121" s="18" t="str">
        <x:v>FT-Q-V01-117</x:v>
      </x:c>
      <x:c r="B121" s="19" t="str">
        <x:v>2022</x:v>
      </x:c>
      <x:c r="C121" s="31" t="str">
        <x:v>eco-anxiety</x:v>
      </x:c>
      <x:c r="D121" s="31" t="str">
        <x:v>EXECUTABLE_NGRAM</x:v>
      </x:c>
      <x:c r="E121" s="31" t="str">
        <x:v>COMPATIBLE</x:v>
      </x:c>
      <x:c r="F121" s="40" t="b">
        <x:v>1</x:v>
      </x:c>
      <x:c r="G121" s="31" t="str">
        <x:v>Compatible exact string/phrase for unsmoothed public Ngram retrieval (current interface supports up to seven words).</x:v>
      </x:c>
      <x:c r="H121" s="19" t="str">
        <x:v>CLIMATE_SPECIFIC</x:v>
      </x:c>
      <x:c r="I121" s="19" t="str">
        <x:v>Fear of Temperature_ Stratified Lexical Expansion, Voice Mapping, and Semantic-Relational Pre-Valida.pdf</x:v>
      </x:c>
      <x:c r="J121" s="19" t="str">
        <x:v>12</x:v>
      </x:c>
      <x:c r="K121" s="46" t="str">
        <x:v>RECONSTRUCTED_FROM_REPORT</x:v>
      </x:c>
    </x:row>
    <x:row r="122" ht="30" customHeight="1">
      <x:c r="A122" s="18" t="str">
        <x:v>FT-Q-V01-118</x:v>
      </x:c>
      <x:c r="B122" s="19" t="str">
        <x:v>2022</x:v>
      </x:c>
      <x:c r="C122" s="31" t="str">
        <x:v>psychological distress</x:v>
      </x:c>
      <x:c r="D122" s="31" t="str">
        <x:v>EXECUTABLE_NGRAM</x:v>
      </x:c>
      <x:c r="E122" s="31" t="str">
        <x:v>COMPATIBLE</x:v>
      </x:c>
      <x:c r="F122" s="40" t="b">
        <x:v>1</x:v>
      </x:c>
      <x:c r="G122" s="31" t="str">
        <x:v>Compatible exact string/phrase for unsmoothed public Ngram retrieval (current interface supports up to seven words).</x:v>
      </x:c>
      <x:c r="H122" s="19" t="str">
        <x:v>CONTEXT_REQUIRED</x:v>
      </x:c>
      <x:c r="I122" s="19" t="str">
        <x:v>Fear of Temperature_ Stratified Lexical Expansion, Voice Mapping, and Semantic-Relational Pre-Valida.pdf</x:v>
      </x:c>
      <x:c r="J122" s="19" t="str">
        <x:v>12</x:v>
      </x:c>
      <x:c r="K122" s="46" t="str">
        <x:v>RECONSTRUCTED_FROM_REPORT</x:v>
      </x:c>
    </x:row>
    <x:row r="123" ht="30" customHeight="1">
      <x:c r="A123" s="18" t="str">
        <x:v>FT-Q-V01-119</x:v>
      </x:c>
      <x:c r="B123" s="19" t="str">
        <x:v>2022</x:v>
      </x:c>
      <x:c r="C123" s="31" t="str">
        <x:v>distress</x:v>
      </x:c>
      <x:c r="D123" s="31" t="str">
        <x:v>BACKGROUND_AMBIGUOUS</x:v>
      </x:c>
      <x:c r="E123" s="31" t="str">
        <x:v>COMPATIBLE</x:v>
      </x:c>
      <x:c r="F123" s="40" t="b">
        <x:v>1</x:v>
      </x:c>
      <x:c r="G123" s="31" t="str">
        <x:v>Compatible exact string/phrase for unsmoothed public Ngram retrieval (current interface supports up to seven words).</x:v>
      </x:c>
      <x:c r="H123" s="19" t="str">
        <x:v>BACKGROUND_AMBIGUOUS</x:v>
      </x:c>
      <x:c r="I123" s="19" t="str">
        <x:v>Fear of Temperature_ Stratified Lexical Expansion, Voice Mapping, and Semantic-Relational Pre-Valida.pdf</x:v>
      </x:c>
      <x:c r="J123" s="19" t="str">
        <x:v>13</x:v>
      </x:c>
      <x:c r="K123" s="46" t="str">
        <x:v>RECONSTRUCTED_FROM_REPORT</x:v>
      </x:c>
    </x:row>
    <x:row r="124" ht="30" customHeight="1">
      <x:c r="A124" s="18" t="str">
        <x:v>FT-Q-V01-120</x:v>
      </x:c>
      <x:c r="B124" s="19" t="str">
        <x:v>2022</x:v>
      </x:c>
      <x:c r="C124" s="31" t="str">
        <x:v>powerlessness</x:v>
      </x:c>
      <x:c r="D124" s="31" t="str">
        <x:v>EXECUTABLE_NGRAM</x:v>
      </x:c>
      <x:c r="E124" s="31" t="str">
        <x:v>COMPATIBLE</x:v>
      </x:c>
      <x:c r="F124" s="40" t="b">
        <x:v>1</x:v>
      </x:c>
      <x:c r="G124" s="31" t="str">
        <x:v>Compatible exact string/phrase for unsmoothed public Ngram retrieval (current interface supports up to seven words).</x:v>
      </x:c>
      <x:c r="H124" s="19" t="str">
        <x:v>CONTEXT_REQUIRED</x:v>
      </x:c>
      <x:c r="I124" s="19" t="str">
        <x:v>Fear of Temperature_ Stratified Lexical Expansion, Voice Mapping, and Semantic-Relational Pre-Valida.pdf</x:v>
      </x:c>
      <x:c r="J124" s="19" t="str">
        <x:v>13</x:v>
      </x:c>
      <x:c r="K124" s="46" t="str">
        <x:v>RECONSTRUCTED_FROM_REPORT</x:v>
      </x:c>
    </x:row>
    <x:row r="125" ht="30" customHeight="1">
      <x:c r="A125" s="18" t="str">
        <x:v>FT-Q-V01-121</x:v>
      </x:c>
      <x:c r="B125" s="19" t="str">
        <x:v>1938</x:v>
      </x:c>
      <x:c r="C125" s="31" t="str">
        <x:v>climatic change</x:v>
      </x:c>
      <x:c r="D125" s="31" t="str">
        <x:v>EXECUTABLE_NGRAM</x:v>
      </x:c>
      <x:c r="E125" s="31" t="str">
        <x:v>COMPATIBLE</x:v>
      </x:c>
      <x:c r="F125" s="40" t="b">
        <x:v>1</x:v>
      </x:c>
      <x:c r="G125" s="31" t="str">
        <x:v>Compatible exact string/phrase for unsmoothed public Ngram retrieval (current interface supports up to seven words).</x:v>
      </x:c>
      <x:c r="H125" s="19" t="str">
        <x:v>CLIMATE_SPECIFIC</x:v>
      </x:c>
      <x:c r="I125" s="19" t="str">
        <x:v>Fear of Temperature — Deep Research Round Two_ Historical Semantic Validation, Cross-Voice Relationa.pdf</x:v>
      </x:c>
      <x:c r="J125" s="19" t="str">
        <x:v>14–17</x:v>
      </x:c>
      <x:c r="K125" s="46" t="str">
        <x:v>RECONSTRUCTED_FROM_REPORT</x:v>
      </x:c>
    </x:row>
    <x:row r="126" ht="30" customHeight="1">
      <x:c r="A126" s="18" t="str">
        <x:v>FT-Q-V01-122</x:v>
      </x:c>
      <x:c r="B126" s="19" t="str">
        <x:v>2006–2007</x:v>
      </x:c>
      <x:c r="C126" s="31" t="str">
        <x:v>climate system</x:v>
      </x:c>
      <x:c r="D126" s="31" t="str">
        <x:v>EXECUTABLE_NGRAM</x:v>
      </x:c>
      <x:c r="E126" s="31" t="str">
        <x:v>COMPATIBLE</x:v>
      </x:c>
      <x:c r="F126" s="40" t="b">
        <x:v>1</x:v>
      </x:c>
      <x:c r="G126" s="31" t="str">
        <x:v>Compatible exact string/phrase for unsmoothed public Ngram retrieval (current interface supports up to seven words).</x:v>
      </x:c>
      <x:c r="H126" s="19" t="str">
        <x:v>CLIMATE_SPECIFIC</x:v>
      </x:c>
      <x:c r="I126" s="19" t="str">
        <x:v>Fear of Temperature — Deep Research Round Two_ Historical Semantic Validation, Cross-Voice Relationa.pdf</x:v>
      </x:c>
      <x:c r="J126" s="19" t="str">
        <x:v>14–17</x:v>
      </x:c>
      <x:c r="K126" s="46" t="str">
        <x:v>RECONSTRUCTED_FROM_REPORT</x:v>
      </x:c>
    </x:row>
    <x:row r="127" ht="30" customHeight="1">
      <x:c r="A127" s="18" t="str">
        <x:v>FT-Q-V01-123</x:v>
      </x:c>
      <x:c r="B127" s="19" t="str">
        <x:v>2022</x:v>
      </x:c>
      <x:c r="C127" s="31" t="str">
        <x:v>climate crisis</x:v>
      </x:c>
      <x:c r="D127" s="31" t="str">
        <x:v>EXECUTABLE_NGRAM</x:v>
      </x:c>
      <x:c r="E127" s="31" t="str">
        <x:v>COMPATIBLE</x:v>
      </x:c>
      <x:c r="F127" s="40" t="b">
        <x:v>1</x:v>
      </x:c>
      <x:c r="G127" s="31" t="str">
        <x:v>Compatible exact string/phrase for unsmoothed public Ngram retrieval (current interface supports up to seven words).</x:v>
      </x:c>
      <x:c r="H127" s="19" t="str">
        <x:v>CLIMATE_SPECIFIC</x:v>
      </x:c>
      <x:c r="I127" s="19" t="str">
        <x:v>Fear of Temperature — Deep Research Round Two_ Historical Semantic Validation, Cross-Voice Relationa.pdf</x:v>
      </x:c>
      <x:c r="J127" s="19" t="str">
        <x:v>14–17</x:v>
      </x:c>
      <x:c r="K127" s="46" t="str">
        <x:v>RECONSTRUCTED_FROM_REPORT</x:v>
      </x:c>
    </x:row>
    <x:row r="128" ht="30" customHeight="1">
      <x:c r="A128" s="18" t="str">
        <x:v>FT-Q-V01-124</x:v>
      </x:c>
      <x:c r="B128" s="19" t="str">
        <x:v>2022</x:v>
      </x:c>
      <x:c r="C128" s="31" t="str">
        <x:v>climate emergency</x:v>
      </x:c>
      <x:c r="D128" s="31" t="str">
        <x:v>EXECUTABLE_NGRAM</x:v>
      </x:c>
      <x:c r="E128" s="31" t="str">
        <x:v>COMPATIBLE</x:v>
      </x:c>
      <x:c r="F128" s="40" t="b">
        <x:v>1</x:v>
      </x:c>
      <x:c r="G128" s="31" t="str">
        <x:v>Compatible exact string/phrase for unsmoothed public Ngram retrieval (current interface supports up to seven words).</x:v>
      </x:c>
      <x:c r="H128" s="19" t="str">
        <x:v>CLIMATE_SPECIFIC</x:v>
      </x:c>
      <x:c r="I128" s="19" t="str">
        <x:v>Fear of Temperature — Deep Research Round Two_ Historical Semantic Validation, Cross-Voice Relationa.pdf</x:v>
      </x:c>
      <x:c r="J128" s="19" t="str">
        <x:v>14–17</x:v>
      </x:c>
      <x:c r="K128" s="46" t="str">
        <x:v>RECONSTRUCTED_FROM_REPORT</x:v>
      </x:c>
    </x:row>
    <x:row r="129" ht="30" customHeight="1">
      <x:c r="A129" s="18" t="str">
        <x:v>FT-Q-V01-125</x:v>
      </x:c>
      <x:c r="B129" s="19" t="str">
        <x:v>1842</x:v>
      </x:c>
      <x:c r="C129" s="31" t="str">
        <x:v>heat</x:v>
      </x:c>
      <x:c r="D129" s="31" t="str">
        <x:v>BACKGROUND_AMBIGUOUS</x:v>
      </x:c>
      <x:c r="E129" s="31" t="str">
        <x:v>COMPATIBLE</x:v>
      </x:c>
      <x:c r="F129" s="40" t="b">
        <x:v>1</x:v>
      </x:c>
      <x:c r="G129" s="31" t="str">
        <x:v>Compatible exact string/phrase for unsmoothed public Ngram retrieval (current interface supports up to seven words).</x:v>
      </x:c>
      <x:c r="H129" s="19" t="str">
        <x:v>BACKGROUND_AMBIGUOUS</x:v>
      </x:c>
      <x:c r="I129" s="19" t="str">
        <x:v>Fear of Temperature — Deep Research Round Two_ Historical Semantic Validation, Cross-Voice Relationa.pdf</x:v>
      </x:c>
      <x:c r="J129" s="19" t="str">
        <x:v>14–17</x:v>
      </x:c>
      <x:c r="K129" s="46" t="str">
        <x:v>RECONSTRUCTED_FROM_REPORT</x:v>
      </x:c>
    </x:row>
    <x:row r="130" ht="30" customHeight="1">
      <x:c r="A130" s="18" t="str">
        <x:v>FT-Q-V01-126</x:v>
      </x:c>
      <x:c r="B130" s="19" t="str">
        <x:v>2022</x:v>
      </x:c>
      <x:c r="C130" s="31" t="str">
        <x:v>extreme heat</x:v>
      </x:c>
      <x:c r="D130" s="31" t="str">
        <x:v>EXECUTABLE_NGRAM</x:v>
      </x:c>
      <x:c r="E130" s="31" t="str">
        <x:v>COMPATIBLE</x:v>
      </x:c>
      <x:c r="F130" s="40" t="b">
        <x:v>1</x:v>
      </x:c>
      <x:c r="G130" s="31" t="str">
        <x:v>Compatible exact string/phrase for unsmoothed public Ngram retrieval (current interface supports up to seven words).</x:v>
      </x:c>
      <x:c r="H130" s="19" t="str">
        <x:v>CLIMATE_SPECIFIC</x:v>
      </x:c>
      <x:c r="I130" s="19" t="str">
        <x:v>Fear of Temperature — Deep Research Round Two_ Historical Semantic Validation, Cross-Voice Relationa.pdf</x:v>
      </x:c>
      <x:c r="J130" s="19" t="str">
        <x:v>14–17</x:v>
      </x:c>
      <x:c r="K130" s="46" t="str">
        <x:v>RECONSTRUCTED_FROM_REPORT</x:v>
      </x:c>
    </x:row>
    <x:row r="131" ht="30" customHeight="1">
      <x:c r="A131" s="18" t="str">
        <x:v>FT-Q-V01-127</x:v>
      </x:c>
      <x:c r="B131" s="19" t="str">
        <x:v>2022</x:v>
      </x:c>
      <x:c r="C131" s="31" t="str">
        <x:v>fear</x:v>
      </x:c>
      <x:c r="D131" s="31" t="str">
        <x:v>BACKGROUND_AMBIGUOUS</x:v>
      </x:c>
      <x:c r="E131" s="31" t="str">
        <x:v>COMPATIBLE</x:v>
      </x:c>
      <x:c r="F131" s="40" t="b">
        <x:v>1</x:v>
      </x:c>
      <x:c r="G131" s="31" t="str">
        <x:v>Compatible exact string/phrase for unsmoothed public Ngram retrieval (current interface supports up to seven words).</x:v>
      </x:c>
      <x:c r="H131" s="19" t="str">
        <x:v>BACKGROUND_AMBIGUOUS</x:v>
      </x:c>
      <x:c r="I131" s="19" t="str">
        <x:v>Fear of Temperature — Deep Research Round Two_ Historical Semantic Validation, Cross-Voice Relationa.pdf</x:v>
      </x:c>
      <x:c r="J131" s="19" t="str">
        <x:v>14–17</x:v>
      </x:c>
      <x:c r="K131" s="46" t="str">
        <x:v>RECONSTRUCTED_FROM_REPORT</x:v>
      </x:c>
    </x:row>
    <x:row r="132" ht="30" customHeight="1">
      <x:c r="A132" s="18" t="str">
        <x:v>FT-Q-V01-128</x:v>
      </x:c>
      <x:c r="B132" s="19" t="str">
        <x:v>2006–2007</x:v>
      </x:c>
      <x:c r="C132" s="31" t="str">
        <x:v>worry</x:v>
      </x:c>
      <x:c r="D132" s="31" t="str">
        <x:v>BACKGROUND_AMBIGUOUS</x:v>
      </x:c>
      <x:c r="E132" s="31" t="str">
        <x:v>COMPATIBLE</x:v>
      </x:c>
      <x:c r="F132" s="40" t="b">
        <x:v>1</x:v>
      </x:c>
      <x:c r="G132" s="31" t="str">
        <x:v>Compatible exact string/phrase for unsmoothed public Ngram retrieval (current interface supports up to seven words).</x:v>
      </x:c>
      <x:c r="H132" s="19" t="str">
        <x:v>BACKGROUND_AMBIGUOUS</x:v>
      </x:c>
      <x:c r="I132" s="19" t="str">
        <x:v>Fear of Temperature — Deep Research Round Two_ Historical Semantic Validation, Cross-Voice Relationa.pdf</x:v>
      </x:c>
      <x:c r="J132" s="19" t="str">
        <x:v>14–17</x:v>
      </x:c>
      <x:c r="K132" s="46" t="str">
        <x:v>RECONSTRUCTED_FROM_REPORT</x:v>
      </x:c>
    </x:row>
    <x:row r="133" ht="30" customHeight="1">
      <x:c r="A133" s="18" t="str">
        <x:v>FT-Q-V01-129</x:v>
      </x:c>
      <x:c r="B133" s="19" t="str">
        <x:v>2006–2007</x:v>
      </x:c>
      <x:c r="C133" s="31" t="str">
        <x:v>worried</x:v>
      </x:c>
      <x:c r="D133" s="31" t="str">
        <x:v>BACKGROUND_AMBIGUOUS</x:v>
      </x:c>
      <x:c r="E133" s="31" t="str">
        <x:v>COMPATIBLE</x:v>
      </x:c>
      <x:c r="F133" s="40" t="b">
        <x:v>1</x:v>
      </x:c>
      <x:c r="G133" s="31" t="str">
        <x:v>Compatible exact string/phrase for unsmoothed public Ngram retrieval (current interface supports up to seven words).</x:v>
      </x:c>
      <x:c r="H133" s="19" t="str">
        <x:v>BACKGROUND_AMBIGUOUS</x:v>
      </x:c>
      <x:c r="I133" s="19" t="str">
        <x:v>Fear of Temperature — Deep Research Round Two_ Historical Semantic Validation, Cross-Voice Relationa.pdf</x:v>
      </x:c>
      <x:c r="J133" s="19" t="str">
        <x:v>14–17</x:v>
      </x:c>
      <x:c r="K133" s="46" t="str">
        <x:v>RECONSTRUCTED_FROM_REPORT</x:v>
      </x:c>
    </x:row>
    <x:row r="134" ht="30" customHeight="1">
      <x:c r="A134" s="18" t="str">
        <x:v>FT-Q-V01-130</x:v>
      </x:c>
      <x:c r="B134" s="19" t="str">
        <x:v>2015</x:v>
      </x:c>
      <x:c r="C134" s="31" t="str">
        <x:v>concern</x:v>
      </x:c>
      <x:c r="D134" s="31" t="str">
        <x:v>BACKGROUND_AMBIGUOUS</x:v>
      </x:c>
      <x:c r="E134" s="31" t="str">
        <x:v>COMPATIBLE</x:v>
      </x:c>
      <x:c r="F134" s="40" t="b">
        <x:v>1</x:v>
      </x:c>
      <x:c r="G134" s="31" t="str">
        <x:v>Compatible exact string/phrase for unsmoothed public Ngram retrieval (current interface supports up to seven words).</x:v>
      </x:c>
      <x:c r="H134" s="19" t="str">
        <x:v>BACKGROUND_AMBIGUOUS</x:v>
      </x:c>
      <x:c r="I134" s="19" t="str">
        <x:v>Fear of Temperature — Deep Research Round Two_ Historical Semantic Validation, Cross-Voice Relationa.pdf</x:v>
      </x:c>
      <x:c r="J134" s="19" t="str">
        <x:v>14–17</x:v>
      </x:c>
      <x:c r="K134" s="46" t="str">
        <x:v>RECONSTRUCTED_FROM_REPORT</x:v>
      </x:c>
    </x:row>
    <x:row r="135" ht="30" customHeight="1">
      <x:c r="A135" s="18" t="str">
        <x:v>FT-Q-V01-131</x:v>
      </x:c>
      <x:c r="B135" s="19" t="str">
        <x:v>2022</x:v>
      </x:c>
      <x:c r="C135" s="31" t="str">
        <x:v>anxiety</x:v>
      </x:c>
      <x:c r="D135" s="31" t="str">
        <x:v>BACKGROUND_AMBIGUOUS</x:v>
      </x:c>
      <x:c r="E135" s="31" t="str">
        <x:v>COMPATIBLE</x:v>
      </x:c>
      <x:c r="F135" s="40" t="b">
        <x:v>1</x:v>
      </x:c>
      <x:c r="G135" s="31" t="str">
        <x:v>Compatible exact string/phrase for unsmoothed public Ngram retrieval (current interface supports up to seven words).</x:v>
      </x:c>
      <x:c r="H135" s="19" t="str">
        <x:v>BACKGROUND_AMBIGUOUS</x:v>
      </x:c>
      <x:c r="I135" s="19" t="str">
        <x:v>Fear of Temperature — Deep Research Round Two_ Historical Semantic Validation, Cross-Voice Relationa.pdf</x:v>
      </x:c>
      <x:c r="J135" s="19" t="str">
        <x:v>14–17</x:v>
      </x:c>
      <x:c r="K135" s="46" t="str">
        <x:v>RECONSTRUCTED_FROM_REPORT</x:v>
      </x:c>
    </x:row>
    <x:row r="136" ht="30" customHeight="1">
      <x:c r="A136" s="18" t="str">
        <x:v>FT-Q-V01-132</x:v>
      </x:c>
      <x:c r="B136" s="19" t="str">
        <x:v>2006–2007</x:v>
      </x:c>
      <x:c r="C136" s="31" t="str">
        <x:v>danger</x:v>
      </x:c>
      <x:c r="D136" s="31" t="str">
        <x:v>BACKGROUND_AMBIGUOUS</x:v>
      </x:c>
      <x:c r="E136" s="31" t="str">
        <x:v>COMPATIBLE</x:v>
      </x:c>
      <x:c r="F136" s="40" t="b">
        <x:v>1</x:v>
      </x:c>
      <x:c r="G136" s="31" t="str">
        <x:v>Compatible exact string/phrase for unsmoothed public Ngram retrieval (current interface supports up to seven words).</x:v>
      </x:c>
      <x:c r="H136" s="19" t="str">
        <x:v>BACKGROUND_AMBIGUOUS</x:v>
      </x:c>
      <x:c r="I136" s="19" t="str">
        <x:v>Fear of Temperature — Deep Research Round Two_ Historical Semantic Validation, Cross-Voice Relationa.pdf</x:v>
      </x:c>
      <x:c r="J136" s="19" t="str">
        <x:v>14–17</x:v>
      </x:c>
      <x:c r="K136" s="46" t="str">
        <x:v>RECONSTRUCTED_FROM_REPORT</x:v>
      </x:c>
    </x:row>
    <x:row r="137" ht="30" customHeight="1">
      <x:c r="A137" s="18" t="str">
        <x:v>FT-Q-V01-133</x:v>
      </x:c>
      <x:c r="B137" s="19" t="str">
        <x:v>1988</x:v>
      </x:c>
      <x:c r="C137" s="31" t="str">
        <x:v>threat</x:v>
      </x:c>
      <x:c r="D137" s="31" t="str">
        <x:v>BACKGROUND_AMBIGUOUS</x:v>
      </x:c>
      <x:c r="E137" s="31" t="str">
        <x:v>COMPATIBLE</x:v>
      </x:c>
      <x:c r="F137" s="40" t="b">
        <x:v>1</x:v>
      </x:c>
      <x:c r="G137" s="31" t="str">
        <x:v>Compatible exact string/phrase for unsmoothed public Ngram retrieval (current interface supports up to seven words).</x:v>
      </x:c>
      <x:c r="H137" s="19" t="str">
        <x:v>BACKGROUND_AMBIGUOUS</x:v>
      </x:c>
      <x:c r="I137" s="19" t="str">
        <x:v>Fear of Temperature — Deep Research Round Two_ Historical Semantic Validation, Cross-Voice Relationa.pdf</x:v>
      </x:c>
      <x:c r="J137" s="19" t="str">
        <x:v>14–17</x:v>
      </x:c>
      <x:c r="K137" s="46" t="str">
        <x:v>RECONSTRUCTED_FROM_REPORT</x:v>
      </x:c>
    </x:row>
    <x:row r="138" ht="30" customHeight="1">
      <x:c r="A138" s="18" t="str">
        <x:v>FT-Q-V01-134</x:v>
      </x:c>
      <x:c r="B138" s="19" t="str">
        <x:v>2015</x:v>
      </x:c>
      <x:c r="C138" s="31" t="str">
        <x:v>risk</x:v>
      </x:c>
      <x:c r="D138" s="31" t="str">
        <x:v>BACKGROUND_AMBIGUOUS</x:v>
      </x:c>
      <x:c r="E138" s="31" t="str">
        <x:v>COMPATIBLE</x:v>
      </x:c>
      <x:c r="F138" s="40" t="b">
        <x:v>1</x:v>
      </x:c>
      <x:c r="G138" s="31" t="str">
        <x:v>Compatible exact string/phrase for unsmoothed public Ngram retrieval (current interface supports up to seven words).</x:v>
      </x:c>
      <x:c r="H138" s="19" t="str">
        <x:v>BACKGROUND_AMBIGUOUS</x:v>
      </x:c>
      <x:c r="I138" s="19" t="str">
        <x:v>Fear of Temperature — Deep Research Round Two_ Historical Semantic Validation, Cross-Voice Relationa.pdf</x:v>
      </x:c>
      <x:c r="J138" s="19" t="str">
        <x:v>14–17</x:v>
      </x:c>
      <x:c r="K138" s="46" t="str">
        <x:v>RECONSTRUCTED_FROM_REPORT</x:v>
      </x:c>
    </x:row>
    <x:row r="139" ht="30" customHeight="1">
      <x:c r="A139" s="18" t="str">
        <x:v>FT-Q-V01-135</x:v>
      </x:c>
      <x:c r="B139" s="19" t="str">
        <x:v>1988</x:v>
      </x:c>
      <x:c r="C139" s="31" t="str">
        <x:v>crisis</x:v>
      </x:c>
      <x:c r="D139" s="31" t="str">
        <x:v>BACKGROUND_AMBIGUOUS</x:v>
      </x:c>
      <x:c r="E139" s="31" t="str">
        <x:v>COMPATIBLE</x:v>
      </x:c>
      <x:c r="F139" s="40" t="b">
        <x:v>1</x:v>
      </x:c>
      <x:c r="G139" s="31" t="str">
        <x:v>Compatible exact string/phrase for unsmoothed public Ngram retrieval (current interface supports up to seven words).</x:v>
      </x:c>
      <x:c r="H139" s="19" t="str">
        <x:v>BACKGROUND_AMBIGUOUS</x:v>
      </x:c>
      <x:c r="I139" s="19" t="str">
        <x:v>Fear of Temperature — Deep Research Round Two_ Historical Semantic Validation, Cross-Voice Relationa.pdf</x:v>
      </x:c>
      <x:c r="J139" s="19" t="str">
        <x:v>14–17</x:v>
      </x:c>
      <x:c r="K139" s="46" t="str">
        <x:v>RECONSTRUCTED_FROM_REPORT</x:v>
      </x:c>
    </x:row>
    <x:row r="140" ht="30" customHeight="1">
      <x:c r="A140" s="18" t="str">
        <x:v>FT-Q-V01-136</x:v>
      </x:c>
      <x:c r="B140" s="19" t="str">
        <x:v>2015</x:v>
      </x:c>
      <x:c r="C140" s="31" t="str">
        <x:v>emergency</x:v>
      </x:c>
      <x:c r="D140" s="31" t="str">
        <x:v>BACKGROUND_AMBIGUOUS</x:v>
      </x:c>
      <x:c r="E140" s="31" t="str">
        <x:v>COMPATIBLE</x:v>
      </x:c>
      <x:c r="F140" s="40" t="b">
        <x:v>1</x:v>
      </x:c>
      <x:c r="G140" s="31" t="str">
        <x:v>Compatible exact string/phrase for unsmoothed public Ngram retrieval (current interface supports up to seven words).</x:v>
      </x:c>
      <x:c r="H140" s="19" t="str">
        <x:v>BACKGROUND_AMBIGUOUS</x:v>
      </x:c>
      <x:c r="I140" s="19" t="str">
        <x:v>Fear of Temperature — Deep Research Round Two_ Historical Semantic Validation, Cross-Voice Relationa.pdf</x:v>
      </x:c>
      <x:c r="J140" s="19" t="str">
        <x:v>14–17</x:v>
      </x:c>
      <x:c r="K140" s="46" t="str">
        <x:v>RECONSTRUCTED_FROM_REPORT</x:v>
      </x:c>
    </x:row>
    <x:row r="141" ht="30" customHeight="1">
      <x:c r="A141" s="18" t="str">
        <x:v>FT-Q-V01-137</x:v>
      </x:c>
      <x:c r="B141" s="19" t="str">
        <x:v>2022</x:v>
      </x:c>
      <x:c r="C141" s="31" t="str">
        <x:v>mortality</x:v>
      </x:c>
      <x:c r="D141" s="31" t="str">
        <x:v>BACKGROUND_AMBIGUOUS</x:v>
      </x:c>
      <x:c r="E141" s="31" t="str">
        <x:v>COMPATIBLE</x:v>
      </x:c>
      <x:c r="F141" s="40" t="b">
        <x:v>1</x:v>
      </x:c>
      <x:c r="G141" s="31" t="str">
        <x:v>Compatible exact string/phrase for unsmoothed public Ngram retrieval (current interface supports up to seven words).</x:v>
      </x:c>
      <x:c r="H141" s="19" t="str">
        <x:v>BACKGROUND_AMBIGUOUS</x:v>
      </x:c>
      <x:c r="I141" s="19" t="str">
        <x:v>Fear of Temperature — Deep Research Round Two_ Historical Semantic Validation, Cross-Voice Relationa.pdf</x:v>
      </x:c>
      <x:c r="J141" s="19" t="str">
        <x:v>14–17</x:v>
      </x:c>
      <x:c r="K141" s="46" t="str">
        <x:v>RECONSTRUCTED_FROM_REPORT</x:v>
      </x:c>
    </x:row>
    <x:row r="142" ht="30" customHeight="1">
      <x:c r="A142" s="18" t="str">
        <x:v>FT-Q-V01-138</x:v>
      </x:c>
      <x:c r="B142" s="19" t="str">
        <x:v>1842</x:v>
      </x:c>
      <x:c r="C142" s="31" t="str">
        <x:v>heat of the irons</x:v>
      </x:c>
      <x:c r="D142" s="31" t="str">
        <x:v>EXECUTABLE_NGRAM</x:v>
      </x:c>
      <x:c r="E142" s="31" t="str">
        <x:v>COMPATIBLE</x:v>
      </x:c>
      <x:c r="F142" s="40" t="b">
        <x:v>1</x:v>
      </x:c>
      <x:c r="G142" s="31" t="str">
        <x:v>Compatible exact string/phrase for unsmoothed public Ngram retrieval (current interface supports up to seven words).</x:v>
      </x:c>
      <x:c r="H142" s="19" t="str">
        <x:v>CONTEXT_REQUIRED</x:v>
      </x:c>
      <x:c r="I142" s="19" t="str">
        <x:v>Fear of Temperature_ Stratified Lexical Expansion, Voice Mapping, and Semantic-Relational Pre-Valida.pdf</x:v>
      </x:c>
      <x:c r="J142" s="19" t="str">
        <x:v>6</x:v>
      </x:c>
      <x:c r="K142" s="46" t="str">
        <x:v>RECONSTRUCTED_FROM_REPORT</x:v>
      </x:c>
    </x:row>
    <x:row r="143" ht="30" customHeight="1">
      <x:c r="A143" s="18" t="str">
        <x:v>FT-Q-V01-139</x:v>
      </x:c>
      <x:c r="B143" s="19" t="str">
        <x:v>1938</x:v>
      </x:c>
      <x:c r="C143" s="31" t="str">
        <x:v>heat wave</x:v>
      </x:c>
      <x:c r="D143" s="31" t="str">
        <x:v>EXECUTABLE_NGRAM</x:v>
      </x:c>
      <x:c r="E143" s="31" t="str">
        <x:v>COMPATIBLE</x:v>
      </x:c>
      <x:c r="F143" s="40" t="b">
        <x:v>1</x:v>
      </x:c>
      <x:c r="G143" s="31" t="str">
        <x:v>Compatible exact string/phrase for unsmoothed public Ngram retrieval (current interface supports up to seven words).</x:v>
      </x:c>
      <x:c r="H143" s="19" t="str">
        <x:v>CLIMATE_SPECIFIC</x:v>
      </x:c>
      <x:c r="I143" s="19" t="str">
        <x:v>Fear of Temperature_ Stratified Lexical Expansion, Voice Mapping, and Semantic-Relational Pre-Valida.pdf</x:v>
      </x:c>
      <x:c r="J143" s="19" t="str">
        <x:v>7</x:v>
      </x:c>
      <x:c r="K143" s="46" t="str">
        <x:v>RECONSTRUCTED_FROM_REPORT</x:v>
      </x:c>
    </x:row>
    <x:row r="144" ht="30" customHeight="1">
      <x:c r="A144" s="18" t="str">
        <x:v>FT-Q-V01-140</x:v>
      </x:c>
      <x:c r="B144" s="19" t="str">
        <x:v>1988</x:v>
      </x:c>
      <x:c r="C144" s="31" t="str">
        <x:v>grave threats</x:v>
      </x:c>
      <x:c r="D144" s="31" t="str">
        <x:v>EXECUTABLE_NGRAM</x:v>
      </x:c>
      <x:c r="E144" s="31" t="str">
        <x:v>COMPATIBLE</x:v>
      </x:c>
      <x:c r="F144" s="40" t="b">
        <x:v>1</x:v>
      </x:c>
      <x:c r="G144" s="31" t="str">
        <x:v>Compatible exact string/phrase for unsmoothed public Ngram retrieval (current interface supports up to seven words).</x:v>
      </x:c>
      <x:c r="H144" s="19" t="str">
        <x:v>CONTEXT_REQUIRED</x:v>
      </x:c>
      <x:c r="I144" s="19" t="str">
        <x:v>Fear of Temperature_ Stratified Lexical Expansion, Voice Mapping, and Semantic-Relational Pre-Valida.pdf</x:v>
      </x:c>
      <x:c r="J144" s="19" t="str">
        <x:v>9</x:v>
      </x:c>
      <x:c r="K144" s="46" t="str">
        <x:v>RECONSTRUCTED_FROM_REPORT</x:v>
      </x:c>
    </x:row>
    <x:row r="145" ht="30" customHeight="1">
      <x:c r="A145" s="18" t="str">
        <x:v>FT-Q-V01-141</x:v>
      </x:c>
      <x:c r="B145" s="19" t="str">
        <x:v>2006–2007</x:v>
      </x:c>
      <x:c r="C145" s="31" t="str">
        <x:v>Be Worried. Be Very Worried.</x:v>
      </x:c>
      <x:c r="D145" s="31" t="str">
        <x:v>EXECUTABLE_CORPUS_ONLY</x:v>
      </x:c>
      <x:c r="E145" s="31" t="str">
        <x:v>PUNCTUATION_HEAVY</x:v>
      </x:c>
      <x:c r="F145" s="40" t="b">
        <x:v>0</x:v>
      </x:c>
      <x:c r="G145" s="31" t="str">
        <x:v>Sentence-level punctuation makes this a corpus-context rule, not an Ngram phrase.</x:v>
      </x:c>
      <x:c r="H145" s="19" t="str">
        <x:v>CLIMATE_SPECIFIC</x:v>
      </x:c>
      <x:c r="I145" s="19" t="str">
        <x:v>Fear of Temperature_ Stratified Lexical Expansion, Voice Mapping, and Semantic-Relational Pre-Valida.pdf</x:v>
      </x:c>
      <x:c r="J145" s="19" t="str">
        <x:v>10</x:v>
      </x:c>
      <x:c r="K145" s="46" t="str">
        <x:v>RECONSTRUCTED_FROM_REPORT</x:v>
      </x:c>
    </x:row>
    <x:row r="146" ht="30" customHeight="1">
      <x:c r="A146" s="18" t="str">
        <x:v>FT-Q-V01-142</x:v>
      </x:c>
      <x:c r="B146" s="19" t="str">
        <x:v>2015</x:v>
      </x:c>
      <x:c r="C146" s="31" t="str">
        <x:v>comprehensive risk assessment and management</x:v>
      </x:c>
      <x:c r="D146" s="31" t="str">
        <x:v>EXECUTABLE_NGRAM</x:v>
      </x:c>
      <x:c r="E146" s="31" t="str">
        <x:v>COMPATIBLE</x:v>
      </x:c>
      <x:c r="F146" s="40" t="b">
        <x:v>1</x:v>
      </x:c>
      <x:c r="G146" s="31" t="str">
        <x:v>Compatible exact string/phrase for unsmoothed public Ngram retrieval (current interface supports up to seven words).</x:v>
      </x:c>
      <x:c r="H146" s="19" t="str">
        <x:v>CONTEXT_REQUIRED</x:v>
      </x:c>
      <x:c r="I146" s="19" t="str">
        <x:v>Fear of Temperature_ Stratified Lexical Expansion, Voice Mapping, and Semantic-Relational Pre-Valida.pdf</x:v>
      </x:c>
      <x:c r="J146" s="19" t="str">
        <x:v>11</x:v>
      </x:c>
      <x:c r="K146" s="46" t="str">
        <x:v>RECONSTRUCTED_FROM_REPORT</x:v>
      </x:c>
    </x:row>
    <x:row r="147" ht="30" customHeight="1">
      <x:c r="A147" s="21" t="str">
        <x:v>FT-Q-V01-143</x:v>
      </x:c>
      <x:c r="B147" s="22" t="str">
        <x:v>2022</x:v>
      </x:c>
      <x:c r="C147" s="32" t="str">
        <x:v>guilt</x:v>
      </x:c>
      <x:c r="D147" s="32" t="str">
        <x:v>EXECUTABLE_NGRAM</x:v>
      </x:c>
      <x:c r="E147" s="32" t="str">
        <x:v>COMPATIBLE</x:v>
      </x:c>
      <x:c r="F147" s="41" t="b">
        <x:v>1</x:v>
      </x:c>
      <x:c r="G147" s="32" t="str">
        <x:v>Compatible exact string/phrase for unsmoothed public Ngram retrieval (current interface supports up to seven words).</x:v>
      </x:c>
      <x:c r="H147" s="22" t="str">
        <x:v>CONTEXT_REQUIRED</x:v>
      </x:c>
      <x:c r="I147" s="22" t="str">
        <x:v>Fear of Temperature_ Stratified Lexical Expansion, Voice Mapping, and Semantic-Relational Pre-Valida.pdf</x:v>
      </x:c>
      <x:c r="J147" s="22" t="str">
        <x:v>12</x:v>
      </x:c>
      <x:c r="K147" s="47" t="str">
        <x:v>RECONSTRUCTED_FROM_REPORT</x:v>
      </x:c>
    </x:row>
  </x:sheetData>
  <x:mergeCells>
    <x:mergeCell ref="A1:K1"/>
    <x:mergeCell ref="A2:K2"/>
  </x:mergeCells>
  <x:conditionalFormatting sqref="E5:E147">
    <x:cfRule type="containsText" dxfId="220" priority="1" operator="containsText" text="FULLY"/>
    <x:cfRule type="containsText" dxfId="221" priority="2" operator="containsText" text="SUCCESS"/>
    <x:cfRule type="containsText" dxfId="222" priority="3" operator="containsText" text="DIRECT_HEADWORD"/>
    <x:cfRule type="containsText" dxfId="223" priority="4" operator="containsText" text="TECHNICAL_GLOSSARY"/>
    <x:cfRule type="containsText" dxfId="224" priority="5" operator="containsText" text="ZERO"/>
    <x:cfRule type="containsText" dxfId="225" priority="6" operator="containsText" text="UNRESOLVED"/>
    <x:cfRule type="containsText" dxfId="226" priority="7" operator="containsText" text="PENDING"/>
    <x:cfRule type="containsText" dxfId="227" priority="8" operator="containsText" text="NOT_EXPOSED"/>
    <x:cfRule type="containsText" dxfId="228" priority="9" operator="containsText" text="NOT_ANNOTATED"/>
    <x:cfRule type="containsText" dxfId="229" priority="10" operator="containsText" text="NOT_LOCATED"/>
    <x:cfRule type="containsText" dxfId="230" priority="11" operator="containsText" text="NOT_APPLICABLE"/>
  </x:conditionalFormatting>
  <x:conditionalFormatting sqref="K5:K147">
    <x:cfRule type="containsText" dxfId="231" priority="12" operator="containsText" text="FULLY"/>
    <x:cfRule type="containsText" dxfId="232" priority="13" operator="containsText" text="SUCCESS"/>
    <x:cfRule type="containsText" dxfId="233" priority="14" operator="containsText" text="DIRECT_HEADWORD"/>
    <x:cfRule type="containsText" dxfId="234" priority="15" operator="containsText" text="TECHNICAL_GLOSSARY"/>
    <x:cfRule type="containsText" dxfId="235" priority="16" operator="containsText" text="ZERO"/>
    <x:cfRule type="containsText" dxfId="236" priority="17" operator="containsText" text="UNRESOLVED"/>
    <x:cfRule type="containsText" dxfId="237" priority="18" operator="containsText" text="PENDING"/>
    <x:cfRule type="containsText" dxfId="238" priority="19" operator="containsText" text="NOT_EXPOSED"/>
    <x:cfRule type="containsText" dxfId="239" priority="20" operator="containsText" text="NOT_ANNOTATED"/>
    <x:cfRule type="containsText" dxfId="240" priority="21" operator="containsText" text="NOT_LOCATED"/>
    <x:cfRule type="containsText" dxfId="241" priority="22" operator="containsText" text="NOT_APPLICABLE"/>
  </x:conditionalFormatting>
  <x:pageMargins left="0.7" right="0.7" top="0.75" bottom="0.75" header="0.3" footer="0.3"/>
  <x:tableParts count="1">
    <x:tablePart xmlns:r="http://schemas.openxmlformats.org/officeDocument/2006/relationships" r:id="R6b8a65f357644df1"/>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23" hidden="0" customWidth="1"/>
    <x:col min="4" max="4" width="17" hidden="0" customWidth="1"/>
    <x:col min="5" max="5" width="17" hidden="0" customWidth="1"/>
    <x:col min="6" max="6" width="16" hidden="0" customWidth="1"/>
    <x:col min="7" max="7" width="38" hidden="0" customWidth="1"/>
    <x:col min="8" max="8" width="16" hidden="0" customWidth="1"/>
    <x:col min="9" max="9" width="42" hidden="0" customWidth="1"/>
    <x:col min="10" max="10" width="16" hidden="0" customWidth="1"/>
    <x:col min="11" max="11" width="38" hidden="0" customWidth="1"/>
    <x:col min="12" max="12" width="16" hidden="0" customWidth="1"/>
  </x:cols>
  <x:sheetData>
    <x:row r="1" ht="38" customHeight="1">
      <x:c r="A1" s="3" t="str">
        <x:v>Raw Ngram Execution Status</x:v>
      </x:c>
      <x:c r="B1" s="3" t="str">
        <x:v>Raw Ngram Execution Status</x:v>
      </x:c>
      <x:c r="C1" s="3" t="str">
        <x:v>Raw Ngram Execution Status</x:v>
      </x:c>
      <x:c r="D1" s="3" t="str">
        <x:v>Raw Ngram Execution Status</x:v>
      </x:c>
      <x:c r="E1" s="3" t="str">
        <x:v>Raw Ngram Execution Status</x:v>
      </x:c>
      <x:c r="F1" s="3" t="str">
        <x:v>Raw Ngram Execution Status</x:v>
      </x:c>
      <x:c r="G1" s="3" t="str">
        <x:v>Raw Ngram Execution Status</x:v>
      </x:c>
      <x:c r="H1" s="3" t="str">
        <x:v>Raw Ngram Execution Status</x:v>
      </x:c>
      <x:c r="I1" s="3" t="str">
        <x:v>Raw Ngram Execution Status</x:v>
      </x:c>
      <x:c r="J1" s="3" t="str">
        <x:v>Raw Ngram Execution Status</x:v>
      </x:c>
      <x:c r="K1" s="3" t="str">
        <x:v>Raw Ngram Execution Status</x:v>
      </x:c>
      <x:c r="L1" s="3" t="str">
        <x:v>Raw Ngram Execution Status</x:v>
      </x:c>
    </x:row>
    <x:row r="2" ht="31" customHeight="1">
      <x:c r="A2" s="7" t="str">
        <x:v>Provider response accounting, raw-response checksums, timestamps and explicit zero/incompatible outcomes.</x:v>
      </x:c>
      <x:c r="B2" s="7" t="str">
        <x:v>Provider response accounting, raw-response checksums, timestamps and explicit zero/incompatible outcomes.</x:v>
      </x:c>
      <x:c r="C2" s="7" t="str">
        <x:v>Provider response accounting, raw-response checksums, timestamps and explicit zero/incompatible outcomes.</x:v>
      </x:c>
      <x:c r="D2" s="7" t="str">
        <x:v>Provider response accounting, raw-response checksums, timestamps and explicit zero/incompatible outcomes.</x:v>
      </x:c>
      <x:c r="E2" s="7" t="str">
        <x:v>Provider response accounting, raw-response checksums, timestamps and explicit zero/incompatible outcomes.</x:v>
      </x:c>
      <x:c r="F2" s="7" t="str">
        <x:v>Provider response accounting, raw-response checksums, timestamps and explicit zero/incompatible outcomes.</x:v>
      </x:c>
      <x:c r="G2" s="7" t="str">
        <x:v>Provider response accounting, raw-response checksums, timestamps and explicit zero/incompatible outcomes.</x:v>
      </x:c>
      <x:c r="H2" s="7" t="str">
        <x:v>Provider response accounting, raw-response checksums, timestamps and explicit zero/incompatible outcomes.</x:v>
      </x:c>
      <x:c r="I2" s="7" t="str">
        <x:v>Provider response accounting, raw-response checksums, timestamps and explicit zero/incompatible outcomes.</x:v>
      </x:c>
      <x:c r="J2" s="7" t="str">
        <x:v>Provider response accounting, raw-response checksums, timestamps and explicit zero/incompatible outcomes.</x:v>
      </x:c>
      <x:c r="K2" s="7" t="str">
        <x:v>Provider response accounting, raw-response checksums, timestamps and explicit zero/incompatible outcomes.</x:v>
      </x:c>
      <x:c r="L2" s="7" t="str">
        <x:v>Provider response accounting, raw-response checksums, timestamps and explicit zero/incompatible outcomes.</x:v>
      </x:c>
    </x:row>
    <x:row r="4" ht="42" customHeight="1">
      <x:c r="A4" s="14" t="str">
        <x:v>query_id</x:v>
      </x:c>
      <x:c r="B4" s="14" t="str">
        <x:v>request_surface_form</x:v>
      </x:c>
      <x:c r="C4" s="14" t="str">
        <x:v>execution_status</x:v>
      </x:c>
      <x:c r="D4" s="14" t="str">
        <x:v>attempt_count</x:v>
      </x:c>
      <x:c r="E4" s="14" t="str">
        <x:v>observation_count</x:v>
      </x:c>
      <x:c r="F4" s="14" t="str">
        <x:v>first_response_ngram</x:v>
      </x:c>
      <x:c r="G4" s="14" t="str">
        <x:v>raw_response_path</x:v>
      </x:c>
      <x:c r="H4" s="14" t="str">
        <x:v>raw_payload_sha256</x:v>
      </x:c>
      <x:c r="I4" s="14" t="str">
        <x:v>error_reason</x:v>
      </x:c>
      <x:c r="J4" s="14" t="str">
        <x:v>retrieved_at</x:v>
      </x:c>
      <x:c r="K4" s="14" t="str">
        <x:v>request_url</x:v>
      </x:c>
      <x:c r="L4" s="14" t="str">
        <x:v>content_type</x:v>
      </x:c>
    </x:row>
    <x:row r="5" ht="27" customHeight="1">
      <x:c r="A5" s="15" t="str">
        <x:v>FT-Q-V01-001</x:v>
      </x:c>
      <x:c r="B5" s="30" t="str">
        <x:v>temperature</x:v>
      </x:c>
      <x:c r="C5" s="30" t="str">
        <x:v>SUCCEEDED</x:v>
      </x:c>
      <x:c r="D5" s="27" t="n">
        <x:v>0</x:v>
      </x:c>
      <x:c r="E5" s="27" t="n">
        <x:v>181</x:v>
      </x:c>
      <x:c r="F5" s="16" t="str">
        <x:v>temperature (All)</x:v>
      </x:c>
      <x:c r="G5" s="30" t="str">
        <x:v>data/fear-temperature/ngram/raw/179a52b9336531c34b94ed0259d967ff017a402a8b91c8b496d5e31653598f08.json</x:v>
      </x:c>
      <x:c r="H5" s="16" t="str">
        <x:v>7b1ac8fa84bb224c6710a58bfcebdfa405b91a35f16b0993dddc025192051e21</x:v>
      </x:c>
      <x:c r="I5" s="30" t="str"/>
      <x:c r="J5" s="16" t="n">
        <x:v>46260.106770833336</x:v>
      </x:c>
      <x:c r="K5" s="30" t="str">
        <x:v>https://books.google.com/ngrams/json?content=temperature&amp;year_start=1842&amp;year_end=2022&amp;corpus=eng&amp;smoothing=0&amp;case_insensitive=true</x:v>
      </x:c>
      <x:c r="L5" s="17" t="str">
        <x:v>application/json (cached)</x:v>
      </x:c>
    </x:row>
    <x:row r="6" ht="27" customHeight="1">
      <x:c r="A6" s="18" t="str">
        <x:v>FT-Q-V01-002</x:v>
      </x:c>
      <x:c r="B6" s="31" t="str">
        <x:v>mean temperature</x:v>
      </x:c>
      <x:c r="C6" s="31" t="str">
        <x:v>SUCCEEDED</x:v>
      </x:c>
      <x:c r="D6" s="28" t="n">
        <x:v>0</x:v>
      </x:c>
      <x:c r="E6" s="28" t="n">
        <x:v>181</x:v>
      </x:c>
      <x:c r="F6" s="19" t="str">
        <x:v>mean temperature (All)</x:v>
      </x:c>
      <x:c r="G6" s="31" t="str">
        <x:v>data/fear-temperature/ngram/raw/264e2d12fe20c5aa6284ae43253eabc03ec9e11aa2056afde9e77d33d8e97530.json</x:v>
      </x:c>
      <x:c r="H6" s="19" t="str">
        <x:v>0d049bebf2e700224bc9339569434af87e3983662263462216b4b91cca41460d</x:v>
      </x:c>
      <x:c r="I6" s="31" t="str"/>
      <x:c r="J6" s="19" t="n">
        <x:v>46260.106782407405</x:v>
      </x:c>
      <x:c r="K6" s="31" t="str">
        <x:v>https://books.google.com/ngrams/json?content=mean+temperature&amp;year_start=1842&amp;year_end=2022&amp;corpus=eng&amp;smoothing=0&amp;case_insensitive=true</x:v>
      </x:c>
      <x:c r="L6" s="20" t="str">
        <x:v>application/json (cached)</x:v>
      </x:c>
    </x:row>
    <x:row r="7" ht="27" customHeight="1">
      <x:c r="A7" s="18" t="str">
        <x:v>FT-Q-V01-003</x:v>
      </x:c>
      <x:c r="B7" s="31" t="str">
        <x:v>temperature of the air in shade</x:v>
      </x:c>
      <x:c r="C7" s="31" t="str">
        <x:v>SUCCEEDED</x:v>
      </x:c>
      <x:c r="D7" s="28" t="n">
        <x:v>0</x:v>
      </x:c>
      <x:c r="E7" s="28" t="n">
        <x:v>181</x:v>
      </x:c>
      <x:c r="F7" s="19" t="str">
        <x:v>temperature of the air in shade</x:v>
      </x:c>
      <x:c r="G7" s="31" t="str">
        <x:v>data/fear-temperature/ngram/raw/1524427f0c535f347e97e3332fb50571eca9bae9e865c6017848e2e009d95b39.json</x:v>
      </x:c>
      <x:c r="H7" s="19" t="str">
        <x:v>250caa923d54487a5a3bc3708b3e20595f2a4f76a5b9c32eafd5ea9a114d410e</x:v>
      </x:c>
      <x:c r="I7" s="31" t="str"/>
      <x:c r="J7" s="19" t="n">
        <x:v>46260.10679398148</x:v>
      </x:c>
      <x:c r="K7" s="31" t="str">
        <x:v>https://books.google.com/ngrams/json?content=temperature+of+the+air+in+shade&amp;year_start=1842&amp;year_end=2022&amp;corpus=eng&amp;smoothing=0&amp;case_insensitive=true</x:v>
      </x:c>
      <x:c r="L7" s="20" t="str">
        <x:v>application/json (cached)</x:v>
      </x:c>
    </x:row>
    <x:row r="8" ht="27" customHeight="1">
      <x:c r="A8" s="18" t="str">
        <x:v>FT-Q-V01-004</x:v>
      </x:c>
      <x:c r="B8" s="31" t="str">
        <x:v>maximum temperature</x:v>
      </x:c>
      <x:c r="C8" s="31" t="str">
        <x:v>SUCCEEDED</x:v>
      </x:c>
      <x:c r="D8" s="28" t="n">
        <x:v>0</x:v>
      </x:c>
      <x:c r="E8" s="28" t="n">
        <x:v>181</x:v>
      </x:c>
      <x:c r="F8" s="19" t="str">
        <x:v>maximum temperature (All)</x:v>
      </x:c>
      <x:c r="G8" s="31" t="str">
        <x:v>data/fear-temperature/ngram/raw/9ef1e684d6470a99165d520c50c1782090e9e2db528fdf5e71f55f8f1d4f7ce2.json</x:v>
      </x:c>
      <x:c r="H8" s="19" t="str">
        <x:v>28f029f228a6a5f33352648bfa6c4b4b1c052cd8d2099dc7b0a0edb3cf22a8bd</x:v>
      </x:c>
      <x:c r="I8" s="31" t="str"/>
      <x:c r="J8" s="19" t="n">
        <x:v>46260.10680555556</x:v>
      </x:c>
      <x:c r="K8" s="31" t="str">
        <x:v>https://books.google.com/ngrams/json?content=maximum+temperature&amp;year_start=1842&amp;year_end=2022&amp;corpus=eng&amp;smoothing=0&amp;case_insensitive=true</x:v>
      </x:c>
      <x:c r="L8" s="20" t="str">
        <x:v>application/json (cached)</x:v>
      </x:c>
    </x:row>
    <x:row r="9" ht="27" customHeight="1">
      <x:c r="A9" s="18" t="str">
        <x:v>FT-Q-V01-005</x:v>
      </x:c>
      <x:c r="B9" s="31" t="str">
        <x:v>minimum temperature</x:v>
      </x:c>
      <x:c r="C9" s="31" t="str">
        <x:v>SUCCEEDED</x:v>
      </x:c>
      <x:c r="D9" s="28" t="n">
        <x:v>0</x:v>
      </x:c>
      <x:c r="E9" s="28" t="n">
        <x:v>181</x:v>
      </x:c>
      <x:c r="F9" s="19" t="str">
        <x:v>minimum temperature (All)</x:v>
      </x:c>
      <x:c r="G9" s="31" t="str">
        <x:v>data/fear-temperature/ngram/raw/f32958ead9a4b7905bc78d007acd99b3363766a0ba25f1c363d262f5614f0be2.json</x:v>
      </x:c>
      <x:c r="H9" s="19" t="str">
        <x:v>cb4937cf3c5e61cba23f17e6b3b008d1d901e8f46f706f8854c043ed5362a30f</x:v>
      </x:c>
      <x:c r="I9" s="31" t="str"/>
      <x:c r="J9" s="19" t="n">
        <x:v>46260.10681712963</x:v>
      </x:c>
      <x:c r="K9" s="31" t="str">
        <x:v>https://books.google.com/ngrams/json?content=minimum+temperature&amp;year_start=1842&amp;year_end=2022&amp;corpus=eng&amp;smoothing=0&amp;case_insensitive=true</x:v>
      </x:c>
      <x:c r="L9" s="20" t="str">
        <x:v>application/json (cached)</x:v>
      </x:c>
    </x:row>
    <x:row r="10" ht="27" customHeight="1">
      <x:c r="A10" s="18" t="str">
        <x:v>FT-Q-V01-006</x:v>
      </x:c>
      <x:c r="B10" s="31" t="str">
        <x:v>mean temperature of sea at surface</x:v>
      </x:c>
      <x:c r="C10" s="31" t="str">
        <x:v>ZERO_RESULT</x:v>
      </x:c>
      <x:c r="D10" s="28" t="n">
        <x:v>0</x:v>
      </x:c>
      <x:c r="E10" s="28" t="n">
        <x:v>0</x:v>
      </x:c>
      <x:c r="F10" s="19" t="str"/>
      <x:c r="G10" s="31" t="str">
        <x:v>data/fear-temperature/ngram/raw/3821c7b527e63ea16225f9ddeb9ceaf467e51e1486c0c84fca0bc5502dcf20d4.json</x:v>
      </x:c>
      <x:c r="H10" s="19" t="str">
        <x:v>4f53cda18c2baa0c0354bb5f9a3ecbe5ed12ab4d8e11ba873c2f11161202b945</x:v>
      </x:c>
      <x:c r="I10" s="31" t="str"/>
      <x:c r="J10" s="19" t="n">
        <x:v>46260.10681712963</x:v>
      </x:c>
      <x:c r="K10" s="31" t="str">
        <x:v>https://books.google.com/ngrams/json?content=mean+temperature+of+sea+at+surface&amp;year_start=1842&amp;year_end=2022&amp;corpus=eng&amp;smoothing=0&amp;case_insensitive=true</x:v>
      </x:c>
      <x:c r="L10" s="20" t="str">
        <x:v>application/json (cached)</x:v>
      </x:c>
    </x:row>
    <x:row r="11" ht="27" customHeight="1">
      <x:c r="A11" s="18" t="str">
        <x:v>FT-Q-V01-007</x:v>
      </x:c>
      <x:c r="B11" s="31" t="str">
        <x:v>dew point</x:v>
      </x:c>
      <x:c r="C11" s="31" t="str">
        <x:v>SUCCEEDED</x:v>
      </x:c>
      <x:c r="D11" s="28" t="n">
        <x:v>0</x:v>
      </x:c>
      <x:c r="E11" s="28" t="n">
        <x:v>181</x:v>
      </x:c>
      <x:c r="F11" s="19" t="str">
        <x:v>dew point (All)</x:v>
      </x:c>
      <x:c r="G11" s="31" t="str">
        <x:v>data/fear-temperature/ngram/raw/4898435e13db75c393f88431adaa7c57e859e86e427c2a0c7f85ffed43c9489d.json</x:v>
      </x:c>
      <x:c r="H11" s="19" t="str">
        <x:v>b9e4619dcf3e1a5a8ef4241db90057077bb2a84c43f8b339efefff04c99478ae</x:v>
      </x:c>
      <x:c r="I11" s="31" t="str"/>
      <x:c r="J11" s="19" t="n">
        <x:v>46260.106828703705</x:v>
      </x:c>
      <x:c r="K11" s="31" t="str">
        <x:v>https://books.google.com/ngrams/json?content=dew+point&amp;year_start=1842&amp;year_end=2022&amp;corpus=eng&amp;smoothing=0&amp;case_insensitive=true</x:v>
      </x:c>
      <x:c r="L11" s="20" t="str">
        <x:v>application/json (cached)</x:v>
      </x:c>
    </x:row>
    <x:row r="12" ht="27" customHeight="1">
      <x:c r="A12" s="18" t="str">
        <x:v>FT-Q-V01-008</x:v>
      </x:c>
      <x:c r="B12" s="31" t="str">
        <x:v>standard thermometer</x:v>
      </x:c>
      <x:c r="C12" s="31" t="str">
        <x:v>SUCCEEDED</x:v>
      </x:c>
      <x:c r="D12" s="28" t="n">
        <x:v>0</x:v>
      </x:c>
      <x:c r="E12" s="28" t="n">
        <x:v>181</x:v>
      </x:c>
      <x:c r="F12" s="19" t="str">
        <x:v>standard thermometer (All)</x:v>
      </x:c>
      <x:c r="G12" s="31" t="str">
        <x:v>data/fear-temperature/ngram/raw/1b5489f7c11dc47a84c822f25bba9106c5bb57ed260344f09cccb40c2a47e5ab.json</x:v>
      </x:c>
      <x:c r="H12" s="19" t="str">
        <x:v>c1cfa95abfec15203a98da604e7f82af601f7015f3cc2da0ac62fe18e736fe0a</x:v>
      </x:c>
      <x:c r="I12" s="31" t="str"/>
      <x:c r="J12" s="19" t="n">
        <x:v>46260.106840277775</x:v>
      </x:c>
      <x:c r="K12" s="31" t="str">
        <x:v>https://books.google.com/ngrams/json?content=standard+thermometer&amp;year_start=1842&amp;year_end=2022&amp;corpus=eng&amp;smoothing=0&amp;case_insensitive=true</x:v>
      </x:c>
      <x:c r="L12" s="20" t="str">
        <x:v>application/json (cached)</x:v>
      </x:c>
    </x:row>
    <x:row r="13" ht="27" customHeight="1">
      <x:c r="A13" s="18" t="str">
        <x:v>FT-Q-V01-009</x:v>
      </x:c>
      <x:c r="B13" s="31" t="str">
        <x:v>attached thermometer</x:v>
      </x:c>
      <x:c r="C13" s="31" t="str">
        <x:v>SUCCEEDED</x:v>
      </x:c>
      <x:c r="D13" s="28" t="n">
        <x:v>0</x:v>
      </x:c>
      <x:c r="E13" s="28" t="n">
        <x:v>181</x:v>
      </x:c>
      <x:c r="F13" s="19" t="str">
        <x:v>attached thermometer (All)</x:v>
      </x:c>
      <x:c r="G13" s="31" t="str">
        <x:v>data/fear-temperature/ngram/raw/6a0588ceb7b0cd726403d59e6ae13eb6618e91f3b5f21baa3ed0fa972b12fdf6.json</x:v>
      </x:c>
      <x:c r="H13" s="19" t="str">
        <x:v>59a1407d0cf2bd7a984e4b5daefd48fce43fdfda233e90f0e15253ccb38a5a1c</x:v>
      </x:c>
      <x:c r="I13" s="31" t="str"/>
      <x:c r="J13" s="19" t="n">
        <x:v>46260.10685185185</x:v>
      </x:c>
      <x:c r="K13" s="31" t="str">
        <x:v>https://books.google.com/ngrams/json?content=attached+thermometer&amp;year_start=1842&amp;year_end=2022&amp;corpus=eng&amp;smoothing=0&amp;case_insensitive=true</x:v>
      </x:c>
      <x:c r="L13" s="20" t="str">
        <x:v>application/json (cached)</x:v>
      </x:c>
    </x:row>
    <x:row r="14" ht="27" customHeight="1">
      <x:c r="A14" s="18" t="str">
        <x:v>FT-Q-V01-010</x:v>
      </x:c>
      <x:c r="B14" s="31" t="str">
        <x:v>dry bulb thermometer</x:v>
      </x:c>
      <x:c r="C14" s="31" t="str">
        <x:v>SUCCEEDED</x:v>
      </x:c>
      <x:c r="D14" s="28" t="n">
        <x:v>0</x:v>
      </x:c>
      <x:c r="E14" s="28" t="n">
        <x:v>181</x:v>
      </x:c>
      <x:c r="F14" s="19" t="str">
        <x:v>dry bulb thermometer (All)</x:v>
      </x:c>
      <x:c r="G14" s="31" t="str">
        <x:v>data/fear-temperature/ngram/raw/ccf7b062d1c1fa3d9074e3f27879fdf37eb632c5d285dd90fa3bbaaeca5e0586.json</x:v>
      </x:c>
      <x:c r="H14" s="19" t="str">
        <x:v>8c09120e509519427381f873a7d0a9a62003137ee5ceba10bcaf908e05767047</x:v>
      </x:c>
      <x:c r="I14" s="31" t="str"/>
      <x:c r="J14" s="19" t="n">
        <x:v>46260.10686342593</x:v>
      </x:c>
      <x:c r="K14" s="31" t="str">
        <x:v>https://books.google.com/ngrams/json?content=dry+bulb+thermometer&amp;year_start=1842&amp;year_end=2022&amp;corpus=eng&amp;smoothing=0&amp;case_insensitive=true</x:v>
      </x:c>
      <x:c r="L14" s="20" t="str">
        <x:v>application/json (cached)</x:v>
      </x:c>
    </x:row>
    <x:row r="15" ht="27" customHeight="1">
      <x:c r="A15" s="18" t="str">
        <x:v>FT-Q-V01-011</x:v>
      </x:c>
      <x:c r="B15" s="31" t="str">
        <x:v>wet bulb thermometer</x:v>
      </x:c>
      <x:c r="C15" s="31" t="str">
        <x:v>SUCCEEDED</x:v>
      </x:c>
      <x:c r="D15" s="28" t="n">
        <x:v>0</x:v>
      </x:c>
      <x:c r="E15" s="28" t="n">
        <x:v>181</x:v>
      </x:c>
      <x:c r="F15" s="19" t="str">
        <x:v>wet bulb thermometer (All)</x:v>
      </x:c>
      <x:c r="G15" s="31" t="str">
        <x:v>data/fear-temperature/ngram/raw/39268f7b0edac2a3caeb7bce6236c526ab82e48a6b48cb0cc06bf5cf840cbe9a.json</x:v>
      </x:c>
      <x:c r="H15" s="19" t="str">
        <x:v>d35055a0b9c6a637171bbd8239bfe1bc58480ec784c994c23cb833d3a9ad128e</x:v>
      </x:c>
      <x:c r="I15" s="31" t="str"/>
      <x:c r="J15" s="19" t="n">
        <x:v>46260.106875</x:v>
      </x:c>
      <x:c r="K15" s="31" t="str">
        <x:v>https://books.google.com/ngrams/json?content=wet+bulb+thermometer&amp;year_start=1842&amp;year_end=2022&amp;corpus=eng&amp;smoothing=0&amp;case_insensitive=true</x:v>
      </x:c>
      <x:c r="L15" s="20" t="str">
        <x:v>application/json (cached)</x:v>
      </x:c>
    </x:row>
    <x:row r="16" ht="27" customHeight="1">
      <x:c r="A16" s="18" t="str">
        <x:v>FT-Q-V01-012</x:v>
      </x:c>
      <x:c r="B16" s="31" t="str">
        <x:v>meteorological observations</x:v>
      </x:c>
      <x:c r="C16" s="31" t="str">
        <x:v>SUCCEEDED</x:v>
      </x:c>
      <x:c r="D16" s="28" t="n">
        <x:v>0</x:v>
      </x:c>
      <x:c r="E16" s="28" t="n">
        <x:v>181</x:v>
      </x:c>
      <x:c r="F16" s="19" t="str">
        <x:v>meteorological observations (All)</x:v>
      </x:c>
      <x:c r="G16" s="31" t="str">
        <x:v>data/fear-temperature/ngram/raw/32e5ce8ef7371cdbf27a5865c35c03777dcd78911b87337158ac77f129ae383f.json</x:v>
      </x:c>
      <x:c r="H16" s="19" t="str">
        <x:v>0905be99bac63e06ac6c8e689f3bfbe505ac621dca092ce408faaf136cd061a7</x:v>
      </x:c>
      <x:c r="I16" s="31" t="str"/>
      <x:c r="J16" s="19" t="n">
        <x:v>46260.106886574074</x:v>
      </x:c>
      <x:c r="K16" s="31" t="str">
        <x:v>https://books.google.com/ngrams/json?content=meteorological+observations&amp;year_start=1842&amp;year_end=2022&amp;corpus=eng&amp;smoothing=0&amp;case_insensitive=true</x:v>
      </x:c>
      <x:c r="L16" s="20" t="str">
        <x:v>application/json (cached)</x:v>
      </x:c>
    </x:row>
    <x:row r="17" ht="27" customHeight="1">
      <x:c r="A17" s="18" t="str">
        <x:v>FT-Q-V01-013</x:v>
      </x:c>
      <x:c r="B17" s="31" t="str">
        <x:v>meteorological journal</x:v>
      </x:c>
      <x:c r="C17" s="31" t="str">
        <x:v>SUCCEEDED</x:v>
      </x:c>
      <x:c r="D17" s="28" t="n">
        <x:v>0</x:v>
      </x:c>
      <x:c r="E17" s="28" t="n">
        <x:v>181</x:v>
      </x:c>
      <x:c r="F17" s="19" t="str">
        <x:v>meteorological journal (All)</x:v>
      </x:c>
      <x:c r="G17" s="31" t="str">
        <x:v>data/fear-temperature/ngram/raw/e11a874b3aa528b4ca775a4792b211f9ae21d79d674027de8fdaf55138f5e246.json</x:v>
      </x:c>
      <x:c r="H17" s="19" t="str">
        <x:v>13edc32ce4e15cc2ce6084d18fb145eef7b82ccb515d23a482a404e4b6411bb0</x:v>
      </x:c>
      <x:c r="I17" s="31" t="str"/>
      <x:c r="J17" s="19" t="n">
        <x:v>46260.106886574074</x:v>
      </x:c>
      <x:c r="K17" s="31" t="str">
        <x:v>https://books.google.com/ngrams/json?content=meteorological+journal&amp;year_start=1842&amp;year_end=2022&amp;corpus=eng&amp;smoothing=0&amp;case_insensitive=true</x:v>
      </x:c>
      <x:c r="L17" s="20" t="str">
        <x:v>application/json (cached)</x:v>
      </x:c>
    </x:row>
    <x:row r="18" ht="27" customHeight="1">
      <x:c r="A18" s="18" t="str">
        <x:v>FT-Q-V01-014</x:v>
      </x:c>
      <x:c r="B18" s="31" t="str">
        <x:v>weather</x:v>
      </x:c>
      <x:c r="C18" s="31" t="str">
        <x:v>SUCCEEDED</x:v>
      </x:c>
      <x:c r="D18" s="28" t="n">
        <x:v>0</x:v>
      </x:c>
      <x:c r="E18" s="28" t="n">
        <x:v>181</x:v>
      </x:c>
      <x:c r="F18" s="19" t="str">
        <x:v>weather (All)</x:v>
      </x:c>
      <x:c r="G18" s="31" t="str">
        <x:v>data/fear-temperature/ngram/raw/b1c235e1f9b54d9c47f30260c9750c598212bb32714ef6ab727ce897ed2fe408.json</x:v>
      </x:c>
      <x:c r="H18" s="19" t="str">
        <x:v>81c3fdb4504f11cc591d1094b7f7e132e70acb0cb11aa2a35823019cf3ecc4d9</x:v>
      </x:c>
      <x:c r="I18" s="31" t="str"/>
      <x:c r="J18" s="19" t="n">
        <x:v>46260.10689814815</x:v>
      </x:c>
      <x:c r="K18" s="31" t="str">
        <x:v>https://books.google.com/ngrams/json?content=weather&amp;year_start=1842&amp;year_end=2022&amp;corpus=eng&amp;smoothing=0&amp;case_insensitive=true</x:v>
      </x:c>
      <x:c r="L18" s="20" t="str">
        <x:v>application/json (cached)</x:v>
      </x:c>
    </x:row>
    <x:row r="19" ht="27" customHeight="1">
      <x:c r="A19" s="18" t="str">
        <x:v>FT-Q-V01-015</x:v>
      </x:c>
      <x:c r="B19" s="31" t="str">
        <x:v>climate</x:v>
      </x:c>
      <x:c r="C19" s="31" t="str">
        <x:v>SUCCEEDED</x:v>
      </x:c>
      <x:c r="D19" s="28" t="n">
        <x:v>0</x:v>
      </x:c>
      <x:c r="E19" s="28" t="n">
        <x:v>181</x:v>
      </x:c>
      <x:c r="F19" s="19" t="str">
        <x:v>climate (All)</x:v>
      </x:c>
      <x:c r="G19" s="31" t="str">
        <x:v>data/fear-temperature/ngram/raw/15b0e51d7801a15c04a08d94fa0d6eafde8f1970a7229d0a666bcb7896395fae.json</x:v>
      </x:c>
      <x:c r="H19" s="19" t="str">
        <x:v>497b1e86894d256ceba1b428edc7ff112ec189615241b53db1c94f3f850e6b68</x:v>
      </x:c>
      <x:c r="I19" s="31" t="str"/>
      <x:c r="J19" s="19" t="n">
        <x:v>46260.10690972222</x:v>
      </x:c>
      <x:c r="K19" s="31" t="str">
        <x:v>https://books.google.com/ngrams/json?content=climate&amp;year_start=1842&amp;year_end=2022&amp;corpus=eng&amp;smoothing=0&amp;case_insensitive=true</x:v>
      </x:c>
      <x:c r="L19" s="20" t="str">
        <x:v>application/json (cached)</x:v>
      </x:c>
    </x:row>
    <x:row r="20" ht="27" customHeight="1">
      <x:c r="A20" s="18" t="str">
        <x:v>FT-Q-V01-016</x:v>
      </x:c>
      <x:c r="B20" s="31" t="str">
        <x:v>sun's heat</x:v>
      </x:c>
      <x:c r="C20" s="31" t="str">
        <x:v>ZERO_RESULT</x:v>
      </x:c>
      <x:c r="D20" s="28" t="n">
        <x:v>0</x:v>
      </x:c>
      <x:c r="E20" s="28" t="n">
        <x:v>0</x:v>
      </x:c>
      <x:c r="F20" s="19" t="str"/>
      <x:c r="G20" s="31" t="str">
        <x:v>data/fear-temperature/ngram/raw/a5e0c6f662bea7df30da2af8d6f74cfa8d7e2db15acbb2556c3ecd3d4ba34a26.json</x:v>
      </x:c>
      <x:c r="H20" s="19" t="str">
        <x:v>4f53cda18c2baa0c0354bb5f9a3ecbe5ed12ab4d8e11ba873c2f11161202b945</x:v>
      </x:c>
      <x:c r="I20" s="31" t="str"/>
      <x:c r="J20" s="19" t="n">
        <x:v>46260.1069212963</x:v>
      </x:c>
      <x:c r="K20" s="31" t="str">
        <x:v>https://books.google.com/ngrams/json?content=sun%27s+heat&amp;year_start=1842&amp;year_end=2022&amp;corpus=eng&amp;smoothing=0&amp;case_insensitive=true</x:v>
      </x:c>
      <x:c r="L20" s="20" t="str">
        <x:v>application/json (cached)</x:v>
      </x:c>
    </x:row>
    <x:row r="21" ht="27" customHeight="1">
      <x:c r="A21" s="18" t="str">
        <x:v>FT-Q-V01-017</x:v>
      </x:c>
      <x:c r="B21" s="31" t="str">
        <x:v>radiation of the heat</x:v>
      </x:c>
      <x:c r="C21" s="31" t="str">
        <x:v>SUCCEEDED</x:v>
      </x:c>
      <x:c r="D21" s="28" t="n">
        <x:v>0</x:v>
      </x:c>
      <x:c r="E21" s="28" t="n">
        <x:v>181</x:v>
      </x:c>
      <x:c r="F21" s="19" t="str">
        <x:v>radiation of the heat (All)</x:v>
      </x:c>
      <x:c r="G21" s="31" t="str">
        <x:v>data/fear-temperature/ngram/raw/b1d91453b664fdcc21e4e3d3431ebf93f214078ffc9208777f1b541cd6603b40.json</x:v>
      </x:c>
      <x:c r="H21" s="19" t="str">
        <x:v>5b539f367ffe9914083998b2749e39e0b726e55e37756d5b8d0dbaf5c75df734</x:v>
      </x:c>
      <x:c r="I21" s="31" t="str"/>
      <x:c r="J21" s="19" t="n">
        <x:v>46260.10693287037</x:v>
      </x:c>
      <x:c r="K21" s="31" t="str">
        <x:v>https://books.google.com/ngrams/json?content=radiation+of+the+heat&amp;year_start=1842&amp;year_end=2022&amp;corpus=eng&amp;smoothing=0&amp;case_insensitive=true</x:v>
      </x:c>
      <x:c r="L21" s="20" t="str">
        <x:v>application/json (cached)</x:v>
      </x:c>
    </x:row>
    <x:row r="22" ht="27" customHeight="1">
      <x:c r="A22" s="18" t="str">
        <x:v>FT-Q-V01-018</x:v>
      </x:c>
      <x:c r="B22" s="31" t="str">
        <x:v>changes of temperature</x:v>
      </x:c>
      <x:c r="C22" s="31" t="str">
        <x:v>SUCCEEDED</x:v>
      </x:c>
      <x:c r="D22" s="28" t="n">
        <x:v>0</x:v>
      </x:c>
      <x:c r="E22" s="28" t="n">
        <x:v>181</x:v>
      </x:c>
      <x:c r="F22" s="19" t="str">
        <x:v>changes of temperature (All)</x:v>
      </x:c>
      <x:c r="G22" s="31" t="str">
        <x:v>data/fear-temperature/ngram/raw/e6b380a089b14610402078727599ceb65a1975ef78d3de6b2dc206afdbe3ddba.json</x:v>
      </x:c>
      <x:c r="H22" s="19" t="str">
        <x:v>080dc94b39011e4da65776e12ece9845800098be171ee8c1b24afa91a751ea3b</x:v>
      </x:c>
      <x:c r="I22" s="31" t="str"/>
      <x:c r="J22" s="19" t="n">
        <x:v>46260.106944444444</x:v>
      </x:c>
      <x:c r="K22" s="31" t="str">
        <x:v>https://books.google.com/ngrams/json?content=changes+of+temperature&amp;year_start=1842&amp;year_end=2022&amp;corpus=eng&amp;smoothing=0&amp;case_insensitive=true</x:v>
      </x:c>
      <x:c r="L22" s="20" t="str">
        <x:v>application/json (cached)</x:v>
      </x:c>
    </x:row>
    <x:row r="23" ht="27" customHeight="1">
      <x:c r="A23" s="18" t="str">
        <x:v>FT-Q-V01-019</x:v>
      </x:c>
      <x:c r="B23" s="31" t="str">
        <x:v>excessive heat</x:v>
      </x:c>
      <x:c r="C23" s="31" t="str">
        <x:v>SUCCEEDED</x:v>
      </x:c>
      <x:c r="D23" s="28" t="n">
        <x:v>0</x:v>
      </x:c>
      <x:c r="E23" s="28" t="n">
        <x:v>181</x:v>
      </x:c>
      <x:c r="F23" s="19" t="str">
        <x:v>excessive heat (All)</x:v>
      </x:c>
      <x:c r="G23" s="31" t="str">
        <x:v>data/fear-temperature/ngram/raw/f7c0a10c571c1deb244f8aad5b8580355924bf82e62e8910fbf3e507732cb56e.json</x:v>
      </x:c>
      <x:c r="H23" s="19" t="str">
        <x:v>cc8006ffcb3fe6076f98567d0d500509f3533b04ced7153830c62dfe297d0de3</x:v>
      </x:c>
      <x:c r="I23" s="31" t="str"/>
      <x:c r="J23" s="19" t="n">
        <x:v>46260.106944444444</x:v>
      </x:c>
      <x:c r="K23" s="31" t="str">
        <x:v>https://books.google.com/ngrams/json?content=excessive+heat&amp;year_start=1842&amp;year_end=2022&amp;corpus=eng&amp;smoothing=0&amp;case_insensitive=true</x:v>
      </x:c>
      <x:c r="L23" s="20" t="str">
        <x:v>application/json (cached)</x:v>
      </x:c>
    </x:row>
    <x:row r="24" ht="27" customHeight="1">
      <x:c r="A24" s="18" t="str">
        <x:v>FT-Q-V01-020</x:v>
      </x:c>
      <x:c r="B24" s="31" t="str">
        <x:v>heat of the men</x:v>
      </x:c>
      <x:c r="C24" s="31" t="str">
        <x:v>SUCCEEDED</x:v>
      </x:c>
      <x:c r="D24" s="28" t="n">
        <x:v>0</x:v>
      </x:c>
      <x:c r="E24" s="28" t="n">
        <x:v>181</x:v>
      </x:c>
      <x:c r="F24" s="19" t="str">
        <x:v>heat of the men</x:v>
      </x:c>
      <x:c r="G24" s="31" t="str">
        <x:v>data/fear-temperature/ngram/raw/092dbc9916c5011136639ba399e86bd9ee47958643e7546a67c81d6201da72e9.json</x:v>
      </x:c>
      <x:c r="H24" s="19" t="str">
        <x:v>85120697d4c2ec437cc3ea2a4c686fc42ab6389635aabd58bb86e2eb1fc84f24</x:v>
      </x:c>
      <x:c r="I24" s="31" t="str"/>
      <x:c r="J24" s="19" t="n">
        <x:v>46260.10695601852</x:v>
      </x:c>
      <x:c r="K24" s="31" t="str">
        <x:v>https://books.google.com/ngrams/json?content=heat+of+the+men&amp;year_start=1842&amp;year_end=2022&amp;corpus=eng&amp;smoothing=0&amp;case_insensitive=true</x:v>
      </x:c>
      <x:c r="L24" s="20" t="str">
        <x:v>application/json (cached)</x:v>
      </x:c>
    </x:row>
    <x:row r="25" ht="27" customHeight="1">
      <x:c r="A25" s="18" t="str">
        <x:v>FT-Q-V01-021</x:v>
      </x:c>
      <x:c r="B25" s="31" t="str">
        <x:v>artificial production of carbon dioxide</x:v>
      </x:c>
      <x:c r="C25" s="31" t="str">
        <x:v>SUCCEEDED</x:v>
      </x:c>
      <x:c r="D25" s="28" t="n">
        <x:v>0</x:v>
      </x:c>
      <x:c r="E25" s="28" t="n">
        <x:v>181</x:v>
      </x:c>
      <x:c r="F25" s="19" t="str">
        <x:v>artificial production of carbon dioxide (All)</x:v>
      </x:c>
      <x:c r="G25" s="31" t="str">
        <x:v>data/fear-temperature/ngram/raw/2070ecc01d91fb37ee4d7883be04c16d4a7880b3a2dff5f0827d4e72b3e577c0.json</x:v>
      </x:c>
      <x:c r="H25" s="19" t="str">
        <x:v>f5423761dba07093eab528001d454329accbcbef9b6106139045774d51243ae4</x:v>
      </x:c>
      <x:c r="I25" s="31" t="str"/>
      <x:c r="J25" s="19" t="n">
        <x:v>46260.10696759259</x:v>
      </x:c>
      <x:c r="K25" s="31" t="str">
        <x:v>https://books.google.com/ngrams/json?content=artificial+production+of+carbon+dioxide&amp;year_start=1842&amp;year_end=2022&amp;corpus=eng&amp;smoothing=0&amp;case_insensitive=true</x:v>
      </x:c>
      <x:c r="L25" s="20" t="str">
        <x:v>application/json (cached)</x:v>
      </x:c>
    </x:row>
    <x:row r="26" ht="27" customHeight="1">
      <x:c r="A26" s="18" t="str">
        <x:v>FT-Q-V01-022</x:v>
      </x:c>
      <x:c r="B26" s="31" t="str">
        <x:v>carbon dioxide</x:v>
      </x:c>
      <x:c r="C26" s="31" t="str">
        <x:v>SUCCEEDED</x:v>
      </x:c>
      <x:c r="D26" s="28" t="n">
        <x:v>0</x:v>
      </x:c>
      <x:c r="E26" s="28" t="n">
        <x:v>181</x:v>
      </x:c>
      <x:c r="F26" s="19" t="str">
        <x:v>carbon dioxide (All)</x:v>
      </x:c>
      <x:c r="G26" s="31" t="str">
        <x:v>data/fear-temperature/ngram/raw/4cb80f44edde6549156066466a74bfc57366da8f1cf6ad90b5890db731dd8d38.json</x:v>
      </x:c>
      <x:c r="H26" s="19" t="str">
        <x:v>48113e3d3205ec18e7a5090548a782b9e47ab9cba22c54d7740a706f13225f21</x:v>
      </x:c>
      <x:c r="I26" s="31" t="str"/>
      <x:c r="J26" s="19" t="n">
        <x:v>46260.10697916667</x:v>
      </x:c>
      <x:c r="K26" s="31" t="str">
        <x:v>https://books.google.com/ngrams/json?content=carbon+dioxide&amp;year_start=1842&amp;year_end=2022&amp;corpus=eng&amp;smoothing=0&amp;case_insensitive=true</x:v>
      </x:c>
      <x:c r="L26" s="20" t="str">
        <x:v>application/json (cached)</x:v>
      </x:c>
    </x:row>
    <x:row r="27" ht="27" customHeight="1">
      <x:c r="A27" s="18" t="str">
        <x:v>FT-Q-V01-023</x:v>
      </x:c>
      <x:c r="B27" s="31" t="str">
        <x:v>fuel combustion</x:v>
      </x:c>
      <x:c r="C27" s="31" t="str">
        <x:v>SUCCEEDED</x:v>
      </x:c>
      <x:c r="D27" s="28" t="n">
        <x:v>0</x:v>
      </x:c>
      <x:c r="E27" s="28" t="n">
        <x:v>181</x:v>
      </x:c>
      <x:c r="F27" s="19" t="str">
        <x:v>fuel combustion (All)</x:v>
      </x:c>
      <x:c r="G27" s="31" t="str">
        <x:v>data/fear-temperature/ngram/raw/12a8595c1716a3689b1352a631f6c4cb21fd6f97651228f8731d5c059da7ddcd.json</x:v>
      </x:c>
      <x:c r="H27" s="19" t="str">
        <x:v>244ceafe1a112e8748b2a3cd2a6cabbfc3e2828f5f28f5778e8b3d81fb111dfd</x:v>
      </x:c>
      <x:c r="I27" s="31" t="str"/>
      <x:c r="J27" s="19" t="n">
        <x:v>46260.106990740744</x:v>
      </x:c>
      <x:c r="K27" s="31" t="str">
        <x:v>https://books.google.com/ngrams/json?content=fuel+combustion&amp;year_start=1842&amp;year_end=2022&amp;corpus=eng&amp;smoothing=0&amp;case_insensitive=true</x:v>
      </x:c>
      <x:c r="L27" s="20" t="str">
        <x:v>application/json (cached)</x:v>
      </x:c>
    </x:row>
    <x:row r="28" ht="27" customHeight="1">
      <x:c r="A28" s="18" t="str">
        <x:v>FT-Q-V01-024</x:v>
      </x:c>
      <x:c r="B28" s="31" t="str">
        <x:v>air</x:v>
      </x:c>
      <x:c r="C28" s="31" t="str">
        <x:v>SUCCEEDED</x:v>
      </x:c>
      <x:c r="D28" s="28" t="n">
        <x:v>0</x:v>
      </x:c>
      <x:c r="E28" s="28" t="n">
        <x:v>181</x:v>
      </x:c>
      <x:c r="F28" s="19" t="str">
        <x:v>air (All)</x:v>
      </x:c>
      <x:c r="G28" s="31" t="str">
        <x:v>data/fear-temperature/ngram/raw/d1d71646f7752f96d980c2569f429edc861dee3fe41954ab8819ae80ac484917.json</x:v>
      </x:c>
      <x:c r="H28" s="19" t="str">
        <x:v>b0041edf36e3d95fedb2fe877b9a64ddc622b5166bb8bae9208f83dbb8b6f3e4</x:v>
      </x:c>
      <x:c r="I28" s="31" t="str"/>
      <x:c r="J28" s="19" t="n">
        <x:v>46260.10700231481</x:v>
      </x:c>
      <x:c r="K28" s="31" t="str">
        <x:v>https://books.google.com/ngrams/json?content=air&amp;year_start=1842&amp;year_end=2022&amp;corpus=eng&amp;smoothing=0&amp;case_insensitive=true</x:v>
      </x:c>
      <x:c r="L28" s="20" t="str">
        <x:v>application/json (cached)</x:v>
      </x:c>
    </x:row>
    <x:row r="29" ht="27" customHeight="1">
      <x:c r="A29" s="18" t="str">
        <x:v>FT-Q-V01-025</x:v>
      </x:c>
      <x:c r="B29" s="31" t="str">
        <x:v>atmosphere</x:v>
      </x:c>
      <x:c r="C29" s="31" t="str">
        <x:v>SUCCEEDED</x:v>
      </x:c>
      <x:c r="D29" s="28" t="n">
        <x:v>0</x:v>
      </x:c>
      <x:c r="E29" s="28" t="n">
        <x:v>181</x:v>
      </x:c>
      <x:c r="F29" s="19" t="str">
        <x:v>atmosphere (All)</x:v>
      </x:c>
      <x:c r="G29" s="31" t="str">
        <x:v>data/fear-temperature/ngram/raw/02abb1ffa0f647541454d9a403cb3fde6448b9c7ffe5a64372a582db79e9c276.json</x:v>
      </x:c>
      <x:c r="H29" s="19" t="str">
        <x:v>01b831b06cfb1018234a37db43abc0667a82c36388beaf342b71cdf531d34577</x:v>
      </x:c>
      <x:c r="I29" s="31" t="str"/>
      <x:c r="J29" s="19" t="n">
        <x:v>46260.10701388889</x:v>
      </x:c>
      <x:c r="K29" s="31" t="str">
        <x:v>https://books.google.com/ngrams/json?content=atmosphere&amp;year_start=1842&amp;year_end=2022&amp;corpus=eng&amp;smoothing=0&amp;case_insensitive=true</x:v>
      </x:c>
      <x:c r="L29" s="20" t="str">
        <x:v>application/json (cached)</x:v>
      </x:c>
    </x:row>
    <x:row r="30" ht="27" customHeight="1">
      <x:c r="A30" s="18" t="str">
        <x:v>FT-Q-V01-026</x:v>
      </x:c>
      <x:c r="B30" s="31" t="str">
        <x:v>radiation absorption coefficients</x:v>
      </x:c>
      <x:c r="C30" s="31" t="str">
        <x:v>SUCCEEDED</x:v>
      </x:c>
      <x:c r="D30" s="28" t="n">
        <x:v>0</x:v>
      </x:c>
      <x:c r="E30" s="28" t="n">
        <x:v>181</x:v>
      </x:c>
      <x:c r="F30" s="19" t="str">
        <x:v>radiation absorption coefficients (All)</x:v>
      </x:c>
      <x:c r="G30" s="31" t="str">
        <x:v>data/fear-temperature/ngram/raw/2171601fde96b2bd2865c8be4c2da3ae797032f05534d51e6686631886ce7cdb.json</x:v>
      </x:c>
      <x:c r="H30" s="19" t="str">
        <x:v>4aac3954e8bef6ac1877e3fef39fc9ddbabeef2b1e170714656bb83e2ce1e528</x:v>
      </x:c>
      <x:c r="I30" s="31" t="str"/>
      <x:c r="J30" s="19" t="n">
        <x:v>46260.10701388889</x:v>
      </x:c>
      <x:c r="K30" s="31" t="str">
        <x:v>https://books.google.com/ngrams/json?content=radiation+absorption+coefficients&amp;year_start=1842&amp;year_end=2022&amp;corpus=eng&amp;smoothing=0&amp;case_insensitive=true</x:v>
      </x:c>
      <x:c r="L30" s="20" t="str">
        <x:v>application/json (cached)</x:v>
      </x:c>
    </x:row>
    <x:row r="31" ht="27" customHeight="1">
      <x:c r="A31" s="18" t="str">
        <x:v>FT-Q-V01-027</x:v>
      </x:c>
      <x:c r="B31" s="31" t="str">
        <x:v>water vapour</x:v>
      </x:c>
      <x:c r="C31" s="31" t="str">
        <x:v>SUCCEEDED</x:v>
      </x:c>
      <x:c r="D31" s="28" t="n">
        <x:v>0</x:v>
      </x:c>
      <x:c r="E31" s="28" t="n">
        <x:v>181</x:v>
      </x:c>
      <x:c r="F31" s="19" t="str">
        <x:v>water vapour (All)</x:v>
      </x:c>
      <x:c r="G31" s="31" t="str">
        <x:v>data/fear-temperature/ngram/raw/f51ff51dc09cac2d8a00e7b237acf835741ce26e1efca30bbc7f9b4da5279a28.json</x:v>
      </x:c>
      <x:c r="H31" s="19" t="str">
        <x:v>761aea14257443c413894e7eaf46e5946d911d1d4afab42642a6b38b7dd741a0</x:v>
      </x:c>
      <x:c r="I31" s="31" t="str"/>
      <x:c r="J31" s="19" t="n">
        <x:v>46260.10702546296</x:v>
      </x:c>
      <x:c r="K31" s="31" t="str">
        <x:v>https://books.google.com/ngrams/json?content=water+vapour&amp;year_start=1842&amp;year_end=2022&amp;corpus=eng&amp;smoothing=0&amp;case_insensitive=true</x:v>
      </x:c>
      <x:c r="L31" s="20" t="str">
        <x:v>application/json (cached)</x:v>
      </x:c>
    </x:row>
    <x:row r="32" ht="27" customHeight="1">
      <x:c r="A32" s="18" t="str">
        <x:v>FT-Q-V01-028</x:v>
      </x:c>
      <x:c r="B32" s="31" t="str">
        <x:v>sky radiation</x:v>
      </x:c>
      <x:c r="C32" s="31" t="str">
        <x:v>SUCCEEDED</x:v>
      </x:c>
      <x:c r="D32" s="28" t="n">
        <x:v>0</x:v>
      </x:c>
      <x:c r="E32" s="28" t="n">
        <x:v>181</x:v>
      </x:c>
      <x:c r="F32" s="19" t="str">
        <x:v>sky radiation (All)</x:v>
      </x:c>
      <x:c r="G32" s="31" t="str">
        <x:v>data/fear-temperature/ngram/raw/25f6f758b041c15280f5b78e2745bcaf174c736ac625ba6c8fa3f9e9b8acb3d0.json</x:v>
      </x:c>
      <x:c r="H32" s="19" t="str">
        <x:v>cfb78a6207414f9558ad0aa06605126a2a33fe0f8bfdc3c0a25d33f4719c7920</x:v>
      </x:c>
      <x:c r="I32" s="31" t="str"/>
      <x:c r="J32" s="19" t="n">
        <x:v>46260.107037037036</x:v>
      </x:c>
      <x:c r="K32" s="31" t="str">
        <x:v>https://books.google.com/ngrams/json?content=sky+radiation&amp;year_start=1842&amp;year_end=2022&amp;corpus=eng&amp;smoothing=0&amp;case_insensitive=true</x:v>
      </x:c>
      <x:c r="L32" s="20" t="str">
        <x:v>application/json (cached)</x:v>
      </x:c>
    </x:row>
    <x:row r="33" ht="27" customHeight="1">
      <x:c r="A33" s="18" t="str">
        <x:v>FT-Q-V01-029</x:v>
      </x:c>
      <x:c r="B33" s="31" t="str">
        <x:v>increase in mean temperature</x:v>
      </x:c>
      <x:c r="C33" s="31" t="str">
        <x:v>SUCCEEDED</x:v>
      </x:c>
      <x:c r="D33" s="28" t="n">
        <x:v>0</x:v>
      </x:c>
      <x:c r="E33" s="28" t="n">
        <x:v>181</x:v>
      </x:c>
      <x:c r="F33" s="19" t="str">
        <x:v>increase in mean temperature (All)</x:v>
      </x:c>
      <x:c r="G33" s="31" t="str">
        <x:v>data/fear-temperature/ngram/raw/f17eca0292278251b17b3815a9781852804a5b948c3f6ebb56f9d678e7907143.json</x:v>
      </x:c>
      <x:c r="H33" s="19" t="str">
        <x:v>3b8207f1add4405c93ce8330b8f2b7f87cd9c2ebcc226afc169d0f5482626786</x:v>
      </x:c>
      <x:c r="I33" s="31" t="str"/>
      <x:c r="J33" s="19" t="n">
        <x:v>46260.10704861111</x:v>
      </x:c>
      <x:c r="K33" s="31" t="str">
        <x:v>https://books.google.com/ngrams/json?content=increase+in+mean+temperature&amp;year_start=1842&amp;year_end=2022&amp;corpus=eng&amp;smoothing=0&amp;case_insensitive=true</x:v>
      </x:c>
      <x:c r="L33" s="20" t="str">
        <x:v>application/json (cached)</x:v>
      </x:c>
    </x:row>
    <x:row r="34" ht="27" customHeight="1">
      <x:c r="A34" s="18" t="str">
        <x:v>FT-Q-V01-030</x:v>
      </x:c>
      <x:c r="B34" s="31" t="str">
        <x:v>mean temperature</x:v>
      </x:c>
      <x:c r="C34" s="31" t="str">
        <x:v>SUCCEEDED</x:v>
      </x:c>
      <x:c r="D34" s="28" t="n">
        <x:v>0</x:v>
      </x:c>
      <x:c r="E34" s="28" t="n">
        <x:v>181</x:v>
      </x:c>
      <x:c r="F34" s="19" t="str">
        <x:v>mean temperature (All)</x:v>
      </x:c>
      <x:c r="G34" s="31" t="str">
        <x:v>data/fear-temperature/ngram/raw/264e2d12fe20c5aa6284ae43253eabc03ec9e11aa2056afde9e77d33d8e97530.json</x:v>
      </x:c>
      <x:c r="H34" s="19" t="str">
        <x:v>0d049bebf2e700224bc9339569434af87e3983662263462216b4b91cca41460d</x:v>
      </x:c>
      <x:c r="I34" s="31" t="str"/>
      <x:c r="J34" s="19" t="n">
        <x:v>46260.106782407405</x:v>
      </x:c>
      <x:c r="K34" s="31" t="str">
        <x:v>https://books.google.com/ngrams/json?content=mean+temperature&amp;year_start=1842&amp;year_end=2022&amp;corpus=eng&amp;smoothing=0&amp;case_insensitive=true</x:v>
      </x:c>
      <x:c r="L34" s="20" t="str">
        <x:v>application/json (cached)</x:v>
      </x:c>
    </x:row>
    <x:row r="35" ht="27" customHeight="1">
      <x:c r="A35" s="18" t="str">
        <x:v>FT-Q-V01-031</x:v>
      </x:c>
      <x:c r="B35" s="31" t="str">
        <x:v>temperature observations</x:v>
      </x:c>
      <x:c r="C35" s="31" t="str">
        <x:v>SUCCEEDED</x:v>
      </x:c>
      <x:c r="D35" s="28" t="n">
        <x:v>0</x:v>
      </x:c>
      <x:c r="E35" s="28" t="n">
        <x:v>181</x:v>
      </x:c>
      <x:c r="F35" s="19" t="str">
        <x:v>temperature observations (All)</x:v>
      </x:c>
      <x:c r="G35" s="31" t="str">
        <x:v>data/fear-temperature/ngram/raw/66206e9216362147b860e1e6c3a8001945a83264107212b1c0f3c3d2fd551522.json</x:v>
      </x:c>
      <x:c r="H35" s="19" t="str">
        <x:v>a865035ec64b9a084b3eb1b5db51b1366d21dba4ed9edfde4fe7236541c02e91</x:v>
      </x:c>
      <x:c r="I35" s="31" t="str"/>
      <x:c r="J35" s="19" t="n">
        <x:v>46260.107152777775</x:v>
      </x:c>
      <x:c r="K35" s="31" t="str">
        <x:v>https://books.google.com/ngrams/json?content=temperature+observations&amp;year_start=1842&amp;year_end=2022&amp;corpus=eng&amp;smoothing=0&amp;case_insensitive=true</x:v>
      </x:c>
      <x:c r="L35" s="20" t="str">
        <x:v>application/json (cached)</x:v>
      </x:c>
    </x:row>
    <x:row r="36" ht="27" customHeight="1">
      <x:c r="A36" s="18" t="str">
        <x:v>FT-Q-V01-032</x:v>
      </x:c>
      <x:c r="B36" s="31" t="str">
        <x:v>meteorological stations</x:v>
      </x:c>
      <x:c r="C36" s="31" t="str">
        <x:v>SUCCEEDED</x:v>
      </x:c>
      <x:c r="D36" s="28" t="n">
        <x:v>0</x:v>
      </x:c>
      <x:c r="E36" s="28" t="n">
        <x:v>181</x:v>
      </x:c>
      <x:c r="F36" s="19" t="str">
        <x:v>meteorological stations (All)</x:v>
      </x:c>
      <x:c r="G36" s="31" t="str">
        <x:v>data/fear-temperature/ngram/raw/e9d57e4d27daeaa5ff3a311226643238760265d483bb429b63cf1eaf703e26ff.json</x:v>
      </x:c>
      <x:c r="H36" s="19" t="str">
        <x:v>f6e21222c0b563f3c5c13707a8c0d6677b89213285e3d5b51034e457dd2da382</x:v>
      </x:c>
      <x:c r="I36" s="31" t="str"/>
      <x:c r="J36" s="19" t="n">
        <x:v>46260.10716435185</x:v>
      </x:c>
      <x:c r="K36" s="31" t="str">
        <x:v>https://books.google.com/ngrams/json?content=meteorological+stations&amp;year_start=1842&amp;year_end=2022&amp;corpus=eng&amp;smoothing=0&amp;case_insensitive=true</x:v>
      </x:c>
      <x:c r="L36" s="20" t="str">
        <x:v>application/json (cached)</x:v>
      </x:c>
    </x:row>
    <x:row r="37" ht="27" customHeight="1">
      <x:c r="A37" s="18" t="str">
        <x:v>FT-Q-V01-033</x:v>
      </x:c>
      <x:c r="B37" s="31" t="str">
        <x:v>world temperatures</x:v>
      </x:c>
      <x:c r="C37" s="31" t="str">
        <x:v>SUCCEEDED</x:v>
      </x:c>
      <x:c r="D37" s="28" t="n">
        <x:v>0</x:v>
      </x:c>
      <x:c r="E37" s="28" t="n">
        <x:v>181</x:v>
      </x:c>
      <x:c r="F37" s="19" t="str">
        <x:v>world temperatures (All)</x:v>
      </x:c>
      <x:c r="G37" s="31" t="str">
        <x:v>data/fear-temperature/ngram/raw/c7e50063801250140864a7c772bbe06a1a5b4b6b0adaa4ccb81beedc0fdd8bbc.json</x:v>
      </x:c>
      <x:c r="H37" s="19" t="str">
        <x:v>9d6bc09ea2864f6f77a071e5b53a862eb05ae205a31160769b0f0371128a0c11</x:v>
      </x:c>
      <x:c r="I37" s="31" t="str"/>
      <x:c r="J37" s="19" t="n">
        <x:v>46260.10717592593</x:v>
      </x:c>
      <x:c r="K37" s="31" t="str">
        <x:v>https://books.google.com/ngrams/json?content=world+temperatures&amp;year_start=1842&amp;year_end=2022&amp;corpus=eng&amp;smoothing=0&amp;case_insensitive=true</x:v>
      </x:c>
      <x:c r="L37" s="20" t="str">
        <x:v>application/json (cached)</x:v>
      </x:c>
    </x:row>
    <x:row r="38" ht="27" customHeight="1">
      <x:c r="A38" s="18" t="str">
        <x:v>FT-Q-V01-034</x:v>
      </x:c>
      <x:c r="B38" s="31" t="str">
        <x:v>actually increased</x:v>
      </x:c>
      <x:c r="C38" s="31" t="str">
        <x:v>SUCCEEDED</x:v>
      </x:c>
      <x:c r="D38" s="28" t="n">
        <x:v>0</x:v>
      </x:c>
      <x:c r="E38" s="28" t="n">
        <x:v>181</x:v>
      </x:c>
      <x:c r="F38" s="19" t="str">
        <x:v>actually increased (All)</x:v>
      </x:c>
      <x:c r="G38" s="31" t="str">
        <x:v>data/fear-temperature/ngram/raw/9167b97ea3895d8f249f2aa5de33317b397ec2743be4c95d3c595b1798795eb5.json</x:v>
      </x:c>
      <x:c r="H38" s="19" t="str">
        <x:v>f0d3dc867797b40552e6f415e3058c20f810f218854efd8ede34ec4a4064a695</x:v>
      </x:c>
      <x:c r="I38" s="31" t="str"/>
      <x:c r="J38" s="19" t="n">
        <x:v>46260.1071875</x:v>
      </x:c>
      <x:c r="K38" s="31" t="str">
        <x:v>https://books.google.com/ngrams/json?content=actually+increased&amp;year_start=1842&amp;year_end=2022&amp;corpus=eng&amp;smoothing=0&amp;case_insensitive=true</x:v>
      </x:c>
      <x:c r="L38" s="20" t="str">
        <x:v>application/json (cached)</x:v>
      </x:c>
    </x:row>
    <x:row r="39" ht="27" customHeight="1">
      <x:c r="A39" s="18" t="str">
        <x:v>FT-Q-V01-035</x:v>
      </x:c>
      <x:c r="B39" s="31" t="str">
        <x:v>average rate</x:v>
      </x:c>
      <x:c r="C39" s="31" t="str">
        <x:v>SUCCEEDED</x:v>
      </x:c>
      <x:c r="D39" s="28" t="n">
        <x:v>0</x:v>
      </x:c>
      <x:c r="E39" s="28" t="n">
        <x:v>181</x:v>
      </x:c>
      <x:c r="F39" s="19" t="str">
        <x:v>average rate (All)</x:v>
      </x:c>
      <x:c r="G39" s="31" t="str">
        <x:v>data/fear-temperature/ngram/raw/e427f2da752395cacbd7c32fdf3f8f75639075e807d2631a0c0fc4f137209b9f.json</x:v>
      </x:c>
      <x:c r="H39" s="19" t="str">
        <x:v>2b17c381f626f175c184f79053b5b9cad2f1dd035e954ed8a1d93983f89fa8a8</x:v>
      </x:c>
      <x:c r="I39" s="31" t="str"/>
      <x:c r="J39" s="19" t="n">
        <x:v>46260.107199074075</x:v>
      </x:c>
      <x:c r="K39" s="31" t="str">
        <x:v>https://books.google.com/ngrams/json?content=average+rate&amp;year_start=1842&amp;year_end=2022&amp;corpus=eng&amp;smoothing=0&amp;case_insensitive=true</x:v>
      </x:c>
      <x:c r="L39" s="20" t="str">
        <x:v>application/json (cached)</x:v>
      </x:c>
    </x:row>
    <x:row r="40" ht="27" customHeight="1">
      <x:c r="A40" s="18" t="str">
        <x:v>FT-Q-V01-036</x:v>
      </x:c>
      <x:c r="B40" s="31" t="str">
        <x:v>small increases in mean temperature</x:v>
      </x:c>
      <x:c r="C40" s="31" t="str">
        <x:v>ZERO_RESULT</x:v>
      </x:c>
      <x:c r="D40" s="28" t="n">
        <x:v>0</x:v>
      </x:c>
      <x:c r="E40" s="28" t="n">
        <x:v>0</x:v>
      </x:c>
      <x:c r="F40" s="19" t="str"/>
      <x:c r="G40" s="31" t="str">
        <x:v>data/fear-temperature/ngram/raw/d6d0759da43a3f360d038f003e572d16c77ddbfc718996d3d12107850601cb5e.json</x:v>
      </x:c>
      <x:c r="H40" s="19" t="str">
        <x:v>4f53cda18c2baa0c0354bb5f9a3ecbe5ed12ab4d8e11ba873c2f11161202b945</x:v>
      </x:c>
      <x:c r="I40" s="31" t="str"/>
      <x:c r="J40" s="19" t="n">
        <x:v>46260.107199074075</x:v>
      </x:c>
      <x:c r="K40" s="31" t="str">
        <x:v>https://books.google.com/ngrams/json?content=small+increases+in+mean+temperature&amp;year_start=1842&amp;year_end=2022&amp;corpus=eng&amp;smoothing=0&amp;case_insensitive=true</x:v>
      </x:c>
      <x:c r="L40" s="20" t="str">
        <x:v>application/json (cached)</x:v>
      </x:c>
    </x:row>
    <x:row r="41" ht="27" customHeight="1">
      <x:c r="A41" s="18" t="str">
        <x:v>FT-Q-V01-037</x:v>
      </x:c>
      <x:c r="B41" s="31" t="str">
        <x:v>deadly glaciers</x:v>
      </x:c>
      <x:c r="C41" s="31" t="str">
        <x:v>SUCCEEDED</x:v>
      </x:c>
      <x:c r="D41" s="28" t="n">
        <x:v>0</x:v>
      </x:c>
      <x:c r="E41" s="28" t="n">
        <x:v>181</x:v>
      </x:c>
      <x:c r="F41" s="19" t="str">
        <x:v>deadly glaciers</x:v>
      </x:c>
      <x:c r="G41" s="31" t="str">
        <x:v>data/fear-temperature/ngram/raw/acd1c78d49da2b3a6c3ef64dbd5a9c1d23715156d453753d86190a592a0bf21f.json</x:v>
      </x:c>
      <x:c r="H41" s="19" t="str">
        <x:v>4d3f95cda81f4c64bb3d91cd7c585ce3165ee2d0ae3bd7da22ced9606e4610dd</x:v>
      </x:c>
      <x:c r="I41" s="31" t="str"/>
      <x:c r="J41" s="19" t="n">
        <x:v>46260.10721064815</x:v>
      </x:c>
      <x:c r="K41" s="31" t="str">
        <x:v>https://books.google.com/ngrams/json?content=deadly+glaciers&amp;year_start=1842&amp;year_end=2022&amp;corpus=eng&amp;smoothing=0&amp;case_insensitive=true</x:v>
      </x:c>
      <x:c r="L41" s="20" t="str">
        <x:v>application/json (cached)</x:v>
      </x:c>
    </x:row>
    <x:row r="42" ht="27" customHeight="1">
      <x:c r="A42" s="18" t="str">
        <x:v>FT-Q-V01-038</x:v>
      </x:c>
      <x:c r="B42" s="31" t="str">
        <x:v>rather a coincidence</x:v>
      </x:c>
      <x:c r="C42" s="31" t="str">
        <x:v>SUCCEEDED</x:v>
      </x:c>
      <x:c r="D42" s="28" t="n">
        <x:v>0</x:v>
      </x:c>
      <x:c r="E42" s="28" t="n">
        <x:v>181</x:v>
      </x:c>
      <x:c r="F42" s="19" t="str">
        <x:v>rather a coincidence (All)</x:v>
      </x:c>
      <x:c r="G42" s="31" t="str">
        <x:v>data/fear-temperature/ngram/raw/bca4b0be62a4f63b3d0e7919b771c514c52a4bdc627ec3a3afe9095da1caf1ba.json</x:v>
      </x:c>
      <x:c r="H42" s="19" t="str">
        <x:v>76256aa11332fa1c24234bbac1e01598b531efe888c20291cd31fc8d6d0af22f</x:v>
      </x:c>
      <x:c r="I42" s="31" t="str"/>
      <x:c r="J42" s="19" t="n">
        <x:v>46260.10722222222</x:v>
      </x:c>
      <x:c r="K42" s="31" t="str">
        <x:v>https://books.google.com/ngrams/json?content=rather+a+coincidence&amp;year_start=1842&amp;year_end=2022&amp;corpus=eng&amp;smoothing=0&amp;case_insensitive=true</x:v>
      </x:c>
      <x:c r="L42" s="20" t="str">
        <x:v>application/json (cached)</x:v>
      </x:c>
    </x:row>
    <x:row r="43" ht="27" customHeight="1">
      <x:c r="A43" s="18" t="str">
        <x:v>FT-Q-V01-039</x:v>
      </x:c>
      <x:c r="B43" s="31" t="str">
        <x:v>Hottest Day for Ten Years</x:v>
      </x:c>
      <x:c r="C43" s="31" t="str">
        <x:v>ZERO_RESULT</x:v>
      </x:c>
      <x:c r="D43" s="28" t="n">
        <x:v>0</x:v>
      </x:c>
      <x:c r="E43" s="28" t="n">
        <x:v>0</x:v>
      </x:c>
      <x:c r="F43" s="19" t="str"/>
      <x:c r="G43" s="31" t="str">
        <x:v>data/fear-temperature/ngram/raw/7c1cabc675b2da12af25d48ca83988bcbc1381ceee50bb7b5e8500626cbe9b00.json</x:v>
      </x:c>
      <x:c r="H43" s="19" t="str">
        <x:v>4f53cda18c2baa0c0354bb5f9a3ecbe5ed12ab4d8e11ba873c2f11161202b945</x:v>
      </x:c>
      <x:c r="I43" s="31" t="str"/>
      <x:c r="J43" s="19" t="n">
        <x:v>46260.1072337963</x:v>
      </x:c>
      <x:c r="K43" s="31" t="str">
        <x:v>https://books.google.com/ngrams/json?content=Hottest+Day+for+Ten+Years&amp;year_start=1842&amp;year_end=2022&amp;corpus=eng&amp;smoothing=0&amp;case_insensitive=true</x:v>
      </x:c>
      <x:c r="L43" s="20" t="str">
        <x:v>application/json (cached)</x:v>
      </x:c>
    </x:row>
    <x:row r="44" ht="27" customHeight="1">
      <x:c r="A44" s="18" t="str">
        <x:v>FT-Q-V01-040</x:v>
      </x:c>
      <x:c r="B44" s="31" t="str">
        <x:v>Heat Wave Over Queensland</x:v>
      </x:c>
      <x:c r="C44" s="31" t="str">
        <x:v>ZERO_RESULT</x:v>
      </x:c>
      <x:c r="D44" s="28" t="n">
        <x:v>0</x:v>
      </x:c>
      <x:c r="E44" s="28" t="n">
        <x:v>0</x:v>
      </x:c>
      <x:c r="F44" s="19" t="str"/>
      <x:c r="G44" s="31" t="str">
        <x:v>data/fear-temperature/ngram/raw/ff4de47b36b0ffff4f03545db968f819af528c6de47ea4be4984876b37550a41.json</x:v>
      </x:c>
      <x:c r="H44" s="19" t="str">
        <x:v>4f53cda18c2baa0c0354bb5f9a3ecbe5ed12ab4d8e11ba873c2f11161202b945</x:v>
      </x:c>
      <x:c r="I44" s="31" t="str"/>
      <x:c r="J44" s="19" t="n">
        <x:v>46260.10724537037</x:v>
      </x:c>
      <x:c r="K44" s="31" t="str">
        <x:v>https://books.google.com/ngrams/json?content=Heat+Wave+Over+Queensland&amp;year_start=1842&amp;year_end=2022&amp;corpus=eng&amp;smoothing=0&amp;case_insensitive=true</x:v>
      </x:c>
      <x:c r="L44" s="20" t="str">
        <x:v>application/json (cached)</x:v>
      </x:c>
    </x:row>
    <x:row r="45" ht="27" customHeight="1">
      <x:c r="A45" s="18" t="str">
        <x:v>FT-Q-V01-041</x:v>
      </x:c>
      <x:c r="B45" s="31" t="str">
        <x:v>greenhouse effect</x:v>
      </x:c>
      <x:c r="C45" s="31" t="str">
        <x:v>SUCCEEDED</x:v>
      </x:c>
      <x:c r="D45" s="28" t="n">
        <x:v>0</x:v>
      </x:c>
      <x:c r="E45" s="28" t="n">
        <x:v>181</x:v>
      </x:c>
      <x:c r="F45" s="19" t="str">
        <x:v>greenhouse effect (All)</x:v>
      </x:c>
      <x:c r="G45" s="31" t="str">
        <x:v>data/fear-temperature/ngram/raw/205959f263c8ae6824e66753a55df505e51b40905b28c4cb916bd1952aea4bdb.json</x:v>
      </x:c>
      <x:c r="H45" s="19" t="str">
        <x:v>4286ccb83770f8e9550a4b862463947b8edb637081d5f43cfee319f9d7681262</x:v>
      </x:c>
      <x:c r="I45" s="31" t="str"/>
      <x:c r="J45" s="19" t="n">
        <x:v>46260.10724537037</x:v>
      </x:c>
      <x:c r="K45" s="31" t="str">
        <x:v>https://books.google.com/ngrams/json?content=greenhouse+effect&amp;year_start=1842&amp;year_end=2022&amp;corpus=eng&amp;smoothing=0&amp;case_insensitive=true</x:v>
      </x:c>
      <x:c r="L45" s="20" t="str">
        <x:v>application/json (cached)</x:v>
      </x:c>
    </x:row>
    <x:row r="46" ht="27" customHeight="1">
      <x:c r="A46" s="18" t="str">
        <x:v>FT-Q-V01-042</x:v>
      </x:c>
      <x:c r="B46" s="31" t="str">
        <x:v>global warming</x:v>
      </x:c>
      <x:c r="C46" s="31" t="str">
        <x:v>SUCCEEDED</x:v>
      </x:c>
      <x:c r="D46" s="28" t="n">
        <x:v>0</x:v>
      </x:c>
      <x:c r="E46" s="28" t="n">
        <x:v>181</x:v>
      </x:c>
      <x:c r="F46" s="19" t="str">
        <x:v>global warming (All)</x:v>
      </x:c>
      <x:c r="G46" s="31" t="str">
        <x:v>data/fear-temperature/ngram/raw/e982c3b5d6e77fc759f19bb2931d892bfaa9221ade4a44977579a8d5a8afab71.json</x:v>
      </x:c>
      <x:c r="H46" s="19" t="str">
        <x:v>edd5437f92999c829c0fea3e5822ab6cb22f6b319b6eab7bc697d0dc4f6023f9</x:v>
      </x:c>
      <x:c r="I46" s="31" t="str"/>
      <x:c r="J46" s="19" t="n">
        <x:v>46260.107256944444</x:v>
      </x:c>
      <x:c r="K46" s="31" t="str">
        <x:v>https://books.google.com/ngrams/json?content=global+warming&amp;year_start=1842&amp;year_end=2022&amp;corpus=eng&amp;smoothing=0&amp;case_insensitive=true</x:v>
      </x:c>
      <x:c r="L46" s="20" t="str">
        <x:v>application/json (cached)</x:v>
      </x:c>
    </x:row>
    <x:row r="47" ht="27" customHeight="1">
      <x:c r="A47" s="18" t="str">
        <x:v>FT-Q-V01-043</x:v>
      </x:c>
      <x:c r="B47" s="31" t="str">
        <x:v>earth is warmer</x:v>
      </x:c>
      <x:c r="C47" s="31" t="str">
        <x:v>SUCCEEDED</x:v>
      </x:c>
      <x:c r="D47" s="28" t="n">
        <x:v>0</x:v>
      </x:c>
      <x:c r="E47" s="28" t="n">
        <x:v>181</x:v>
      </x:c>
      <x:c r="F47" s="19" t="str">
        <x:v>earth is warmer (All)</x:v>
      </x:c>
      <x:c r="G47" s="31" t="str">
        <x:v>data/fear-temperature/ngram/raw/ae93b0533e9e2ca24d879c60ebc4c416dc7f4834ae02aa0e97387d0fc291a9d5.json</x:v>
      </x:c>
      <x:c r="H47" s="19" t="str">
        <x:v>f848a3f0be8780fa8aff8fc0d227d15ea0a131684e7a17dd3b76b346023ffffa</x:v>
      </x:c>
      <x:c r="I47" s="31" t="str"/>
      <x:c r="J47" s="19" t="n">
        <x:v>46260.10726851852</x:v>
      </x:c>
      <x:c r="K47" s="31" t="str">
        <x:v>https://books.google.com/ngrams/json?content=earth+is+warmer&amp;year_start=1842&amp;year_end=2022&amp;corpus=eng&amp;smoothing=0&amp;case_insensitive=true</x:v>
      </x:c>
      <x:c r="L47" s="20" t="str">
        <x:v>application/json (cached)</x:v>
      </x:c>
    </x:row>
    <x:row r="48" ht="27" customHeight="1">
      <x:c r="A48" s="18" t="str">
        <x:v>FT-Q-V01-044</x:v>
      </x:c>
      <x:c r="B48" s="31" t="str">
        <x:v>instrumental measurements</x:v>
      </x:c>
      <x:c r="C48" s="31" t="str">
        <x:v>SUCCEEDED</x:v>
      </x:c>
      <x:c r="D48" s="28" t="n">
        <x:v>0</x:v>
      </x:c>
      <x:c r="E48" s="28" t="n">
        <x:v>181</x:v>
      </x:c>
      <x:c r="F48" s="19" t="str">
        <x:v>instrumental measurements (All)</x:v>
      </x:c>
      <x:c r="G48" s="31" t="str">
        <x:v>data/fear-temperature/ngram/raw/c3041954c2284cf34bcd5a29020d6fdb5062957ed9d066a23d0fa6dec11d5477.json</x:v>
      </x:c>
      <x:c r="H48" s="19" t="str">
        <x:v>614e6efe10364a6f0c4c0ad4f0a15603efe8de4e36f4312ead7fbfc5641c1d17</x:v>
      </x:c>
      <x:c r="I48" s="31" t="str"/>
      <x:c r="J48" s="19" t="n">
        <x:v>46260.10728009259</x:v>
      </x:c>
      <x:c r="K48" s="31" t="str">
        <x:v>https://books.google.com/ngrams/json?content=instrumental+measurements&amp;year_start=1842&amp;year_end=2022&amp;corpus=eng&amp;smoothing=0&amp;case_insensitive=true</x:v>
      </x:c>
      <x:c r="L48" s="20" t="str">
        <x:v>application/json (cached)</x:v>
      </x:c>
    </x:row>
    <x:row r="49" ht="27" customHeight="1">
      <x:c r="A49" s="18" t="str">
        <x:v>FT-Q-V01-045</x:v>
      </x:c>
      <x:c r="B49" s="31" t="str">
        <x:v>cause-and-effect relationship</x:v>
      </x:c>
      <x:c r="C49" s="31" t="str">
        <x:v>SUCCEEDED</x:v>
      </x:c>
      <x:c r="D49" s="28" t="n">
        <x:v>0</x:v>
      </x:c>
      <x:c r="E49" s="28" t="n">
        <x:v>181</x:v>
      </x:c>
      <x:c r="F49" s="19" t="str">
        <x:v>cause - and - effect relationship (All)</x:v>
      </x:c>
      <x:c r="G49" s="31" t="str">
        <x:v>data/fear-temperature/ngram/raw/e8efe8017919981d401ccd71f2302b528ff86d0e6a69149a56ed3d7dde862bfc.json</x:v>
      </x:c>
      <x:c r="H49" s="19" t="str">
        <x:v>c29d507b2761f1c572bd9273b2544b9ddee587ffb7fc5070610c23817cdb85ed</x:v>
      </x:c>
      <x:c r="I49" s="31" t="str"/>
      <x:c r="J49" s="19" t="n">
        <x:v>46260.10729166667</x:v>
      </x:c>
      <x:c r="K49" s="31" t="str">
        <x:v>https://books.google.com/ngrams/json?content=cause-and-effect+relationship&amp;year_start=1842&amp;year_end=2022&amp;corpus=eng&amp;smoothing=0&amp;case_insensitive=true</x:v>
      </x:c>
      <x:c r="L49" s="20" t="str">
        <x:v>application/json (cached)</x:v>
      </x:c>
    </x:row>
    <x:row r="50" ht="27" customHeight="1">
      <x:c r="A50" s="18" t="str">
        <x:v>FT-Q-V01-046</x:v>
      </x:c>
      <x:c r="B50" s="31" t="str">
        <x:v>global temperature</x:v>
      </x:c>
      <x:c r="C50" s="31" t="str">
        <x:v>SUCCEEDED</x:v>
      </x:c>
      <x:c r="D50" s="28" t="n">
        <x:v>0</x:v>
      </x:c>
      <x:c r="E50" s="28" t="n">
        <x:v>181</x:v>
      </x:c>
      <x:c r="F50" s="19" t="str">
        <x:v>global temperature (All)</x:v>
      </x:c>
      <x:c r="G50" s="31" t="str">
        <x:v>data/fear-temperature/ngram/raw/9d665931c5878a5de16bd731767c2e6571f77c1eb6e01bf9fa50497db3ebbd93.json</x:v>
      </x:c>
      <x:c r="H50" s="19" t="str">
        <x:v>dfccce7cf0455733d8ecdee75ed8daa3d838ba44face6a1a8e02e22ef16cebee</x:v>
      </x:c>
      <x:c r="I50" s="31" t="str"/>
      <x:c r="J50" s="19" t="n">
        <x:v>46260.10729166667</x:v>
      </x:c>
      <x:c r="K50" s="31" t="str">
        <x:v>https://books.google.com/ngrams/json?content=global+temperature&amp;year_start=1842&amp;year_end=2022&amp;corpus=eng&amp;smoothing=0&amp;case_insensitive=true</x:v>
      </x:c>
      <x:c r="L50" s="20" t="str">
        <x:v>application/json (cached)</x:v>
      </x:c>
    </x:row>
    <x:row r="51" ht="27" customHeight="1">
      <x:c r="A51" s="18" t="str">
        <x:v>FT-Q-V01-047</x:v>
      </x:c>
      <x:c r="B51" s="31" t="str">
        <x:v>regional heat waves</x:v>
      </x:c>
      <x:c r="C51" s="31" t="str">
        <x:v>SUCCEEDED</x:v>
      </x:c>
      <x:c r="D51" s="28" t="n">
        <x:v>0</x:v>
      </x:c>
      <x:c r="E51" s="28" t="n">
        <x:v>181</x:v>
      </x:c>
      <x:c r="F51" s="19" t="str">
        <x:v>regional heat waves (All)</x:v>
      </x:c>
      <x:c r="G51" s="31" t="str">
        <x:v>data/fear-temperature/ngram/raw/9937ebec5dbc305d8752f541539d2c1d1521c4688bdf38c7075d02cee934d6b0.json</x:v>
      </x:c>
      <x:c r="H51" s="19" t="str">
        <x:v>c1f7b893ef7aa6e62187de96f33ead717ed46628217e2cddbdd7ac8874271d71</x:v>
      </x:c>
      <x:c r="I51" s="31" t="str"/>
      <x:c r="J51" s="19" t="n">
        <x:v>46260.107303240744</x:v>
      </x:c>
      <x:c r="K51" s="31" t="str">
        <x:v>https://books.google.com/ngrams/json?content=regional+heat+waves&amp;year_start=1842&amp;year_end=2022&amp;corpus=eng&amp;smoothing=0&amp;case_insensitive=true</x:v>
      </x:c>
      <x:c r="L51" s="20" t="str">
        <x:v>application/json (cached)</x:v>
      </x:c>
    </x:row>
    <x:row r="52" ht="27" customHeight="1">
      <x:c r="A52" s="18" t="str">
        <x:v>FT-Q-V01-048</x:v>
      </x:c>
      <x:c r="B52" s="31" t="str">
        <x:v>heat wave</x:v>
      </x:c>
      <x:c r="C52" s="31" t="str">
        <x:v>SUCCEEDED</x:v>
      </x:c>
      <x:c r="D52" s="28" t="n">
        <x:v>0</x:v>
      </x:c>
      <x:c r="E52" s="28" t="n">
        <x:v>181</x:v>
      </x:c>
      <x:c r="F52" s="19" t="str">
        <x:v>heat wave (All)</x:v>
      </x:c>
      <x:c r="G52" s="31" t="str">
        <x:v>data/fear-temperature/ngram/raw/306e212ec9cdb980f5e1f91f3e6734e7998c99820aa93fd4a8109533d1676f5a.json</x:v>
      </x:c>
      <x:c r="H52" s="19" t="str">
        <x:v>2200e466cdeea1c919a9efd658599043ca1621d3175da78ab13e6b29984795b5</x:v>
      </x:c>
      <x:c r="I52" s="31" t="str"/>
      <x:c r="J52" s="19" t="n">
        <x:v>46260.10731481481</x:v>
      </x:c>
      <x:c r="K52" s="31" t="str">
        <x:v>https://books.google.com/ngrams/json?content=heat+wave&amp;year_start=1842&amp;year_end=2022&amp;corpus=eng&amp;smoothing=0&amp;case_insensitive=true</x:v>
      </x:c>
      <x:c r="L52" s="20" t="str">
        <x:v>application/json (cached)</x:v>
      </x:c>
    </x:row>
    <x:row r="53" ht="27" customHeight="1">
      <x:c r="A53" s="18" t="str">
        <x:v>FT-Q-V01-049</x:v>
      </x:c>
      <x:c r="B53" s="31" t="str">
        <x:v>drought</x:v>
      </x:c>
      <x:c r="C53" s="31" t="str">
        <x:v>SUCCEEDED</x:v>
      </x:c>
      <x:c r="D53" s="28" t="n">
        <x:v>0</x:v>
      </x:c>
      <x:c r="E53" s="28" t="n">
        <x:v>181</x:v>
      </x:c>
      <x:c r="F53" s="19" t="str">
        <x:v>drought (All)</x:v>
      </x:c>
      <x:c r="G53" s="31" t="str">
        <x:v>data/fear-temperature/ngram/raw/a3bdefd3e410e2b0f75ef6e82328b0b053a2b9a4d162237384d67e405f89fe96.json</x:v>
      </x:c>
      <x:c r="H53" s="19" t="str">
        <x:v>7111144594039704bb360fddab4543676f02b68eeeb68174dac206fabbd85276</x:v>
      </x:c>
      <x:c r="I53" s="31" t="str"/>
      <x:c r="J53" s="19" t="n">
        <x:v>46260.10732638889</x:v>
      </x:c>
      <x:c r="K53" s="31" t="str">
        <x:v>https://books.google.com/ngrams/json?content=drought&amp;year_start=1842&amp;year_end=2022&amp;corpus=eng&amp;smoothing=0&amp;case_insensitive=true</x:v>
      </x:c>
      <x:c r="L53" s="20" t="str">
        <x:v>application/json (cached)</x:v>
      </x:c>
    </x:row>
    <x:row r="54" ht="27" customHeight="1">
      <x:c r="A54" s="18" t="str">
        <x:v>FT-Q-V01-050</x:v>
      </x:c>
      <x:c r="B54" s="31" t="str">
        <x:v>heat wave/drought occurrences</x:v>
      </x:c>
      <x:c r="C54" s="31" t="str">
        <x:v>NOT_RUN_INCOMPATIBLE</x:v>
      </x:c>
      <x:c r="D54" s="28" t="n">
        <x:v>0</x:v>
      </x:c>
      <x:c r="E54" s="28" t="n">
        <x:v>0</x:v>
      </x:c>
      <x:c r="F54" s="19" t="str"/>
      <x:c r="G54" s="31" t="str"/>
      <x:c r="H54" s="19" t="str"/>
      <x:c r="I54" s="31" t="str">
        <x:v>Slash construction is not a defensible isolated Ngram phrase.</x:v>
      </x:c>
      <x:c r="J54" s="19" t="str"/>
      <x:c r="K54" s="31" t="str"/>
      <x:c r="L54" s="20" t="str"/>
    </x:row>
    <x:row r="55" ht="27" customHeight="1">
      <x:c r="A55" s="18" t="str">
        <x:v>FT-Q-V01-051</x:v>
      </x:c>
      <x:c r="B55" s="31" t="str">
        <x:v>extreme events</x:v>
      </x:c>
      <x:c r="C55" s="31" t="str">
        <x:v>SUCCEEDED</x:v>
      </x:c>
      <x:c r="D55" s="28" t="n">
        <x:v>0</x:v>
      </x:c>
      <x:c r="E55" s="28" t="n">
        <x:v>181</x:v>
      </x:c>
      <x:c r="F55" s="19" t="str">
        <x:v>extreme events (All)</x:v>
      </x:c>
      <x:c r="G55" s="31" t="str">
        <x:v>data/fear-temperature/ngram/raw/2f8cbf9b55aae32ec25fe5c485850b9461d5296a85a191304d2d582edd1a8448.json</x:v>
      </x:c>
      <x:c r="H55" s="19" t="str">
        <x:v>ad5840b011a0912ecaf681cb30e88d3950dac4d8fcd25c82510abaaf728525b3</x:v>
      </x:c>
      <x:c r="I55" s="31" t="str"/>
      <x:c r="J55" s="19" t="n">
        <x:v>46260.10733796296</x:v>
      </x:c>
      <x:c r="K55" s="31" t="str">
        <x:v>https://books.google.com/ngrams/json?content=extreme+events&amp;year_start=1842&amp;year_end=2022&amp;corpus=eng&amp;smoothing=0&amp;case_insensitive=true</x:v>
      </x:c>
      <x:c r="L55" s="20" t="str">
        <x:v>application/json (cached)</x:v>
      </x:c>
    </x:row>
    <x:row r="56" ht="27" customHeight="1">
      <x:c r="A56" s="18" t="str">
        <x:v>FT-Q-V01-052</x:v>
      </x:c>
      <x:c r="B56" s="31" t="str">
        <x:v>global climate models</x:v>
      </x:c>
      <x:c r="C56" s="31" t="str">
        <x:v>SUCCEEDED</x:v>
      </x:c>
      <x:c r="D56" s="28" t="n">
        <x:v>0</x:v>
      </x:c>
      <x:c r="E56" s="28" t="n">
        <x:v>181</x:v>
      </x:c>
      <x:c r="F56" s="19" t="str">
        <x:v>global climate models (All)</x:v>
      </x:c>
      <x:c r="G56" s="31" t="str">
        <x:v>data/fear-temperature/ngram/raw/804d613b38ca8ff6fa01fb2e1f4e6d91e7b874a9e4472af082eb9e1155863731.json</x:v>
      </x:c>
      <x:c r="H56" s="19" t="str">
        <x:v>b2c858df5d7dbe43967cc2a9f1c6d8038e498b18b37e6a7754e8d912b76c8686</x:v>
      </x:c>
      <x:c r="I56" s="31" t="str"/>
      <x:c r="J56" s="19" t="n">
        <x:v>46260.10733796296</x:v>
      </x:c>
      <x:c r="K56" s="31" t="str">
        <x:v>https://books.google.com/ngrams/json?content=global+climate+models&amp;year_start=1842&amp;year_end=2022&amp;corpus=eng&amp;smoothing=0&amp;case_insensitive=true</x:v>
      </x:c>
      <x:c r="L56" s="20" t="str">
        <x:v>application/json (cached)</x:v>
      </x:c>
    </x:row>
    <x:row r="57" ht="27" customHeight="1">
      <x:c r="A57" s="18" t="str">
        <x:v>FT-Q-V01-053</x:v>
      </x:c>
      <x:c r="B57" s="31" t="str">
        <x:v>global observations</x:v>
      </x:c>
      <x:c r="C57" s="31" t="str">
        <x:v>SUCCEEDED</x:v>
      </x:c>
      <x:c r="D57" s="28" t="n">
        <x:v>0</x:v>
      </x:c>
      <x:c r="E57" s="28" t="n">
        <x:v>181</x:v>
      </x:c>
      <x:c r="F57" s="19" t="str">
        <x:v>global observations (All)</x:v>
      </x:c>
      <x:c r="G57" s="31" t="str">
        <x:v>data/fear-temperature/ngram/raw/d002a730e85fdef3f5ec37960af0518814de2fb4a5adf229395a737b937a15d9.json</x:v>
      </x:c>
      <x:c r="H57" s="19" t="str">
        <x:v>a82afdcd24b9816acfc44960d7262d4be1def3885e065d18c16e97d7de12b8de</x:v>
      </x:c>
      <x:c r="I57" s="31" t="str"/>
      <x:c r="J57" s="19" t="n">
        <x:v>46260.10734953704</x:v>
      </x:c>
      <x:c r="K57" s="31" t="str">
        <x:v>https://books.google.com/ngrams/json?content=global+observations&amp;year_start=1842&amp;year_end=2022&amp;corpus=eng&amp;smoothing=0&amp;case_insensitive=true</x:v>
      </x:c>
      <x:c r="L57" s="20" t="str">
        <x:v>application/json (cached)</x:v>
      </x:c>
    </x:row>
    <x:row r="58" ht="27" customHeight="1">
      <x:c r="A58" s="18" t="str">
        <x:v>FT-Q-V01-054</x:v>
      </x:c>
      <x:c r="B58" s="31" t="str">
        <x:v>warm air</x:v>
      </x:c>
      <x:c r="C58" s="31" t="str">
        <x:v>SUCCEEDED</x:v>
      </x:c>
      <x:c r="D58" s="28" t="n">
        <x:v>0</x:v>
      </x:c>
      <x:c r="E58" s="28" t="n">
        <x:v>181</x:v>
      </x:c>
      <x:c r="F58" s="19" t="str">
        <x:v>warm air (All)</x:v>
      </x:c>
      <x:c r="G58" s="31" t="str">
        <x:v>data/fear-temperature/ngram/raw/815c60311238a418153e263ec5d032bdb11f2ad98f6938675e0f2291e0d31283.json</x:v>
      </x:c>
      <x:c r="H58" s="19" t="str">
        <x:v>e06b45e6e93b1d44a12b27ffc3aa6edb8cc5547b608631e5879b29270cb3f21d</x:v>
      </x:c>
      <x:c r="I58" s="31" t="str"/>
      <x:c r="J58" s="19" t="n">
        <x:v>46260.10736111111</x:v>
      </x:c>
      <x:c r="K58" s="31" t="str">
        <x:v>https://books.google.com/ngrams/json?content=warm+air&amp;year_start=1842&amp;year_end=2022&amp;corpus=eng&amp;smoothing=0&amp;case_insensitive=true</x:v>
      </x:c>
      <x:c r="L58" s="20" t="str">
        <x:v>application/json (cached)</x:v>
      </x:c>
    </x:row>
    <x:row r="59" ht="27" customHeight="1">
      <x:c r="A59" s="18" t="str">
        <x:v>FT-Q-V01-055</x:v>
      </x:c>
      <x:c r="B59" s="31" t="str">
        <x:v>changing atmosphere</x:v>
      </x:c>
      <x:c r="C59" s="31" t="str">
        <x:v>SUCCEEDED</x:v>
      </x:c>
      <x:c r="D59" s="28" t="n">
        <x:v>0</x:v>
      </x:c>
      <x:c r="E59" s="28" t="n">
        <x:v>181</x:v>
      </x:c>
      <x:c r="F59" s="19" t="str">
        <x:v>changing atmosphere (All)</x:v>
      </x:c>
      <x:c r="G59" s="31" t="str">
        <x:v>data/fear-temperature/ngram/raw/d85a605bd6ea660c1f4aa52a4a83b71832a460c045386101932b8aac3fb6f215.json</x:v>
      </x:c>
      <x:c r="H59" s="19" t="str">
        <x:v>31a39f8cb024096a38cc401e55f642e5372e1f3746523f6714899f6de8fc5b47</x:v>
      </x:c>
      <x:c r="I59" s="31" t="str"/>
      <x:c r="J59" s="19" t="n">
        <x:v>46260.10737268518</x:v>
      </x:c>
      <x:c r="K59" s="31" t="str">
        <x:v>https://books.google.com/ngrams/json?content=changing+atmosphere&amp;year_start=1842&amp;year_end=2022&amp;corpus=eng&amp;smoothing=0&amp;case_insensitive=true</x:v>
      </x:c>
      <x:c r="L59" s="20" t="str">
        <x:v>application/json (cached)</x:v>
      </x:c>
    </x:row>
    <x:row r="60" ht="27" customHeight="1">
      <x:c r="A60" s="18" t="str">
        <x:v>FT-Q-V01-056</x:v>
      </x:c>
      <x:c r="B60" s="31" t="str">
        <x:v>global security</x:v>
      </x:c>
      <x:c r="C60" s="31" t="str">
        <x:v>SUCCEEDED</x:v>
      </x:c>
      <x:c r="D60" s="28" t="n">
        <x:v>0</x:v>
      </x:c>
      <x:c r="E60" s="28" t="n">
        <x:v>181</x:v>
      </x:c>
      <x:c r="F60" s="19" t="str">
        <x:v>global security (All)</x:v>
      </x:c>
      <x:c r="G60" s="31" t="str">
        <x:v>data/fear-temperature/ngram/raw/37f3c91b5bdb2434e5e7fbfc823d1f62804dd9a06082e829967508e3305f442f.json</x:v>
      </x:c>
      <x:c r="H60" s="19" t="str">
        <x:v>40c340cadb5c19fbb7e4af9c4df80f4d671949496be1e4157721c7c6ed89cbaf</x:v>
      </x:c>
      <x:c r="I60" s="31" t="str"/>
      <x:c r="J60" s="19" t="n">
        <x:v>46260.10738425926</x:v>
      </x:c>
      <x:c r="K60" s="31" t="str">
        <x:v>https://books.google.com/ngrams/json?content=global+security&amp;year_start=1842&amp;year_end=2022&amp;corpus=eng&amp;smoothing=0&amp;case_insensitive=true</x:v>
      </x:c>
      <x:c r="L60" s="20" t="str">
        <x:v>application/json (cached)</x:v>
      </x:c>
    </x:row>
    <x:row r="61" ht="27" customHeight="1">
      <x:c r="A61" s="18" t="str">
        <x:v>FT-Q-V01-057</x:v>
      </x:c>
      <x:c r="B61" s="31" t="str">
        <x:v>climate warming</x:v>
      </x:c>
      <x:c r="C61" s="31" t="str">
        <x:v>SUCCEEDED</x:v>
      </x:c>
      <x:c r="D61" s="28" t="n">
        <x:v>0</x:v>
      </x:c>
      <x:c r="E61" s="28" t="n">
        <x:v>181</x:v>
      </x:c>
      <x:c r="F61" s="19" t="str">
        <x:v>climate warming (All)</x:v>
      </x:c>
      <x:c r="G61" s="31" t="str">
        <x:v>data/fear-temperature/ngram/raw/b007c4e4f28b0d91c852846fb12cbb9f19e181cbfebe2c7ad3081912a94fdef1.json</x:v>
      </x:c>
      <x:c r="H61" s="19" t="str">
        <x:v>64f3ea2a95693e01b62353ae6f01b6dc48d197b5300fdba5f5ba37be9848235a</x:v>
      </x:c>
      <x:c r="I61" s="31" t="str"/>
      <x:c r="J61" s="19" t="n">
        <x:v>46260.107395833336</x:v>
      </x:c>
      <x:c r="K61" s="31" t="str">
        <x:v>https://books.google.com/ngrams/json?content=climate+warming&amp;year_start=1842&amp;year_end=2022&amp;corpus=eng&amp;smoothing=0&amp;case_insensitive=true</x:v>
      </x:c>
      <x:c r="L61" s="20" t="str">
        <x:v>application/json (cached)</x:v>
      </x:c>
    </x:row>
    <x:row r="62" ht="27" customHeight="1">
      <x:c r="A62" s="18" t="str">
        <x:v>FT-Q-V01-058</x:v>
      </x:c>
      <x:c r="B62" s="31" t="str">
        <x:v>changed climatic extremes</x:v>
      </x:c>
      <x:c r="C62" s="31" t="str">
        <x:v>ZERO_RESULT</x:v>
      </x:c>
      <x:c r="D62" s="28" t="n">
        <x:v>0</x:v>
      </x:c>
      <x:c r="E62" s="28" t="n">
        <x:v>0</x:v>
      </x:c>
      <x:c r="F62" s="19" t="str"/>
      <x:c r="G62" s="31" t="str">
        <x:v>data/fear-temperature/ngram/raw/e3c721797f491dbfd313d1ebf26dce903f725eee8b0becece08b3766489bec5e.json</x:v>
      </x:c>
      <x:c r="H62" s="19" t="str">
        <x:v>4f53cda18c2baa0c0354bb5f9a3ecbe5ed12ab4d8e11ba873c2f11161202b945</x:v>
      </x:c>
      <x:c r="I62" s="31" t="str"/>
      <x:c r="J62" s="19" t="n">
        <x:v>46260.107407407406</x:v>
      </x:c>
      <x:c r="K62" s="31" t="str">
        <x:v>https://books.google.com/ngrams/json?content=changed+climatic+extremes&amp;year_start=1842&amp;year_end=2022&amp;corpus=eng&amp;smoothing=0&amp;case_insensitive=true</x:v>
      </x:c>
      <x:c r="L62" s="20" t="str">
        <x:v>application/json (cached)</x:v>
      </x:c>
    </x:row>
    <x:row r="63" ht="27" customHeight="1">
      <x:c r="A63" s="18" t="str">
        <x:v>FT-Q-V01-059</x:v>
      </x:c>
      <x:c r="B63" s="31" t="str">
        <x:v>major threat</x:v>
      </x:c>
      <x:c r="C63" s="31" t="str">
        <x:v>SUCCEEDED</x:v>
      </x:c>
      <x:c r="D63" s="28" t="n">
        <x:v>0</x:v>
      </x:c>
      <x:c r="E63" s="28" t="n">
        <x:v>181</x:v>
      </x:c>
      <x:c r="F63" s="19" t="str">
        <x:v>major threat (All)</x:v>
      </x:c>
      <x:c r="G63" s="31" t="str">
        <x:v>data/fear-temperature/ngram/raw/3852fb8c0602dd1dd7e82aede6ff96df951ae0ab14e8dff39d9436087f4b2d1e.json</x:v>
      </x:c>
      <x:c r="H63" s="19" t="str">
        <x:v>75522bbfc20fa16dbf0791e33c6bf5c01b88ee0ed211777e3ccb4fb64780c903</x:v>
      </x:c>
      <x:c r="I63" s="31" t="str"/>
      <x:c r="J63" s="19" t="n">
        <x:v>46260.10741898148</x:v>
      </x:c>
      <x:c r="K63" s="31" t="str">
        <x:v>https://books.google.com/ngrams/json?content=major+threat&amp;year_start=1842&amp;year_end=2022&amp;corpus=eng&amp;smoothing=0&amp;case_insensitive=true</x:v>
      </x:c>
      <x:c r="L63" s="20" t="str">
        <x:v>application/json (cached)</x:v>
      </x:c>
    </x:row>
    <x:row r="64" ht="27" customHeight="1">
      <x:c r="A64" s="18" t="str">
        <x:v>FT-Q-V01-060</x:v>
      </x:c>
      <x:c r="B64" s="31" t="str">
        <x:v>harmful consequences</x:v>
      </x:c>
      <x:c r="C64" s="31" t="str">
        <x:v>SUCCEEDED</x:v>
      </x:c>
      <x:c r="D64" s="28" t="n">
        <x:v>0</x:v>
      </x:c>
      <x:c r="E64" s="28" t="n">
        <x:v>181</x:v>
      </x:c>
      <x:c r="F64" s="19" t="str">
        <x:v>harmful consequences (All)</x:v>
      </x:c>
      <x:c r="G64" s="31" t="str">
        <x:v>data/fear-temperature/ngram/raw/ca8b82883f6811093ecec7cb6aa37b2187c9c8705f722490a53620e189c7b504.json</x:v>
      </x:c>
      <x:c r="H64" s="19" t="str">
        <x:v>0963b9881889fcc26999dd17bafb948569ea495660dc2b3a1e99698028c8242b</x:v>
      </x:c>
      <x:c r="I64" s="31" t="str"/>
      <x:c r="J64" s="19" t="n">
        <x:v>46260.10741898148</x:v>
      </x:c>
      <x:c r="K64" s="31" t="str">
        <x:v>https://books.google.com/ngrams/json?content=harmful+consequences&amp;year_start=1842&amp;year_end=2022&amp;corpus=eng&amp;smoothing=0&amp;case_insensitive=true</x:v>
      </x:c>
      <x:c r="L64" s="20" t="str">
        <x:v>application/json (cached)</x:v>
      </x:c>
    </x:row>
    <x:row r="65" ht="27" customHeight="1">
      <x:c r="A65" s="18" t="str">
        <x:v>FT-Q-V01-061</x:v>
      </x:c>
      <x:c r="B65" s="31" t="str">
        <x:v>warming of the climate system</x:v>
      </x:c>
      <x:c r="C65" s="31" t="str">
        <x:v>SUCCEEDED</x:v>
      </x:c>
      <x:c r="D65" s="28" t="n">
        <x:v>0</x:v>
      </x:c>
      <x:c r="E65" s="28" t="n">
        <x:v>181</x:v>
      </x:c>
      <x:c r="F65" s="19" t="str">
        <x:v>warming of the climate system (All)</x:v>
      </x:c>
      <x:c r="G65" s="31" t="str">
        <x:v>data/fear-temperature/ngram/raw/8dcf3248dddb111a1f30bab5b3545357d072f4605eedc0c49e65add20572aa70.json</x:v>
      </x:c>
      <x:c r="H65" s="19" t="str">
        <x:v>6e96cf29b410ee27b3bd7c39ea8508de692f0e94b87248f664b9c39cb7645fba</x:v>
      </x:c>
      <x:c r="I65" s="31" t="str"/>
      <x:c r="J65" s="19" t="n">
        <x:v>46260.10743055555</x:v>
      </x:c>
      <x:c r="K65" s="31" t="str">
        <x:v>https://books.google.com/ngrams/json?content=warming+of+the+climate+system&amp;year_start=1842&amp;year_end=2022&amp;corpus=eng&amp;smoothing=0&amp;case_insensitive=true</x:v>
      </x:c>
      <x:c r="L65" s="20" t="str">
        <x:v>application/json (cached)</x:v>
      </x:c>
    </x:row>
    <x:row r="66" ht="27" customHeight="1">
      <x:c r="A66" s="18" t="str">
        <x:v>FT-Q-V01-062</x:v>
      </x:c>
      <x:c r="B66" s="31" t="str">
        <x:v>unequivocal</x:v>
      </x:c>
      <x:c r="C66" s="31" t="str">
        <x:v>SUCCEEDED</x:v>
      </x:c>
      <x:c r="D66" s="28" t="n">
        <x:v>0</x:v>
      </x:c>
      <x:c r="E66" s="28" t="n">
        <x:v>181</x:v>
      </x:c>
      <x:c r="F66" s="19" t="str">
        <x:v>unequivocal (All)</x:v>
      </x:c>
      <x:c r="G66" s="31" t="str">
        <x:v>data/fear-temperature/ngram/raw/589b222dcaad46517e9261b3de8c0a74d95549534dafe4e4c9401053bb014a0f.json</x:v>
      </x:c>
      <x:c r="H66" s="19" t="str">
        <x:v>7800a7f4bcd0b09bb658bc653965495ebefdcf8d057631f1acb2e2746d5723af</x:v>
      </x:c>
      <x:c r="I66" s="31" t="str"/>
      <x:c r="J66" s="19" t="n">
        <x:v>46260.10753472222</x:v>
      </x:c>
      <x:c r="K66" s="31" t="str">
        <x:v>https://books.google.com/ngrams/json?content=unequivocal&amp;year_start=1842&amp;year_end=2022&amp;corpus=eng&amp;smoothing=0&amp;case_insensitive=true</x:v>
      </x:c>
      <x:c r="L66" s="20" t="str">
        <x:v>application/json (cached)</x:v>
      </x:c>
    </x:row>
    <x:row r="67" ht="27" customHeight="1">
      <x:c r="A67" s="18" t="str">
        <x:v>FT-Q-V01-063</x:v>
      </x:c>
      <x:c r="B67" s="31" t="str">
        <x:v>global average air and ocean temperatures</x:v>
      </x:c>
      <x:c r="C67" s="31" t="str">
        <x:v>SUCCEEDED</x:v>
      </x:c>
      <x:c r="D67" s="28" t="n">
        <x:v>0</x:v>
      </x:c>
      <x:c r="E67" s="28" t="n">
        <x:v>181</x:v>
      </x:c>
      <x:c r="F67" s="19" t="str">
        <x:v>global average air and ocean temperatures</x:v>
      </x:c>
      <x:c r="G67" s="31" t="str">
        <x:v>data/fear-temperature/ngram/raw/f73af1ae45c262eb8a777b662382952c3959bd2b5435d50eb84ffa31953e7815.json</x:v>
      </x:c>
      <x:c r="H67" s="19" t="str">
        <x:v>ecc6ac3c5c0c513120f22f13b54486d0855591b50660fb832c5cf6c08986a4d2</x:v>
      </x:c>
      <x:c r="I67" s="31" t="str"/>
      <x:c r="J67" s="19" t="n">
        <x:v>46260.1075462963</x:v>
      </x:c>
      <x:c r="K67" s="31" t="str">
        <x:v>https://books.google.com/ngrams/json?content=global+average+air+and+ocean+temperatures&amp;year_start=1842&amp;year_end=2022&amp;corpus=eng&amp;smoothing=0&amp;case_insensitive=true</x:v>
      </x:c>
      <x:c r="L67" s="20" t="str">
        <x:v>application/json (cached)</x:v>
      </x:c>
    </x:row>
    <x:row r="68" ht="27" customHeight="1">
      <x:c r="A68" s="18" t="str">
        <x:v>FT-Q-V01-064</x:v>
      </x:c>
      <x:c r="B68" s="31" t="str">
        <x:v>global surface temperature</x:v>
      </x:c>
      <x:c r="C68" s="31" t="str">
        <x:v>SUCCEEDED</x:v>
      </x:c>
      <x:c r="D68" s="28" t="n">
        <x:v>0</x:v>
      </x:c>
      <x:c r="E68" s="28" t="n">
        <x:v>181</x:v>
      </x:c>
      <x:c r="F68" s="19" t="str">
        <x:v>global surface temperature (All)</x:v>
      </x:c>
      <x:c r="G68" s="31" t="str">
        <x:v>data/fear-temperature/ngram/raw/0c509bcbc95a5c5d481b3d693eaf5548c14084450a9268d3c1f9640d9ccedf23.json</x:v>
      </x:c>
      <x:c r="H68" s="19" t="str">
        <x:v>f8d387438c05441d2930497940e0e198dd1eddbc18e0688c5fa2f4f60fd733d1</x:v>
      </x:c>
      <x:c r="I68" s="31" t="str"/>
      <x:c r="J68" s="19" t="n">
        <x:v>46260.10755787037</x:v>
      </x:c>
      <x:c r="K68" s="31" t="str">
        <x:v>https://books.google.com/ngrams/json?content=global+surface+temperature&amp;year_start=1842&amp;year_end=2022&amp;corpus=eng&amp;smoothing=0&amp;case_insensitive=true</x:v>
      </x:c>
      <x:c r="L68" s="20" t="str">
        <x:v>application/json (cached)</x:v>
      </x:c>
    </x:row>
    <x:row r="69" ht="27" customHeight="1">
      <x:c r="A69" s="18" t="str">
        <x:v>FT-Q-V01-065</x:v>
      </x:c>
      <x:c r="B69" s="31" t="str">
        <x:v>temperature increase</x:v>
      </x:c>
      <x:c r="C69" s="31" t="str">
        <x:v>SUCCEEDED</x:v>
      </x:c>
      <x:c r="D69" s="28" t="n">
        <x:v>0</x:v>
      </x:c>
      <x:c r="E69" s="28" t="n">
        <x:v>181</x:v>
      </x:c>
      <x:c r="F69" s="19" t="str">
        <x:v>temperature increase (All)</x:v>
      </x:c>
      <x:c r="G69" s="31" t="str">
        <x:v>data/fear-temperature/ngram/raw/e6efba58d92f6e3c0b60cedfb131afc6f4d35abfc0f251f7d7b486284e4283e4.json</x:v>
      </x:c>
      <x:c r="H69" s="19" t="str">
        <x:v>00c9723642a182ca6e365180d49ecc183f017932096d07681aced9b41a5d400f</x:v>
      </x:c>
      <x:c r="I69" s="31" t="str"/>
      <x:c r="J69" s="19" t="n">
        <x:v>46260.107569444444</x:v>
      </x:c>
      <x:c r="K69" s="31" t="str">
        <x:v>https://books.google.com/ngrams/json?content=temperature+increase&amp;year_start=1842&amp;year_end=2022&amp;corpus=eng&amp;smoothing=0&amp;case_insensitive=true</x:v>
      </x:c>
      <x:c r="L69" s="20" t="str">
        <x:v>application/json (cached)</x:v>
      </x:c>
    </x:row>
    <x:row r="70" ht="27" customHeight="1">
      <x:c r="A70" s="18" t="str">
        <x:v>FT-Q-V01-066</x:v>
      </x:c>
      <x:c r="B70" s="31" t="str">
        <x:v>rising global average sea level</x:v>
      </x:c>
      <x:c r="C70" s="31" t="str">
        <x:v>SUCCEEDED</x:v>
      </x:c>
      <x:c r="D70" s="28" t="n">
        <x:v>0</x:v>
      </x:c>
      <x:c r="E70" s="28" t="n">
        <x:v>181</x:v>
      </x:c>
      <x:c r="F70" s="19" t="str">
        <x:v>rising global average sea level</x:v>
      </x:c>
      <x:c r="G70" s="31" t="str">
        <x:v>data/fear-temperature/ngram/raw/87718eb09b1ce320108dbcce3dd7b6faaf2c6f10134af590aa1e6d5c0f1f5363.json</x:v>
      </x:c>
      <x:c r="H70" s="19" t="str">
        <x:v>fcc202b5ca670d2c82631d432d3656639876be2e5c7ecf4102191dae228ee2e9</x:v>
      </x:c>
      <x:c r="I70" s="31" t="str"/>
      <x:c r="J70" s="19" t="n">
        <x:v>46260.107569444444</x:v>
      </x:c>
      <x:c r="K70" s="31" t="str">
        <x:v>https://books.google.com/ngrams/json?content=rising+global+average+sea+level&amp;year_start=1842&amp;year_end=2022&amp;corpus=eng&amp;smoothing=0&amp;case_insensitive=true</x:v>
      </x:c>
      <x:c r="L70" s="20" t="str">
        <x:v>application/json (cached)</x:v>
      </x:c>
    </x:row>
    <x:row r="71" ht="27" customHeight="1">
      <x:c r="A71" s="18" t="str">
        <x:v>FT-Q-V01-067</x:v>
      </x:c>
      <x:c r="B71" s="31" t="str">
        <x:v>widespread melting of snow and ice</x:v>
      </x:c>
      <x:c r="C71" s="31" t="str">
        <x:v>SUCCEEDED</x:v>
      </x:c>
      <x:c r="D71" s="28" t="n">
        <x:v>0</x:v>
      </x:c>
      <x:c r="E71" s="28" t="n">
        <x:v>181</x:v>
      </x:c>
      <x:c r="F71" s="19" t="str">
        <x:v>widespread melting of snow and ice</x:v>
      </x:c>
      <x:c r="G71" s="31" t="str">
        <x:v>data/fear-temperature/ngram/raw/806fa1b4d7e70879a062cfd1acba0fee5db80a00c9014f31015edfe13f8f81fa.json</x:v>
      </x:c>
      <x:c r="H71" s="19" t="str">
        <x:v>c557bf5c0d1d86491aeec29fc8b84bfcc149ea2dc20e3334e342fa9fcde72618</x:v>
      </x:c>
      <x:c r="I71" s="31" t="str"/>
      <x:c r="J71" s="19" t="n">
        <x:v>46260.10758101852</x:v>
      </x:c>
      <x:c r="K71" s="31" t="str">
        <x:v>https://books.google.com/ngrams/json?content=widespread+melting+of+snow+and+ice&amp;year_start=1842&amp;year_end=2022&amp;corpus=eng&amp;smoothing=0&amp;case_insensitive=true</x:v>
      </x:c>
      <x:c r="L71" s="20" t="str">
        <x:v>application/json (cached)</x:v>
      </x:c>
    </x:row>
    <x:row r="72" ht="27" customHeight="1">
      <x:c r="A72" s="18" t="str">
        <x:v>FT-Q-V01-068</x:v>
      </x:c>
      <x:c r="B72" s="31" t="str">
        <x:v>anthropogenic CO₂</x:v>
      </x:c>
      <x:c r="C72" s="31" t="str">
        <x:v>NOT_RUN_INCOMPATIBLE</x:v>
      </x:c>
      <x:c r="D72" s="28" t="n">
        <x:v>0</x:v>
      </x:c>
      <x:c r="E72" s="28" t="n">
        <x:v>0</x:v>
      </x:c>
      <x:c r="F72" s="19" t="str"/>
      <x:c r="G72" s="31" t="str"/>
      <x:c r="H72" s="19" t="str"/>
      <x:c r="I72" s="31" t="str">
        <x:v>Degree/subscript notation is not queried as an isolated public-interface Ngram.</x:v>
      </x:c>
      <x:c r="J72" s="19" t="str"/>
      <x:c r="K72" s="31" t="str"/>
      <x:c r="L72" s="20" t="str"/>
    </x:row>
    <x:row r="73" ht="27" customHeight="1">
      <x:c r="A73" s="18" t="str">
        <x:v>FT-Q-V01-069</x:v>
      </x:c>
      <x:c r="B73" s="31" t="str">
        <x:v>anthropogenic GHG emissions</x:v>
      </x:c>
      <x:c r="C73" s="31" t="str">
        <x:v>SUCCEEDED</x:v>
      </x:c>
      <x:c r="D73" s="28" t="n">
        <x:v>0</x:v>
      </x:c>
      <x:c r="E73" s="28" t="n">
        <x:v>181</x:v>
      </x:c>
      <x:c r="F73" s="19" t="str">
        <x:v>anthropogenic GHG emissions (All)</x:v>
      </x:c>
      <x:c r="G73" s="31" t="str">
        <x:v>data/fear-temperature/ngram/raw/914334e57db329f472c585240f860566f4453aba88a7a68d703eb2b8ba0b7e47.json</x:v>
      </x:c>
      <x:c r="H73" s="19" t="str">
        <x:v>d721e9b11ff827f5408f78543bb5d474928d30128846e6f28ce0cbfb2c9511fd</x:v>
      </x:c>
      <x:c r="I73" s="31" t="str"/>
      <x:c r="J73" s="19" t="n">
        <x:v>46260.10759259259</x:v>
      </x:c>
      <x:c r="K73" s="31" t="str">
        <x:v>https://books.google.com/ngrams/json?content=anthropogenic+GHG+emissions&amp;year_start=1842&amp;year_end=2022&amp;corpus=eng&amp;smoothing=0&amp;case_insensitive=true</x:v>
      </x:c>
      <x:c r="L73" s="20" t="str">
        <x:v>application/json (cached)</x:v>
      </x:c>
    </x:row>
    <x:row r="74" ht="27" customHeight="1">
      <x:c r="A74" s="18" t="str">
        <x:v>FT-Q-V01-070</x:v>
      </x:c>
      <x:c r="B74" s="31" t="str">
        <x:v>climate change</x:v>
      </x:c>
      <x:c r="C74" s="31" t="str">
        <x:v>SUCCEEDED</x:v>
      </x:c>
      <x:c r="D74" s="28" t="n">
        <x:v>0</x:v>
      </x:c>
      <x:c r="E74" s="28" t="n">
        <x:v>181</x:v>
      </x:c>
      <x:c r="F74" s="19" t="str">
        <x:v>climate change (All)</x:v>
      </x:c>
      <x:c r="G74" s="31" t="str">
        <x:v>data/fear-temperature/ngram/raw/c0c3021f09dbdf3542c85e1a8bd4e013bd4d99d85af63bbd55f5e05a6a7ddd2b.json</x:v>
      </x:c>
      <x:c r="H74" s="19" t="str">
        <x:v>f147d9b61eec9310d5a36c21ef68d14904b4782ed7663bc02178e865991f6aa6</x:v>
      </x:c>
      <x:c r="I74" s="31" t="str"/>
      <x:c r="J74" s="19" t="n">
        <x:v>46260.10760416667</x:v>
      </x:c>
      <x:c r="K74" s="31" t="str">
        <x:v>https://books.google.com/ngrams/json?content=climate+change&amp;year_start=1842&amp;year_end=2022&amp;corpus=eng&amp;smoothing=0&amp;case_insensitive=true</x:v>
      </x:c>
      <x:c r="L74" s="20" t="str">
        <x:v>application/json (cached)</x:v>
      </x:c>
    </x:row>
    <x:row r="75" ht="27" customHeight="1">
      <x:c r="A75" s="18" t="str">
        <x:v>FT-Q-V01-071</x:v>
      </x:c>
      <x:c r="B75" s="31" t="str">
        <x:v>global warming</x:v>
      </x:c>
      <x:c r="C75" s="31" t="str">
        <x:v>SUCCEEDED</x:v>
      </x:c>
      <x:c r="D75" s="28" t="n">
        <x:v>0</x:v>
      </x:c>
      <x:c r="E75" s="28" t="n">
        <x:v>181</x:v>
      </x:c>
      <x:c r="F75" s="19" t="str">
        <x:v>global warming (All)</x:v>
      </x:c>
      <x:c r="G75" s="31" t="str">
        <x:v>data/fear-temperature/ngram/raw/e982c3b5d6e77fc759f19bb2931d892bfaa9221ade4a44977579a8d5a8afab71.json</x:v>
      </x:c>
      <x:c r="H75" s="19" t="str">
        <x:v>edd5437f92999c829c0fea3e5822ab6cb22f6b319b6eab7bc697d0dc4f6023f9</x:v>
      </x:c>
      <x:c r="I75" s="31" t="str"/>
      <x:c r="J75" s="19" t="n">
        <x:v>46260.107256944444</x:v>
      </x:c>
      <x:c r="K75" s="31" t="str">
        <x:v>https://books.google.com/ngrams/json?content=global+warming&amp;year_start=1842&amp;year_end=2022&amp;corpus=eng&amp;smoothing=0&amp;case_insensitive=true</x:v>
      </x:c>
      <x:c r="L75" s="20" t="str">
        <x:v>application/json (cached)</x:v>
      </x:c>
    </x:row>
    <x:row r="76" ht="27" customHeight="1">
      <x:c r="A76" s="18" t="str">
        <x:v>FT-Q-V01-072</x:v>
      </x:c>
      <x:c r="B76" s="31" t="str">
        <x:v>serious global threat</x:v>
      </x:c>
      <x:c r="C76" s="31" t="str">
        <x:v>SUCCEEDED</x:v>
      </x:c>
      <x:c r="D76" s="28" t="n">
        <x:v>0</x:v>
      </x:c>
      <x:c r="E76" s="28" t="n">
        <x:v>181</x:v>
      </x:c>
      <x:c r="F76" s="19" t="str">
        <x:v>serious global threat</x:v>
      </x:c>
      <x:c r="G76" s="31" t="str">
        <x:v>data/fear-temperature/ngram/raw/5b32321ca744b813f5972199bf6100cca59a22ed8377107ee90f3439bdecbfa6.json</x:v>
      </x:c>
      <x:c r="H76" s="19" t="str">
        <x:v>f3ee1bb3c2e96faa19207ed0d89c6c95080e4dfc4299d35742d8c4f9ab015f3e</x:v>
      </x:c>
      <x:c r="I76" s="31" t="str"/>
      <x:c r="J76" s="19" t="n">
        <x:v>46260.107615740744</x:v>
      </x:c>
      <x:c r="K76" s="31" t="str">
        <x:v>https://books.google.com/ngrams/json?content=serious+global+threat&amp;year_start=1842&amp;year_end=2022&amp;corpus=eng&amp;smoothing=0&amp;case_insensitive=true</x:v>
      </x:c>
      <x:c r="L76" s="20" t="str">
        <x:v>application/json (cached)</x:v>
      </x:c>
    </x:row>
    <x:row r="77" ht="27" customHeight="1">
      <x:c r="A77" s="18" t="str">
        <x:v>FT-Q-V01-073</x:v>
      </x:c>
      <x:c r="B77" s="31" t="str">
        <x:v>urgent global response</x:v>
      </x:c>
      <x:c r="C77" s="31" t="str">
        <x:v>SUCCEEDED</x:v>
      </x:c>
      <x:c r="D77" s="28" t="n">
        <x:v>0</x:v>
      </x:c>
      <x:c r="E77" s="28" t="n">
        <x:v>181</x:v>
      </x:c>
      <x:c r="F77" s="19" t="str">
        <x:v>urgent global response</x:v>
      </x:c>
      <x:c r="G77" s="31" t="str">
        <x:v>data/fear-temperature/ngram/raw/2b3e1b1685a35825228a411e6215b23d8f9bb83c5a827b09d9abd02b86000899.json</x:v>
      </x:c>
      <x:c r="H77" s="19" t="str">
        <x:v>9e0517e5492bebadc3f145f79a0769fa3244659c743f96d08c4b222bcf489975</x:v>
      </x:c>
      <x:c r="I77" s="31" t="str"/>
      <x:c r="J77" s="19" t="n">
        <x:v>46260.107615740744</x:v>
      </x:c>
      <x:c r="K77" s="31" t="str">
        <x:v>https://books.google.com/ngrams/json?content=urgent+global+response&amp;year_start=1842&amp;year_end=2022&amp;corpus=eng&amp;smoothing=0&amp;case_insensitive=true</x:v>
      </x:c>
      <x:c r="L77" s="20" t="str">
        <x:v>application/json (cached)</x:v>
      </x:c>
    </x:row>
    <x:row r="78" ht="27" customHeight="1">
      <x:c r="A78" s="18" t="str">
        <x:v>FT-Q-V01-074</x:v>
      </x:c>
      <x:c r="B78" s="31" t="str">
        <x:v>costs and risks of climate change</x:v>
      </x:c>
      <x:c r="C78" s="31" t="str">
        <x:v>SUCCEEDED</x:v>
      </x:c>
      <x:c r="D78" s="28" t="n">
        <x:v>0</x:v>
      </x:c>
      <x:c r="E78" s="28" t="n">
        <x:v>181</x:v>
      </x:c>
      <x:c r="F78" s="19" t="str">
        <x:v>costs and risks of climate change</x:v>
      </x:c>
      <x:c r="G78" s="31" t="str">
        <x:v>data/fear-temperature/ngram/raw/8bd78b7ad15e9e48d2ac43434782eef178ec9ab9fe62373cb5361adae97daf18.json</x:v>
      </x:c>
      <x:c r="H78" s="19" t="str">
        <x:v>dcb1385c951417cc4a644d7215574d8b2d857a68230b5eba73b48a7cb5b69f4f</x:v>
      </x:c>
      <x:c r="I78" s="31" t="str"/>
      <x:c r="J78" s="19" t="n">
        <x:v>46260.107627314814</x:v>
      </x:c>
      <x:c r="K78" s="31" t="str">
        <x:v>https://books.google.com/ngrams/json?content=costs+and+risks+of+climate+change&amp;year_start=1842&amp;year_end=2022&amp;corpus=eng&amp;smoothing=0&amp;case_insensitive=true</x:v>
      </x:c>
      <x:c r="L78" s="20" t="str">
        <x:v>application/json (cached)</x:v>
      </x:c>
    </x:row>
    <x:row r="79" ht="27" customHeight="1">
      <x:c r="A79" s="18" t="str">
        <x:v>FT-Q-V01-075</x:v>
      </x:c>
      <x:c r="B79" s="31" t="str">
        <x:v>impacts of climate change</x:v>
      </x:c>
      <x:c r="C79" s="31" t="str">
        <x:v>SUCCEEDED</x:v>
      </x:c>
      <x:c r="D79" s="28" t="n">
        <x:v>0</x:v>
      </x:c>
      <x:c r="E79" s="28" t="n">
        <x:v>181</x:v>
      </x:c>
      <x:c r="F79" s="19" t="str">
        <x:v>impacts of climate change (All)</x:v>
      </x:c>
      <x:c r="G79" s="31" t="str">
        <x:v>data/fear-temperature/ngram/raw/10edc30626c2300c5c7fd37f88b17289d17de5d55c5e717eb20c37a82770241c.json</x:v>
      </x:c>
      <x:c r="H79" s="19" t="str">
        <x:v>44b635143823eb938cfa9be17f4d41975ecc1c7e4b3fd57c1a7d6f53975ed33d</x:v>
      </x:c>
      <x:c r="I79" s="31" t="str"/>
      <x:c r="J79" s="19" t="n">
        <x:v>46260.10763888889</x:v>
      </x:c>
      <x:c r="K79" s="31" t="str">
        <x:v>https://books.google.com/ngrams/json?content=impacts+of+climate+change&amp;year_start=1842&amp;year_end=2022&amp;corpus=eng&amp;smoothing=0&amp;case_insensitive=true</x:v>
      </x:c>
      <x:c r="L79" s="20" t="str">
        <x:v>application/json (cached)</x:v>
      </x:c>
    </x:row>
    <x:row r="80" ht="27" customHeight="1">
      <x:c r="A80" s="18" t="str">
        <x:v>FT-Q-V01-076</x:v>
      </x:c>
      <x:c r="B80" s="31" t="str">
        <x:v>damage</x:v>
      </x:c>
      <x:c r="C80" s="31" t="str">
        <x:v>SUCCEEDED</x:v>
      </x:c>
      <x:c r="D80" s="28" t="n">
        <x:v>0</x:v>
      </x:c>
      <x:c r="E80" s="28" t="n">
        <x:v>181</x:v>
      </x:c>
      <x:c r="F80" s="19" t="str">
        <x:v>damage (All)</x:v>
      </x:c>
      <x:c r="G80" s="31" t="str">
        <x:v>data/fear-temperature/ngram/raw/d01f41629ee6773134a211a7026f5208a1c2513b8707a3bed0900691e7c0f8c8.json</x:v>
      </x:c>
      <x:c r="H80" s="19" t="str">
        <x:v>e2b6224da5004cdbd469f78455aff54e59c94bd58527d0541fb8346c5d45d622</x:v>
      </x:c>
      <x:c r="I80" s="31" t="str"/>
      <x:c r="J80" s="19" t="n">
        <x:v>46260.10765046296</x:v>
      </x:c>
      <x:c r="K80" s="31" t="str">
        <x:v>https://books.google.com/ngrams/json?content=damage&amp;year_start=1842&amp;year_end=2022&amp;corpus=eng&amp;smoothing=0&amp;case_insensitive=true</x:v>
      </x:c>
      <x:c r="L80" s="20" t="str">
        <x:v>application/json (cached)</x:v>
      </x:c>
    </x:row>
    <x:row r="81" ht="27" customHeight="1">
      <x:c r="A81" s="18" t="str">
        <x:v>FT-Q-V01-077</x:v>
      </x:c>
      <x:c r="B81" s="31" t="str">
        <x:v>hunger</x:v>
      </x:c>
      <x:c r="C81" s="31" t="str">
        <x:v>SUCCEEDED</x:v>
      </x:c>
      <x:c r="D81" s="28" t="n">
        <x:v>0</x:v>
      </x:c>
      <x:c r="E81" s="28" t="n">
        <x:v>181</x:v>
      </x:c>
      <x:c r="F81" s="19" t="str">
        <x:v>hunger (All)</x:v>
      </x:c>
      <x:c r="G81" s="31" t="str">
        <x:v>data/fear-temperature/ngram/raw/316db15cf9762a5992d3f01731d219bae77ccddd5b4e7b3a3624d6529956f51c.json</x:v>
      </x:c>
      <x:c r="H81" s="19" t="str">
        <x:v>ca2b1f89311ada24ba36c7861d796bdde355cc9e275a0ba432cdcc4201c82a03</x:v>
      </x:c>
      <x:c r="I81" s="31" t="str"/>
      <x:c r="J81" s="19" t="n">
        <x:v>46260.10766203704</x:v>
      </x:c>
      <x:c r="K81" s="31" t="str">
        <x:v>https://books.google.com/ngrams/json?content=hunger&amp;year_start=1842&amp;year_end=2022&amp;corpus=eng&amp;smoothing=0&amp;case_insensitive=true</x:v>
      </x:c>
      <x:c r="L81" s="20" t="str">
        <x:v>application/json (cached)</x:v>
      </x:c>
    </x:row>
    <x:row r="82" ht="27" customHeight="1">
      <x:c r="A82" s="18" t="str">
        <x:v>FT-Q-V01-078</x:v>
      </x:c>
      <x:c r="B82" s="31" t="str">
        <x:v>water shortages</x:v>
      </x:c>
      <x:c r="C82" s="31" t="str">
        <x:v>SUCCEEDED</x:v>
      </x:c>
      <x:c r="D82" s="28" t="n">
        <x:v>0</x:v>
      </x:c>
      <x:c r="E82" s="28" t="n">
        <x:v>181</x:v>
      </x:c>
      <x:c r="F82" s="19" t="str">
        <x:v>water shortages (All)</x:v>
      </x:c>
      <x:c r="G82" s="31" t="str">
        <x:v>data/fear-temperature/ngram/raw/1efef2d790a347bb687eb3d223fce6047f4cbe50b45e07fb13a40f36a37a8053.json</x:v>
      </x:c>
      <x:c r="H82" s="19" t="str">
        <x:v>8a02a93d01cdac26a5a26050052a7fa416ae298e799feb32a7e04ce748e1c9b2</x:v>
      </x:c>
      <x:c r="I82" s="31" t="str"/>
      <x:c r="J82" s="19" t="n">
        <x:v>46260.10766203704</x:v>
      </x:c>
      <x:c r="K82" s="31" t="str">
        <x:v>https://books.google.com/ngrams/json?content=water+shortages&amp;year_start=1842&amp;year_end=2022&amp;corpus=eng&amp;smoothing=0&amp;case_insensitive=true</x:v>
      </x:c>
      <x:c r="L82" s="20" t="str">
        <x:v>application/json (cached)</x:v>
      </x:c>
    </x:row>
    <x:row r="83" ht="27" customHeight="1">
      <x:c r="A83" s="18" t="str">
        <x:v>FT-Q-V01-079</x:v>
      </x:c>
      <x:c r="B83" s="31" t="str">
        <x:v>coastal flooding</x:v>
      </x:c>
      <x:c r="C83" s="31" t="str">
        <x:v>SUCCEEDED</x:v>
      </x:c>
      <x:c r="D83" s="28" t="n">
        <x:v>0</x:v>
      </x:c>
      <x:c r="E83" s="28" t="n">
        <x:v>181</x:v>
      </x:c>
      <x:c r="F83" s="19" t="str">
        <x:v>coastal flooding (All)</x:v>
      </x:c>
      <x:c r="G83" s="31" t="str">
        <x:v>data/fear-temperature/ngram/raw/52bfa613753c4eadca65ad755383bb46d16281d2f73bd1c629782b94ca7ca635.json</x:v>
      </x:c>
      <x:c r="H83" s="19" t="str">
        <x:v>afd0afb4ad590b0b562d7c9eaf9ec1a042f698a5f73224a04d449cc9af4849cf</x:v>
      </x:c>
      <x:c r="I83" s="31" t="str"/>
      <x:c r="J83" s="19" t="n">
        <x:v>46260.10767361111</x:v>
      </x:c>
      <x:c r="K83" s="31" t="str">
        <x:v>https://books.google.com/ngrams/json?content=coastal+flooding&amp;year_start=1842&amp;year_end=2022&amp;corpus=eng&amp;smoothing=0&amp;case_insensitive=true</x:v>
      </x:c>
      <x:c r="L83" s="20" t="str">
        <x:v>application/json (cached)</x:v>
      </x:c>
    </x:row>
    <x:row r="84" ht="27" customHeight="1">
      <x:c r="A84" s="18" t="str">
        <x:v>FT-Q-V01-080</x:v>
      </x:c>
      <x:c r="B84" s="31" t="str">
        <x:v>worst impacts</x:v>
      </x:c>
      <x:c r="C84" s="31" t="str">
        <x:v>SUCCEEDED</x:v>
      </x:c>
      <x:c r="D84" s="28" t="n">
        <x:v>0</x:v>
      </x:c>
      <x:c r="E84" s="28" t="n">
        <x:v>181</x:v>
      </x:c>
      <x:c r="F84" s="19" t="str">
        <x:v>worst impacts (All)</x:v>
      </x:c>
      <x:c r="G84" s="31" t="str">
        <x:v>data/fear-temperature/ngram/raw/ef191d5d6d10d37fbddf1313d24b7921544ca0578b9663de780c6b926ed9497b.json</x:v>
      </x:c>
      <x:c r="H84" s="19" t="str">
        <x:v>c81f1acf5f8312c53ed5cd0b2b4a024d4dfdaa50768e6ccf9f35b7ba63cfd959</x:v>
      </x:c>
      <x:c r="I84" s="31" t="str"/>
      <x:c r="J84" s="19" t="n">
        <x:v>46260.10768518518</x:v>
      </x:c>
      <x:c r="K84" s="31" t="str">
        <x:v>https://books.google.com/ngrams/json?content=worst+impacts&amp;year_start=1842&amp;year_end=2022&amp;corpus=eng&amp;smoothing=0&amp;case_insensitive=true</x:v>
      </x:c>
      <x:c r="L84" s="20" t="str">
        <x:v>application/json (cached)</x:v>
      </x:c>
    </x:row>
    <x:row r="85" ht="27" customHeight="1">
      <x:c r="A85" s="18" t="str">
        <x:v>FT-Q-V01-081</x:v>
      </x:c>
      <x:c r="B85" s="31" t="str">
        <x:v>climate change</x:v>
      </x:c>
      <x:c r="C85" s="31" t="str">
        <x:v>SUCCEEDED</x:v>
      </x:c>
      <x:c r="D85" s="28" t="n">
        <x:v>0</x:v>
      </x:c>
      <x:c r="E85" s="28" t="n">
        <x:v>181</x:v>
      </x:c>
      <x:c r="F85" s="19" t="str">
        <x:v>climate change (All)</x:v>
      </x:c>
      <x:c r="G85" s="31" t="str">
        <x:v>data/fear-temperature/ngram/raw/c0c3021f09dbdf3542c85e1a8bd4e013bd4d99d85af63bbd55f5e05a6a7ddd2b.json</x:v>
      </x:c>
      <x:c r="H85" s="19" t="str">
        <x:v>f147d9b61eec9310d5a36c21ef68d14904b4782ed7663bc02178e865991f6aa6</x:v>
      </x:c>
      <x:c r="I85" s="31" t="str"/>
      <x:c r="J85" s="19" t="n">
        <x:v>46260.10760416667</x:v>
      </x:c>
      <x:c r="K85" s="31" t="str">
        <x:v>https://books.google.com/ngrams/json?content=climate+change&amp;year_start=1842&amp;year_end=2022&amp;corpus=eng&amp;smoothing=0&amp;case_insensitive=true</x:v>
      </x:c>
      <x:c r="L85" s="20" t="str">
        <x:v>application/json (cached)</x:v>
      </x:c>
    </x:row>
    <x:row r="86" ht="27" customHeight="1">
      <x:c r="A86" s="18" t="str">
        <x:v>FT-Q-V01-082</x:v>
      </x:c>
      <x:c r="B86" s="31" t="str">
        <x:v>threat of climate change</x:v>
      </x:c>
      <x:c r="C86" s="31" t="str">
        <x:v>SUCCEEDED</x:v>
      </x:c>
      <x:c r="D86" s="28" t="n">
        <x:v>0</x:v>
      </x:c>
      <x:c r="E86" s="28" t="n">
        <x:v>181</x:v>
      </x:c>
      <x:c r="F86" s="19" t="str">
        <x:v>threat of climate change (All)</x:v>
      </x:c>
      <x:c r="G86" s="31" t="str">
        <x:v>data/fear-temperature/ngram/raw/80f335fb2f081618fb98e644333ac39d4ab1da3118610e2c37f4c52eaba6f01e.json</x:v>
      </x:c>
      <x:c r="H86" s="19" t="str">
        <x:v>4d3e308400740f2f45205ec13300cc268f5273c9661c773904bc082b92df5747</x:v>
      </x:c>
      <x:c r="I86" s="31" t="str"/>
      <x:c r="J86" s="19" t="n">
        <x:v>46260.10769675926</x:v>
      </x:c>
      <x:c r="K86" s="31" t="str">
        <x:v>https://books.google.com/ngrams/json?content=threat+of+climate+change&amp;year_start=1842&amp;year_end=2022&amp;corpus=eng&amp;smoothing=0&amp;case_insensitive=true</x:v>
      </x:c>
      <x:c r="L86" s="20" t="str">
        <x:v>application/json (cached)</x:v>
      </x:c>
    </x:row>
    <x:row r="87" ht="27" customHeight="1">
      <x:c r="A87" s="18" t="str">
        <x:v>FT-Q-V01-083</x:v>
      </x:c>
      <x:c r="B87" s="31" t="str">
        <x:v>global average temperature</x:v>
      </x:c>
      <x:c r="C87" s="31" t="str">
        <x:v>SUCCEEDED</x:v>
      </x:c>
      <x:c r="D87" s="28" t="n">
        <x:v>0</x:v>
      </x:c>
      <x:c r="E87" s="28" t="n">
        <x:v>181</x:v>
      </x:c>
      <x:c r="F87" s="19" t="str">
        <x:v>global average temperature (All)</x:v>
      </x:c>
      <x:c r="G87" s="31" t="str">
        <x:v>data/fear-temperature/ngram/raw/fec10abcfbf0091d0548b70a06317daaadc5fc16f753d8243a75bd2e1dbbcb94.json</x:v>
      </x:c>
      <x:c r="H87" s="19" t="str">
        <x:v>0117d142a11216609a781a08a4a9de2b558452c187b6875846db292dd9d75016</x:v>
      </x:c>
      <x:c r="I87" s="31" t="str"/>
      <x:c r="J87" s="19" t="n">
        <x:v>46260.10770833334</x:v>
      </x:c>
      <x:c r="K87" s="31" t="str">
        <x:v>https://books.google.com/ngrams/json?content=global+average+temperature&amp;year_start=1842&amp;year_end=2022&amp;corpus=eng&amp;smoothing=0&amp;case_insensitive=true</x:v>
      </x:c>
      <x:c r="L87" s="20" t="str">
        <x:v>application/json (cached)</x:v>
      </x:c>
    </x:row>
    <x:row r="88" ht="27" customHeight="1">
      <x:c r="A88" s="18" t="str">
        <x:v>FT-Q-V01-084</x:v>
      </x:c>
      <x:c r="B88" s="31" t="str">
        <x:v>well below 2°C above pre-industrial levels</x:v>
      </x:c>
      <x:c r="C88" s="31" t="str">
        <x:v>NOT_RUN_INCOMPATIBLE</x:v>
      </x:c>
      <x:c r="D88" s="28" t="n">
        <x:v>0</x:v>
      </x:c>
      <x:c r="E88" s="28" t="n">
        <x:v>0</x:v>
      </x:c>
      <x:c r="F88" s="19" t="str"/>
      <x:c r="G88" s="31" t="str"/>
      <x:c r="H88" s="19" t="str"/>
      <x:c r="I88" s="31" t="str">
        <x:v>Degree/subscript notation is not queried as an isolated public-interface Ngram.</x:v>
      </x:c>
      <x:c r="J88" s="19" t="str"/>
      <x:c r="K88" s="31" t="str"/>
      <x:c r="L88" s="20" t="str"/>
    </x:row>
    <x:row r="89" ht="27" customHeight="1">
      <x:c r="A89" s="18" t="str">
        <x:v>FT-Q-V01-085</x:v>
      </x:c>
      <x:c r="B89" s="31" t="str">
        <x:v>1.5°C above pre-industrial levels</x:v>
      </x:c>
      <x:c r="C89" s="31" t="str">
        <x:v>NOT_RUN_INCOMPATIBLE</x:v>
      </x:c>
      <x:c r="D89" s="28" t="n">
        <x:v>0</x:v>
      </x:c>
      <x:c r="E89" s="28" t="n">
        <x:v>0</x:v>
      </x:c>
      <x:c r="F89" s="19" t="str"/>
      <x:c r="G89" s="31" t="str"/>
      <x:c r="H89" s="19" t="str"/>
      <x:c r="I89" s="31" t="str">
        <x:v>Degree/subscript notation is not queried as an isolated public-interface Ngram.</x:v>
      </x:c>
      <x:c r="J89" s="19" t="str"/>
      <x:c r="K89" s="31" t="str"/>
      <x:c r="L89" s="20" t="str"/>
    </x:row>
    <x:row r="90" ht="27" customHeight="1">
      <x:c r="A90" s="18" t="str">
        <x:v>FT-Q-V01-086</x:v>
      </x:c>
      <x:c r="B90" s="31" t="str">
        <x:v>pre-industrial levels</x:v>
      </x:c>
      <x:c r="C90" s="31" t="str">
        <x:v>SUCCEEDED</x:v>
      </x:c>
      <x:c r="D90" s="28" t="n">
        <x:v>0</x:v>
      </x:c>
      <x:c r="E90" s="28" t="n">
        <x:v>181</x:v>
      </x:c>
      <x:c r="F90" s="19" t="str">
        <x:v>pre - industrial levels (All)</x:v>
      </x:c>
      <x:c r="G90" s="31" t="str">
        <x:v>data/fear-temperature/ngram/raw/2881b2893bb9f90b34c6b55e69b178f175071000fb539d5b087f62591c3d0923.json</x:v>
      </x:c>
      <x:c r="H90" s="19" t="str">
        <x:v>ec9e2888d07942e45c2fe376fa89cf72b9fb858a4ba564af2cc26c8a06c546a2</x:v>
      </x:c>
      <x:c r="I90" s="31" t="str"/>
      <x:c r="J90" s="19" t="n">
        <x:v>46260.107719907406</x:v>
      </x:c>
      <x:c r="K90" s="31" t="str">
        <x:v>https://books.google.com/ngrams/json?content=pre-industrial+levels&amp;year_start=1842&amp;year_end=2022&amp;corpus=eng&amp;smoothing=0&amp;case_insensitive=true</x:v>
      </x:c>
      <x:c r="L90" s="20" t="str">
        <x:v>application/json (cached)</x:v>
      </x:c>
    </x:row>
    <x:row r="91" ht="27" customHeight="1">
      <x:c r="A91" s="18" t="str">
        <x:v>FT-Q-V01-087</x:v>
      </x:c>
      <x:c r="B91" s="31" t="str">
        <x:v>risks and impacts</x:v>
      </x:c>
      <x:c r="C91" s="31" t="str">
        <x:v>SUCCEEDED</x:v>
      </x:c>
      <x:c r="D91" s="28" t="n">
        <x:v>0</x:v>
      </x:c>
      <x:c r="E91" s="28" t="n">
        <x:v>181</x:v>
      </x:c>
      <x:c r="F91" s="19" t="str">
        <x:v>risks and impacts (All)</x:v>
      </x:c>
      <x:c r="G91" s="31" t="str">
        <x:v>data/fear-temperature/ngram/raw/f2eee010d3ab2ac253dad16e8a988ee29a535b3f9fd3c70274c871172742c1fa.json</x:v>
      </x:c>
      <x:c r="H91" s="19" t="str">
        <x:v>73692f4f2f2cdc5ac3af9de33c28590f08ed8a8f3f42fac6ad08df8071aee3bf</x:v>
      </x:c>
      <x:c r="I91" s="31" t="str"/>
      <x:c r="J91" s="19" t="n">
        <x:v>46260.107719907406</x:v>
      </x:c>
      <x:c r="K91" s="31" t="str">
        <x:v>https://books.google.com/ngrams/json?content=risks+and+impacts&amp;year_start=1842&amp;year_end=2022&amp;corpus=eng&amp;smoothing=0&amp;case_insensitive=true</x:v>
      </x:c>
      <x:c r="L91" s="20" t="str">
        <x:v>application/json (cached)</x:v>
      </x:c>
    </x:row>
    <x:row r="92" ht="27" customHeight="1">
      <x:c r="A92" s="18" t="str">
        <x:v>FT-Q-V01-088</x:v>
      </x:c>
      <x:c r="B92" s="31" t="str">
        <x:v>adverse impacts</x:v>
      </x:c>
      <x:c r="C92" s="31" t="str">
        <x:v>SUCCEEDED</x:v>
      </x:c>
      <x:c r="D92" s="28" t="n">
        <x:v>0</x:v>
      </x:c>
      <x:c r="E92" s="28" t="n">
        <x:v>181</x:v>
      </x:c>
      <x:c r="F92" s="19" t="str">
        <x:v>adverse impacts (All)</x:v>
      </x:c>
      <x:c r="G92" s="31" t="str">
        <x:v>data/fear-temperature/ngram/raw/ca32195a736f01bebb286362f731491393c9174f8b7dda50446f400cf3ec81ea.json</x:v>
      </x:c>
      <x:c r="H92" s="19" t="str">
        <x:v>9ec283d996fd291327672247b273c3d7c75ea2f1e8156fb54cebadc8edbf5234</x:v>
      </x:c>
      <x:c r="I92" s="31" t="str"/>
      <x:c r="J92" s="19" t="n">
        <x:v>46260.10773148148</x:v>
      </x:c>
      <x:c r="K92" s="31" t="str">
        <x:v>https://books.google.com/ngrams/json?content=adverse+impacts&amp;year_start=1842&amp;year_end=2022&amp;corpus=eng&amp;smoothing=0&amp;case_insensitive=true</x:v>
      </x:c>
      <x:c r="L92" s="20" t="str">
        <x:v>application/json (cached)</x:v>
      </x:c>
    </x:row>
    <x:row r="93" ht="27" customHeight="1">
      <x:c r="A93" s="18" t="str">
        <x:v>FT-Q-V01-089</x:v>
      </x:c>
      <x:c r="B93" s="31" t="str">
        <x:v>adverse effects of climate change</x:v>
      </x:c>
      <x:c r="C93" s="31" t="str">
        <x:v>SUCCEEDED</x:v>
      </x:c>
      <x:c r="D93" s="28" t="n">
        <x:v>0</x:v>
      </x:c>
      <x:c r="E93" s="28" t="n">
        <x:v>181</x:v>
      </x:c>
      <x:c r="F93" s="19" t="str">
        <x:v>adverse effects of climate change (All)</x:v>
      </x:c>
      <x:c r="G93" s="31" t="str">
        <x:v>data/fear-temperature/ngram/raw/6cd471adbfc5a4ba1c140cf1b0bb66ae2800dcb64e4a80dc1708e81d2b1e0278.json</x:v>
      </x:c>
      <x:c r="H93" s="19" t="str">
        <x:v>c4d134f0b6e57ad77f407369e5a1702d717b12ee1ab313d9c30aba26ad52ae0b</x:v>
      </x:c>
      <x:c r="I93" s="31" t="str"/>
      <x:c r="J93" s="19" t="n">
        <x:v>46260.10774305555</x:v>
      </x:c>
      <x:c r="K93" s="31" t="str">
        <x:v>https://books.google.com/ngrams/json?content=adverse+effects+of+climate+change&amp;year_start=1842&amp;year_end=2022&amp;corpus=eng&amp;smoothing=0&amp;case_insensitive=true</x:v>
      </x:c>
      <x:c r="L93" s="20" t="str">
        <x:v>application/json (cached)</x:v>
      </x:c>
    </x:row>
    <x:row r="94" ht="27" customHeight="1">
      <x:c r="A94" s="18" t="str">
        <x:v>FT-Q-V01-090</x:v>
      </x:c>
      <x:c r="B94" s="31" t="str">
        <x:v>greenhouse gas emissions</x:v>
      </x:c>
      <x:c r="C94" s="31" t="str">
        <x:v>SUCCEEDED</x:v>
      </x:c>
      <x:c r="D94" s="28" t="n">
        <x:v>0</x:v>
      </x:c>
      <x:c r="E94" s="28" t="n">
        <x:v>181</x:v>
      </x:c>
      <x:c r="F94" s="19" t="str">
        <x:v>greenhouse gas emissions (All)</x:v>
      </x:c>
      <x:c r="G94" s="31" t="str">
        <x:v>data/fear-temperature/ngram/raw/76b11e33a5bc00d4a70cd7cd5a433e1f985ce44395b87f40f95baf9a424ebb9f.json</x:v>
      </x:c>
      <x:c r="H94" s="19" t="str">
        <x:v>6677cd747d4f32472ebe8d57bd2e11f1e1e8a0a6b6c2a0539182477e9edf4c47</x:v>
      </x:c>
      <x:c r="I94" s="31" t="str"/>
      <x:c r="J94" s="19" t="n">
        <x:v>46260.10775462963</x:v>
      </x:c>
      <x:c r="K94" s="31" t="str">
        <x:v>https://books.google.com/ngrams/json?content=greenhouse+gas+emissions&amp;year_start=1842&amp;year_end=2022&amp;corpus=eng&amp;smoothing=0&amp;case_insensitive=true</x:v>
      </x:c>
      <x:c r="L94" s="20" t="str">
        <x:v>application/json (cached)</x:v>
      </x:c>
    </x:row>
    <x:row r="95" ht="27" customHeight="1">
      <x:c r="A95" s="18" t="str">
        <x:v>FT-Q-V01-091</x:v>
      </x:c>
      <x:c r="B95" s="31" t="str">
        <x:v>climate resilience</x:v>
      </x:c>
      <x:c r="C95" s="31" t="str">
        <x:v>SUCCEEDED</x:v>
      </x:c>
      <x:c r="D95" s="28" t="n">
        <x:v>0</x:v>
      </x:c>
      <x:c r="E95" s="28" t="n">
        <x:v>181</x:v>
      </x:c>
      <x:c r="F95" s="19" t="str">
        <x:v>climate resilience (All)</x:v>
      </x:c>
      <x:c r="G95" s="31" t="str">
        <x:v>data/fear-temperature/ngram/raw/92704c26947e3df5352fb6efc8254b2c45a554c7aeacf18289357f8535c68963.json</x:v>
      </x:c>
      <x:c r="H95" s="19" t="str">
        <x:v>766bd2cb6b1915713f93365c1fe976a8f1da310ba9adf37066ef4158f0c31dc1</x:v>
      </x:c>
      <x:c r="I95" s="31" t="str"/>
      <x:c r="J95" s="19" t="n">
        <x:v>46260.107766203706</x:v>
      </x:c>
      <x:c r="K95" s="31" t="str">
        <x:v>https://books.google.com/ngrams/json?content=climate+resilience&amp;year_start=1842&amp;year_end=2022&amp;corpus=eng&amp;smoothing=0&amp;case_insensitive=true</x:v>
      </x:c>
      <x:c r="L95" s="20" t="str">
        <x:v>application/json (cached)</x:v>
      </x:c>
    </x:row>
    <x:row r="96" ht="27" customHeight="1">
      <x:c r="A96" s="18" t="str">
        <x:v>FT-Q-V01-092</x:v>
      </x:c>
      <x:c r="B96" s="31" t="str">
        <x:v>vulnerability</x:v>
      </x:c>
      <x:c r="C96" s="31" t="str">
        <x:v>SUCCEEDED</x:v>
      </x:c>
      <x:c r="D96" s="28" t="n">
        <x:v>0</x:v>
      </x:c>
      <x:c r="E96" s="28" t="n">
        <x:v>181</x:v>
      </x:c>
      <x:c r="F96" s="19" t="str">
        <x:v>vulnerability (All)</x:v>
      </x:c>
      <x:c r="G96" s="31" t="str">
        <x:v>data/fear-temperature/ngram/raw/e3aaf62677c5b9972e9e9767131d1c45ead25c9c6ac869d7f84391f12e762596.json</x:v>
      </x:c>
      <x:c r="H96" s="19" t="str">
        <x:v>b563cc63ba587ba13a5237f0980afedd88fc1bce39788d39bb9fa6f8c257137b</x:v>
      </x:c>
      <x:c r="I96" s="31" t="str"/>
      <x:c r="J96" s="19" t="n">
        <x:v>46260.107777777775</x:v>
      </x:c>
      <x:c r="K96" s="31" t="str">
        <x:v>https://books.google.com/ngrams/json?content=vulnerability&amp;year_start=1842&amp;year_end=2022&amp;corpus=eng&amp;smoothing=0&amp;case_insensitive=true</x:v>
      </x:c>
      <x:c r="L96" s="20" t="str">
        <x:v>application/json (cached)</x:v>
      </x:c>
    </x:row>
    <x:row r="97" ht="27" customHeight="1">
      <x:c r="A97" s="18" t="str">
        <x:v>FT-Q-V01-093</x:v>
      </x:c>
      <x:c r="B97" s="31" t="str">
        <x:v>vulnerable groups</x:v>
      </x:c>
      <x:c r="C97" s="31" t="str">
        <x:v>SUCCEEDED</x:v>
      </x:c>
      <x:c r="D97" s="28" t="n">
        <x:v>0</x:v>
      </x:c>
      <x:c r="E97" s="28" t="n">
        <x:v>181</x:v>
      </x:c>
      <x:c r="F97" s="19" t="str">
        <x:v>vulnerable groups (All)</x:v>
      </x:c>
      <x:c r="G97" s="31" t="str">
        <x:v>data/fear-temperature/ngram/raw/c1c2349a76191b6ffd2a6c32c4dea78e0f8dec919502a5c3d1bfe00aad11a917.json</x:v>
      </x:c>
      <x:c r="H97" s="19" t="str">
        <x:v>4f0a135c9d244b22c6fb17eb2ffa9768d7f02c9fc5b82b39990add84188686fc</x:v>
      </x:c>
      <x:c r="I97" s="31" t="str"/>
      <x:c r="J97" s="19" t="n">
        <x:v>46260.107777777775</x:v>
      </x:c>
      <x:c r="K97" s="31" t="str">
        <x:v>https://books.google.com/ngrams/json?content=vulnerable+groups&amp;year_start=1842&amp;year_end=2022&amp;corpus=eng&amp;smoothing=0&amp;case_insensitive=true</x:v>
      </x:c>
      <x:c r="L97" s="20" t="str">
        <x:v>application/json (cached)</x:v>
      </x:c>
    </x:row>
    <x:row r="98" ht="27" customHeight="1">
      <x:c r="A98" s="18" t="str">
        <x:v>FT-Q-V01-094</x:v>
      </x:c>
      <x:c r="B98" s="31" t="str">
        <x:v>loss and damage</x:v>
      </x:c>
      <x:c r="C98" s="31" t="str">
        <x:v>SUCCEEDED</x:v>
      </x:c>
      <x:c r="D98" s="28" t="n">
        <x:v>0</x:v>
      </x:c>
      <x:c r="E98" s="28" t="n">
        <x:v>181</x:v>
      </x:c>
      <x:c r="F98" s="19" t="str">
        <x:v>loss and damage (All)</x:v>
      </x:c>
      <x:c r="G98" s="31" t="str">
        <x:v>data/fear-temperature/ngram/raw/2a8f32859c14ca29219aef3fba343d7b66fdc9599f2050be8c5c3ae3c3caff20.json</x:v>
      </x:c>
      <x:c r="H98" s="19" t="str">
        <x:v>f1df54152d54f224c3e657cd7f64a26b8c47d1cc61b8096d52807847e3900a5e</x:v>
      </x:c>
      <x:c r="I98" s="31" t="str"/>
      <x:c r="J98" s="19" t="n">
        <x:v>46260.10778935185</x:v>
      </x:c>
      <x:c r="K98" s="31" t="str">
        <x:v>https://books.google.com/ngrams/json?content=loss+and+damage&amp;year_start=1842&amp;year_end=2022&amp;corpus=eng&amp;smoothing=0&amp;case_insensitive=true</x:v>
      </x:c>
      <x:c r="L98" s="20" t="str">
        <x:v>application/json (cached)</x:v>
      </x:c>
    </x:row>
    <x:row r="99" ht="27" customHeight="1">
      <x:c r="A99" s="18" t="str">
        <x:v>FT-Q-V01-095</x:v>
      </x:c>
      <x:c r="B99" s="31" t="str">
        <x:v>extreme weather events</x:v>
      </x:c>
      <x:c r="C99" s="31" t="str">
        <x:v>SUCCEEDED</x:v>
      </x:c>
      <x:c r="D99" s="28" t="n">
        <x:v>0</x:v>
      </x:c>
      <x:c r="E99" s="28" t="n">
        <x:v>181</x:v>
      </x:c>
      <x:c r="F99" s="19" t="str">
        <x:v>extreme weather events (All)</x:v>
      </x:c>
      <x:c r="G99" s="31" t="str">
        <x:v>data/fear-temperature/ngram/raw/41ea78235d646a87a5662d877bdd2935cd19152295e4a22d8c9909ea0c9b64d1.json</x:v>
      </x:c>
      <x:c r="H99" s="19" t="str">
        <x:v>f394ef9e4b9dbbb66ea6d52997da1132bb58a657a07a128feaa84b93da42ecc1</x:v>
      </x:c>
      <x:c r="I99" s="31" t="str"/>
      <x:c r="J99" s="19" t="n">
        <x:v>46260.10780092593</x:v>
      </x:c>
      <x:c r="K99" s="31" t="str">
        <x:v>https://books.google.com/ngrams/json?content=extreme+weather+events&amp;year_start=1842&amp;year_end=2022&amp;corpus=eng&amp;smoothing=0&amp;case_insensitive=true</x:v>
      </x:c>
      <x:c r="L99" s="20" t="str">
        <x:v>application/json (cached)</x:v>
      </x:c>
    </x:row>
    <x:row r="100" ht="27" customHeight="1">
      <x:c r="A100" s="18" t="str">
        <x:v>FT-Q-V01-096</x:v>
      </x:c>
      <x:c r="B100" s="31" t="str">
        <x:v>slow onset events</x:v>
      </x:c>
      <x:c r="C100" s="31" t="str">
        <x:v>SUCCEEDED</x:v>
      </x:c>
      <x:c r="D100" s="28" t="n">
        <x:v>0</x:v>
      </x:c>
      <x:c r="E100" s="28" t="n">
        <x:v>181</x:v>
      </x:c>
      <x:c r="F100" s="19" t="str">
        <x:v>slow onset events (All)</x:v>
      </x:c>
      <x:c r="G100" s="31" t="str">
        <x:v>data/fear-temperature/ngram/raw/5439fab30f12eefa137527403d8b5cd053c082ce42c62d8a7a910a9e8ddf7ada.json</x:v>
      </x:c>
      <x:c r="H100" s="19" t="str">
        <x:v>5ad637c1f97d8dabf3c7258b5d8cb33d9debd5e381048f09b697da8780110704</x:v>
      </x:c>
      <x:c r="I100" s="31" t="str"/>
      <x:c r="J100" s="19" t="n">
        <x:v>46260.1078125</x:v>
      </x:c>
      <x:c r="K100" s="31" t="str">
        <x:v>https://books.google.com/ngrams/json?content=slow+onset+events&amp;year_start=1842&amp;year_end=2022&amp;corpus=eng&amp;smoothing=0&amp;case_insensitive=true</x:v>
      </x:c>
      <x:c r="L100" s="20" t="str">
        <x:v>application/json (cached)</x:v>
      </x:c>
    </x:row>
    <x:row r="101" ht="27" customHeight="1">
      <x:c r="A101" s="18" t="str">
        <x:v>FT-Q-V01-097</x:v>
      </x:c>
      <x:c r="B101" s="31" t="str">
        <x:v>risk of loss and damage</x:v>
      </x:c>
      <x:c r="C101" s="31" t="str">
        <x:v>SUCCEEDED</x:v>
      </x:c>
      <x:c r="D101" s="28" t="n">
        <x:v>0</x:v>
      </x:c>
      <x:c r="E101" s="28" t="n">
        <x:v>181</x:v>
      </x:c>
      <x:c r="F101" s="19" t="str">
        <x:v>risk of loss and damage (All)</x:v>
      </x:c>
      <x:c r="G101" s="31" t="str">
        <x:v>data/fear-temperature/ngram/raw/b6bda48b4b592fbca5ae78c2cb683e73c7e0fff263baea2b4c915799da173acf.json</x:v>
      </x:c>
      <x:c r="H101" s="19" t="str">
        <x:v>7a4cbeb7aca87ec900892d352108eb2b644716a82bec4a894e57c170ad1d1ca9</x:v>
      </x:c>
      <x:c r="I101" s="31" t="str"/>
      <x:c r="J101" s="19" t="n">
        <x:v>46260.10791666667</x:v>
      </x:c>
      <x:c r="K101" s="31" t="str">
        <x:v>https://books.google.com/ngrams/json?content=risk+of+loss+and+damage&amp;year_start=1842&amp;year_end=2022&amp;corpus=eng&amp;smoothing=0&amp;case_insensitive=true</x:v>
      </x:c>
      <x:c r="L101" s="20" t="str">
        <x:v>application/json (cached)</x:v>
      </x:c>
    </x:row>
    <x:row r="102" ht="27" customHeight="1">
      <x:c r="A102" s="18" t="str">
        <x:v>FT-Q-V01-098</x:v>
      </x:c>
      <x:c r="B102" s="31" t="str">
        <x:v>early warning systems</x:v>
      </x:c>
      <x:c r="C102" s="31" t="str">
        <x:v>SUCCEEDED</x:v>
      </x:c>
      <x:c r="D102" s="28" t="n">
        <x:v>0</x:v>
      </x:c>
      <x:c r="E102" s="28" t="n">
        <x:v>181</x:v>
      </x:c>
      <x:c r="F102" s="19" t="str">
        <x:v>early warning systems (All)</x:v>
      </x:c>
      <x:c r="G102" s="31" t="str">
        <x:v>data/fear-temperature/ngram/raw/db7720e0093df08b9b566f8653346c9ee2ee9d6f76372c131ccb58cb8b5cbdc9.json</x:v>
      </x:c>
      <x:c r="H102" s="19" t="str">
        <x:v>919a0cbd0ff74812cbaaa0b3c4eb71fed09f21c3c48ca5e0c3bb959e772bfcf8</x:v>
      </x:c>
      <x:c r="I102" s="31" t="str"/>
      <x:c r="J102" s="19" t="n">
        <x:v>46260.10792824074</x:v>
      </x:c>
      <x:c r="K102" s="31" t="str">
        <x:v>https://books.google.com/ngrams/json?content=early+warning+systems&amp;year_start=1842&amp;year_end=2022&amp;corpus=eng&amp;smoothing=0&amp;case_insensitive=true</x:v>
      </x:c>
      <x:c r="L102" s="20" t="str">
        <x:v>application/json (cached)</x:v>
      </x:c>
    </x:row>
    <x:row r="103" ht="27" customHeight="1">
      <x:c r="A103" s="18" t="str">
        <x:v>FT-Q-V01-099</x:v>
      </x:c>
      <x:c r="B103" s="31" t="str">
        <x:v>emergency preparedness</x:v>
      </x:c>
      <x:c r="C103" s="31" t="str">
        <x:v>SUCCEEDED</x:v>
      </x:c>
      <x:c r="D103" s="28" t="n">
        <x:v>0</x:v>
      </x:c>
      <x:c r="E103" s="28" t="n">
        <x:v>181</x:v>
      </x:c>
      <x:c r="F103" s="19" t="str">
        <x:v>emergency preparedness (All)</x:v>
      </x:c>
      <x:c r="G103" s="31" t="str">
        <x:v>data/fear-temperature/ngram/raw/6b662c4eda6184bd92d9d0037f495d86d50dc584d45cc46a4545b53d474d2828.json</x:v>
      </x:c>
      <x:c r="H103" s="19" t="str">
        <x:v>149c501b29017a73b237ab26cd30fe0ff42a9f7338678e6eba4e40a9d11558a7</x:v>
      </x:c>
      <x:c r="I103" s="31" t="str"/>
      <x:c r="J103" s="19" t="n">
        <x:v>46260.107939814814</x:v>
      </x:c>
      <x:c r="K103" s="31" t="str">
        <x:v>https://books.google.com/ngrams/json?content=emergency+preparedness&amp;year_start=1842&amp;year_end=2022&amp;corpus=eng&amp;smoothing=0&amp;case_insensitive=true</x:v>
      </x:c>
      <x:c r="L103" s="20" t="str">
        <x:v>application/json (cached)</x:v>
      </x:c>
    </x:row>
    <x:row r="104" ht="27" customHeight="1">
      <x:c r="A104" s="18" t="str">
        <x:v>FT-Q-V01-100</x:v>
      </x:c>
      <x:c r="B104" s="31" t="str">
        <x:v>irreversible and permanent loss and damage</x:v>
      </x:c>
      <x:c r="C104" s="31" t="str">
        <x:v>SUCCEEDED</x:v>
      </x:c>
      <x:c r="D104" s="28" t="n">
        <x:v>0</x:v>
      </x:c>
      <x:c r="E104" s="28" t="n">
        <x:v>181</x:v>
      </x:c>
      <x:c r="F104" s="19" t="str">
        <x:v>irreversible and permanent loss and damage</x:v>
      </x:c>
      <x:c r="G104" s="31" t="str">
        <x:v>data/fear-temperature/ngram/raw/0ef67b7c065caacb93d84434be0b418fa5d590360386c1b856d05e4d43e9bbfd.json</x:v>
      </x:c>
      <x:c r="H104" s="19" t="str">
        <x:v>be8a86c84a720f4e7bef8683b9e984b88bb8833c1cb7d464a56dfbe16478cf7a</x:v>
      </x:c>
      <x:c r="I104" s="31" t="str"/>
      <x:c r="J104" s="19" t="n">
        <x:v>46260.10795138889</x:v>
      </x:c>
      <x:c r="K104" s="31" t="str">
        <x:v>https://books.google.com/ngrams/json?content=irreversible+and+permanent+loss+and+damage&amp;year_start=1842&amp;year_end=2022&amp;corpus=eng&amp;smoothing=0&amp;case_insensitive=true</x:v>
      </x:c>
      <x:c r="L104" s="20" t="str">
        <x:v>application/json (cached)</x:v>
      </x:c>
    </x:row>
    <x:row r="105" ht="27" customHeight="1">
      <x:c r="A105" s="18" t="str">
        <x:v>FT-Q-V01-101</x:v>
      </x:c>
      <x:c r="B105" s="31" t="str">
        <x:v>climate change</x:v>
      </x:c>
      <x:c r="C105" s="31" t="str">
        <x:v>SUCCEEDED</x:v>
      </x:c>
      <x:c r="D105" s="28" t="n">
        <x:v>0</x:v>
      </x:c>
      <x:c r="E105" s="28" t="n">
        <x:v>181</x:v>
      </x:c>
      <x:c r="F105" s="19" t="str">
        <x:v>climate change (All)</x:v>
      </x:c>
      <x:c r="G105" s="31" t="str">
        <x:v>data/fear-temperature/ngram/raw/c0c3021f09dbdf3542c85e1a8bd4e013bd4d99d85af63bbd55f5e05a6a7ddd2b.json</x:v>
      </x:c>
      <x:c r="H105" s="19" t="str">
        <x:v>f147d9b61eec9310d5a36c21ef68d14904b4782ed7663bc02178e865991f6aa6</x:v>
      </x:c>
      <x:c r="I105" s="31" t="str"/>
      <x:c r="J105" s="19" t="n">
        <x:v>46260.10760416667</x:v>
      </x:c>
      <x:c r="K105" s="31" t="str">
        <x:v>https://books.google.com/ngrams/json?content=climate+change&amp;year_start=1842&amp;year_end=2022&amp;corpus=eng&amp;smoothing=0&amp;case_insensitive=true</x:v>
      </x:c>
      <x:c r="L105" s="20" t="str">
        <x:v>application/json (cached)</x:v>
      </x:c>
    </x:row>
    <x:row r="106" ht="27" customHeight="1">
      <x:c r="A106" s="18" t="str">
        <x:v>FT-Q-V01-102</x:v>
      </x:c>
      <x:c r="B106" s="31" t="str">
        <x:v>global warming</x:v>
      </x:c>
      <x:c r="C106" s="31" t="str">
        <x:v>SUCCEEDED</x:v>
      </x:c>
      <x:c r="D106" s="28" t="n">
        <x:v>0</x:v>
      </x:c>
      <x:c r="E106" s="28" t="n">
        <x:v>181</x:v>
      </x:c>
      <x:c r="F106" s="19" t="str">
        <x:v>global warming (All)</x:v>
      </x:c>
      <x:c r="G106" s="31" t="str">
        <x:v>data/fear-temperature/ngram/raw/e982c3b5d6e77fc759f19bb2931d892bfaa9221ade4a44977579a8d5a8afab71.json</x:v>
      </x:c>
      <x:c r="H106" s="19" t="str">
        <x:v>edd5437f92999c829c0fea3e5822ab6cb22f6b319b6eab7bc697d0dc4f6023f9</x:v>
      </x:c>
      <x:c r="I106" s="31" t="str"/>
      <x:c r="J106" s="19" t="n">
        <x:v>46260.107256944444</x:v>
      </x:c>
      <x:c r="K106" s="31" t="str">
        <x:v>https://books.google.com/ngrams/json?content=global+warming&amp;year_start=1842&amp;year_end=2022&amp;corpus=eng&amp;smoothing=0&amp;case_insensitive=true</x:v>
      </x:c>
      <x:c r="L106" s="20" t="str">
        <x:v>application/json (cached)</x:v>
      </x:c>
    </x:row>
    <x:row r="107" ht="27" customHeight="1">
      <x:c r="A107" s="18" t="str">
        <x:v>FT-Q-V01-103</x:v>
      </x:c>
      <x:c r="B107" s="31" t="str">
        <x:v>very worried</x:v>
      </x:c>
      <x:c r="C107" s="31" t="str">
        <x:v>SUCCEEDED</x:v>
      </x:c>
      <x:c r="D107" s="28" t="n">
        <x:v>0</x:v>
      </x:c>
      <x:c r="E107" s="28" t="n">
        <x:v>181</x:v>
      </x:c>
      <x:c r="F107" s="19" t="str">
        <x:v>very worried (All)</x:v>
      </x:c>
      <x:c r="G107" s="31" t="str">
        <x:v>data/fear-temperature/ngram/raw/f526cd2f784872130404682caca300afe87335e50333313d2bc99fcd1c9e6323.json</x:v>
      </x:c>
      <x:c r="H107" s="19" t="str">
        <x:v>c4e356dda2574c2271551a62700781713d69099b10808f5c3bfec13fd90daf25</x:v>
      </x:c>
      <x:c r="I107" s="31" t="str"/>
      <x:c r="J107" s="19" t="n">
        <x:v>46260.10796296296</x:v>
      </x:c>
      <x:c r="K107" s="31" t="str">
        <x:v>https://books.google.com/ngrams/json?content=very+worried&amp;year_start=1842&amp;year_end=2022&amp;corpus=eng&amp;smoothing=0&amp;case_insensitive=true</x:v>
      </x:c>
      <x:c r="L107" s="20" t="str">
        <x:v>application/json (cached)</x:v>
      </x:c>
    </x:row>
    <x:row r="108" ht="27" customHeight="1">
      <x:c r="A108" s="18" t="str">
        <x:v>FT-Q-V01-104</x:v>
      </x:c>
      <x:c r="B108" s="31" t="str">
        <x:v>somewhat worried</x:v>
      </x:c>
      <x:c r="C108" s="31" t="str">
        <x:v>SUCCEEDED</x:v>
      </x:c>
      <x:c r="D108" s="28" t="n">
        <x:v>0</x:v>
      </x:c>
      <x:c r="E108" s="28" t="n">
        <x:v>181</x:v>
      </x:c>
      <x:c r="F108" s="19" t="str">
        <x:v>somewhat worried (All)</x:v>
      </x:c>
      <x:c r="G108" s="31" t="str">
        <x:v>data/fear-temperature/ngram/raw/5acfc1306b3a13d5d65432940489e2b50940bd9a14347e9c6f374920fc2eeb52.json</x:v>
      </x:c>
      <x:c r="H108" s="19" t="str">
        <x:v>54918ea3d9f4743416885098238b4075b9ca4d1f92cda82f176c53f72be64531</x:v>
      </x:c>
      <x:c r="I108" s="31" t="str"/>
      <x:c r="J108" s="19" t="n">
        <x:v>46260.10797453704</x:v>
      </x:c>
      <x:c r="K108" s="31" t="str">
        <x:v>https://books.google.com/ngrams/json?content=somewhat+worried&amp;year_start=1842&amp;year_end=2022&amp;corpus=eng&amp;smoothing=0&amp;case_insensitive=true</x:v>
      </x:c>
      <x:c r="L108" s="20" t="str">
        <x:v>application/json (cached)</x:v>
      </x:c>
    </x:row>
    <x:row r="109" ht="27" customHeight="1">
      <x:c r="A109" s="18" t="str">
        <x:v>FT-Q-V01-105</x:v>
      </x:c>
      <x:c r="B109" s="31" t="str">
        <x:v>afraid</x:v>
      </x:c>
      <x:c r="C109" s="31" t="str">
        <x:v>SUCCEEDED</x:v>
      </x:c>
      <x:c r="D109" s="28" t="n">
        <x:v>0</x:v>
      </x:c>
      <x:c r="E109" s="28" t="n">
        <x:v>181</x:v>
      </x:c>
      <x:c r="F109" s="19" t="str">
        <x:v>afraid (All)</x:v>
      </x:c>
      <x:c r="G109" s="31" t="str">
        <x:v>data/fear-temperature/ngram/raw/62c539c6f003ab8a35487500472daf71f2a80584f1fa1ea2da6aa2bce785ebb8.json</x:v>
      </x:c>
      <x:c r="H109" s="19" t="str">
        <x:v>a561bb7c3888410601291c825c2eac285f641ce232c3cadbb9f1c6bc310513c1</x:v>
      </x:c>
      <x:c r="I109" s="31" t="str"/>
      <x:c r="J109" s="19" t="n">
        <x:v>46260.10797453704</x:v>
      </x:c>
      <x:c r="K109" s="31" t="str">
        <x:v>https://books.google.com/ngrams/json?content=afraid&amp;year_start=1842&amp;year_end=2022&amp;corpus=eng&amp;smoothing=0&amp;case_insensitive=true</x:v>
      </x:c>
      <x:c r="L109" s="20" t="str">
        <x:v>application/json (cached)</x:v>
      </x:c>
    </x:row>
    <x:row r="110" ht="27" customHeight="1">
      <x:c r="A110" s="18" t="str">
        <x:v>FT-Q-V01-106</x:v>
      </x:c>
      <x:c r="B110" s="31" t="str">
        <x:v>anxious</x:v>
      </x:c>
      <x:c r="C110" s="31" t="str">
        <x:v>SUCCEEDED</x:v>
      </x:c>
      <x:c r="D110" s="28" t="n">
        <x:v>0</x:v>
      </x:c>
      <x:c r="E110" s="28" t="n">
        <x:v>181</x:v>
      </x:c>
      <x:c r="F110" s="19" t="str">
        <x:v>anxious (All)</x:v>
      </x:c>
      <x:c r="G110" s="31" t="str">
        <x:v>data/fear-temperature/ngram/raw/2107eccb0485a4ca882ccf647c440758210c000f228ba9db9af26d8c66a765d7.json</x:v>
      </x:c>
      <x:c r="H110" s="19" t="str">
        <x:v>8a5c18afa3a1c5955f5e941356beb5f222867dce0a548678b52af9634f05ae55</x:v>
      </x:c>
      <x:c r="I110" s="31" t="str"/>
      <x:c r="J110" s="19" t="n">
        <x:v>46260.107986111114</x:v>
      </x:c>
      <x:c r="K110" s="31" t="str">
        <x:v>https://books.google.com/ngrams/json?content=anxious&amp;year_start=1842&amp;year_end=2022&amp;corpus=eng&amp;smoothing=0&amp;case_insensitive=true</x:v>
      </x:c>
      <x:c r="L110" s="20" t="str">
        <x:v>application/json (cached)</x:v>
      </x:c>
    </x:row>
    <x:row r="111" ht="27" customHeight="1">
      <x:c r="A111" s="18" t="str">
        <x:v>FT-Q-V01-107</x:v>
      </x:c>
      <x:c r="B111" s="31" t="str">
        <x:v>hopeless</x:v>
      </x:c>
      <x:c r="C111" s="31" t="str">
        <x:v>SUCCEEDED</x:v>
      </x:c>
      <x:c r="D111" s="28" t="n">
        <x:v>0</x:v>
      </x:c>
      <x:c r="E111" s="28" t="n">
        <x:v>181</x:v>
      </x:c>
      <x:c r="F111" s="19" t="str">
        <x:v>hopeless (All)</x:v>
      </x:c>
      <x:c r="G111" s="31" t="str">
        <x:v>data/fear-temperature/ngram/raw/5e7eb5b7a08faad04d037212a71a6f31398290267b6855e9bb04c5f2cfe60f53.json</x:v>
      </x:c>
      <x:c r="H111" s="19" t="str">
        <x:v>7e5ae9cf5f0782a5d56f3d2aa57ae13f25360fc2f6bcb4b4630fe252005fe55d</x:v>
      </x:c>
      <x:c r="I111" s="31" t="str"/>
      <x:c r="J111" s="19" t="n">
        <x:v>46260.10799768518</x:v>
      </x:c>
      <x:c r="K111" s="31" t="str">
        <x:v>https://books.google.com/ngrams/json?content=hopeless&amp;year_start=1842&amp;year_end=2022&amp;corpus=eng&amp;smoothing=0&amp;case_insensitive=true</x:v>
      </x:c>
      <x:c r="L111" s="20" t="str">
        <x:v>application/json (cached)</x:v>
      </x:c>
    </x:row>
    <x:row r="112" ht="27" customHeight="1">
      <x:c r="A112" s="18" t="str">
        <x:v>FT-Q-V01-108</x:v>
      </x:c>
      <x:c r="B112" s="31" t="str">
        <x:v>sad</x:v>
      </x:c>
      <x:c r="C112" s="31" t="str">
        <x:v>SUCCEEDED</x:v>
      </x:c>
      <x:c r="D112" s="28" t="n">
        <x:v>0</x:v>
      </x:c>
      <x:c r="E112" s="28" t="n">
        <x:v>181</x:v>
      </x:c>
      <x:c r="F112" s="19" t="str">
        <x:v>sad (All)</x:v>
      </x:c>
      <x:c r="G112" s="31" t="str">
        <x:v>data/fear-temperature/ngram/raw/953b2016da3c902bd89fed3fb5f48705d4ce54ad9ad3dd228629c0c4849f2491.json</x:v>
      </x:c>
      <x:c r="H112" s="19" t="str">
        <x:v>c30500f7eb80e2502c998d410900c93f34da285d9d396f5e4f9918d564ea5c5d</x:v>
      </x:c>
      <x:c r="I112" s="31" t="str"/>
      <x:c r="J112" s="19" t="n">
        <x:v>46260.10800925926</x:v>
      </x:c>
      <x:c r="K112" s="31" t="str">
        <x:v>https://books.google.com/ngrams/json?content=sad&amp;year_start=1842&amp;year_end=2022&amp;corpus=eng&amp;smoothing=0&amp;case_insensitive=true</x:v>
      </x:c>
      <x:c r="L112" s="20" t="str">
        <x:v>application/json (cached)</x:v>
      </x:c>
    </x:row>
    <x:row r="113" ht="27" customHeight="1">
      <x:c r="A113" s="18" t="str">
        <x:v>FT-Q-V01-109</x:v>
      </x:c>
      <x:c r="B113" s="31" t="str">
        <x:v>angry</x:v>
      </x:c>
      <x:c r="C113" s="31" t="str">
        <x:v>SUCCEEDED</x:v>
      </x:c>
      <x:c r="D113" s="28" t="n">
        <x:v>0</x:v>
      </x:c>
      <x:c r="E113" s="28" t="n">
        <x:v>181</x:v>
      </x:c>
      <x:c r="F113" s="19" t="str">
        <x:v>angry (All)</x:v>
      </x:c>
      <x:c r="G113" s="31" t="str">
        <x:v>data/fear-temperature/ngram/raw/1cceb7003946894218df8f23071e2fba77be57b1ee95b996a43348a160450fbd.json</x:v>
      </x:c>
      <x:c r="H113" s="19" t="str">
        <x:v>bef8ea13ec5d967c104296f9a9037e4816a823266d3884c3cfebb5fff3c8cf99</x:v>
      </x:c>
      <x:c r="I113" s="31" t="str"/>
      <x:c r="J113" s="19" t="n">
        <x:v>46260.10802083334</x:v>
      </x:c>
      <x:c r="K113" s="31" t="str">
        <x:v>https://books.google.com/ngrams/json?content=angry&amp;year_start=1842&amp;year_end=2022&amp;corpus=eng&amp;smoothing=0&amp;case_insensitive=true</x:v>
      </x:c>
      <x:c r="L113" s="20" t="str">
        <x:v>application/json (cached)</x:v>
      </x:c>
    </x:row>
    <x:row r="114" ht="27" customHeight="1">
      <x:c r="A114" s="18" t="str">
        <x:v>FT-Q-V01-110</x:v>
      </x:c>
      <x:c r="B114" s="31" t="str">
        <x:v>frustrated</x:v>
      </x:c>
      <x:c r="C114" s="31" t="str">
        <x:v>SUCCEEDED</x:v>
      </x:c>
      <x:c r="D114" s="28" t="n">
        <x:v>0</x:v>
      </x:c>
      <x:c r="E114" s="28" t="n">
        <x:v>181</x:v>
      </x:c>
      <x:c r="F114" s="19" t="str">
        <x:v>frustrated (All)</x:v>
      </x:c>
      <x:c r="G114" s="31" t="str">
        <x:v>data/fear-temperature/ngram/raw/9329bf8b3df7723e136f5cc98ba235a05dd2f56642d3399a06703f75d57157f7.json</x:v>
      </x:c>
      <x:c r="H114" s="19" t="str">
        <x:v>ad1854c64054f95e587dfc3e8d96327496f51152e76fb63a8eb5001631e983b8</x:v>
      </x:c>
      <x:c r="I114" s="31" t="str"/>
      <x:c r="J114" s="19" t="n">
        <x:v>46260.10803240741</x:v>
      </x:c>
      <x:c r="K114" s="31" t="str">
        <x:v>https://books.google.com/ngrams/json?content=frustrated&amp;year_start=1842&amp;year_end=2022&amp;corpus=eng&amp;smoothing=0&amp;case_insensitive=true</x:v>
      </x:c>
      <x:c r="L114" s="20" t="str">
        <x:v>application/json (cached)</x:v>
      </x:c>
    </x:row>
    <x:row r="115" ht="27" customHeight="1">
      <x:c r="A115" s="18" t="str">
        <x:v>FT-Q-V01-111</x:v>
      </x:c>
      <x:c r="B115" s="31" t="str">
        <x:v>hopeful</x:v>
      </x:c>
      <x:c r="C115" s="31" t="str">
        <x:v>SUCCEEDED</x:v>
      </x:c>
      <x:c r="D115" s="28" t="n">
        <x:v>0</x:v>
      </x:c>
      <x:c r="E115" s="28" t="n">
        <x:v>181</x:v>
      </x:c>
      <x:c r="F115" s="19" t="str">
        <x:v>hopeful (All)</x:v>
      </x:c>
      <x:c r="G115" s="31" t="str">
        <x:v>data/fear-temperature/ngram/raw/ba6a435a485847d46be014c9428192105ae5255c0ad7a7e0783a223d028b671c.json</x:v>
      </x:c>
      <x:c r="H115" s="19" t="str">
        <x:v>580836dec9b8558397ee0ce9ff542c10603a10288fc5e38f1bddaffa3623cf36</x:v>
      </x:c>
      <x:c r="I115" s="31" t="str"/>
      <x:c r="J115" s="19" t="n">
        <x:v>46260.10804398148</x:v>
      </x:c>
      <x:c r="K115" s="31" t="str">
        <x:v>https://books.google.com/ngrams/json?content=hopeful&amp;year_start=1842&amp;year_end=2022&amp;corpus=eng&amp;smoothing=0&amp;case_insensitive=true</x:v>
      </x:c>
      <x:c r="L115" s="20" t="str">
        <x:v>application/json (cached)</x:v>
      </x:c>
    </x:row>
    <x:row r="116" ht="27" customHeight="1">
      <x:c r="A116" s="18" t="str">
        <x:v>FT-Q-V01-112</x:v>
      </x:c>
      <x:c r="B116" s="31" t="str">
        <x:v>disgusted</x:v>
      </x:c>
      <x:c r="C116" s="31" t="str">
        <x:v>SUCCEEDED</x:v>
      </x:c>
      <x:c r="D116" s="28" t="n">
        <x:v>0</x:v>
      </x:c>
      <x:c r="E116" s="28" t="n">
        <x:v>181</x:v>
      </x:c>
      <x:c r="F116" s="19" t="str">
        <x:v>disgusted (All)</x:v>
      </x:c>
      <x:c r="G116" s="31" t="str">
        <x:v>data/fear-temperature/ngram/raw/f210204c4e717ccb60d443280a0631eb5726d577e81139674d3ac30bcd9f2998.json</x:v>
      </x:c>
      <x:c r="H116" s="19" t="str">
        <x:v>3949b235472d1bdde358b672f2de0d59d66343d3c583183ea7b2e92b7c714994</x:v>
      </x:c>
      <x:c r="I116" s="31" t="str"/>
      <x:c r="J116" s="19" t="n">
        <x:v>46260.10804398148</x:v>
      </x:c>
      <x:c r="K116" s="31" t="str">
        <x:v>https://books.google.com/ngrams/json?content=disgusted&amp;year_start=1842&amp;year_end=2022&amp;corpus=eng&amp;smoothing=0&amp;case_insensitive=true</x:v>
      </x:c>
      <x:c r="L116" s="20" t="str">
        <x:v>application/json (cached)</x:v>
      </x:c>
    </x:row>
    <x:row r="117" ht="27" customHeight="1">
      <x:c r="A117" s="18" t="str">
        <x:v>FT-Q-V01-113</x:v>
      </x:c>
      <x:c r="B117" s="31" t="str">
        <x:v>outraged</x:v>
      </x:c>
      <x:c r="C117" s="31" t="str">
        <x:v>SUCCEEDED</x:v>
      </x:c>
      <x:c r="D117" s="28" t="n">
        <x:v>0</x:v>
      </x:c>
      <x:c r="E117" s="28" t="n">
        <x:v>181</x:v>
      </x:c>
      <x:c r="F117" s="19" t="str">
        <x:v>outraged (All)</x:v>
      </x:c>
      <x:c r="G117" s="31" t="str">
        <x:v>data/fear-temperature/ngram/raw/f40285eec2f0032bdb5bfbc2c085fc4cadc9ba551a688c6439d3a5237ef977c7.json</x:v>
      </x:c>
      <x:c r="H117" s="19" t="str">
        <x:v>f97ea344d73e4e87abb2dd140214ba4d93a98685966bf5ad866214509611c202</x:v>
      </x:c>
      <x:c r="I117" s="31" t="str"/>
      <x:c r="J117" s="19" t="n">
        <x:v>46260.10805555555</x:v>
      </x:c>
      <x:c r="K117" s="31" t="str">
        <x:v>https://books.google.com/ngrams/json?content=outraged&amp;year_start=1842&amp;year_end=2022&amp;corpus=eng&amp;smoothing=0&amp;case_insensitive=true</x:v>
      </x:c>
      <x:c r="L117" s="20" t="str">
        <x:v>application/json (cached)</x:v>
      </x:c>
    </x:row>
    <x:row r="118" ht="27" customHeight="1">
      <x:c r="A118" s="18" t="str">
        <x:v>FT-Q-V01-114</x:v>
      </x:c>
      <x:c r="B118" s="31" t="str">
        <x:v>depressed</x:v>
      </x:c>
      <x:c r="C118" s="31" t="str">
        <x:v>SUCCEEDED</x:v>
      </x:c>
      <x:c r="D118" s="28" t="n">
        <x:v>0</x:v>
      </x:c>
      <x:c r="E118" s="28" t="n">
        <x:v>181</x:v>
      </x:c>
      <x:c r="F118" s="19" t="str">
        <x:v>depressed (All)</x:v>
      </x:c>
      <x:c r="G118" s="31" t="str">
        <x:v>data/fear-temperature/ngram/raw/1e2c67caed74063005c91a921bdcebefacae62473cda222cb6b54f2d0f494115.json</x:v>
      </x:c>
      <x:c r="H118" s="19" t="str">
        <x:v>860a27b58656abacadd7f50714c6c413d59b394853cc7f8c215e856ba2b0bb07</x:v>
      </x:c>
      <x:c r="I118" s="31" t="str"/>
      <x:c r="J118" s="19" t="n">
        <x:v>46260.10806712963</x:v>
      </x:c>
      <x:c r="K118" s="31" t="str">
        <x:v>https://books.google.com/ngrams/json?content=depressed&amp;year_start=1842&amp;year_end=2022&amp;corpus=eng&amp;smoothing=0&amp;case_insensitive=true</x:v>
      </x:c>
      <x:c r="L118" s="20" t="str">
        <x:v>application/json (cached)</x:v>
      </x:c>
    </x:row>
    <x:row r="119" ht="27" customHeight="1">
      <x:c r="A119" s="18" t="str">
        <x:v>FT-Q-V01-115</x:v>
      </x:c>
      <x:c r="B119" s="31" t="str">
        <x:v>symptoms of anxiety</x:v>
      </x:c>
      <x:c r="C119" s="31" t="str">
        <x:v>SUCCEEDED</x:v>
      </x:c>
      <x:c r="D119" s="28" t="n">
        <x:v>0</x:v>
      </x:c>
      <x:c r="E119" s="28" t="n">
        <x:v>181</x:v>
      </x:c>
      <x:c r="F119" s="19" t="str">
        <x:v>symptoms of anxiety (All)</x:v>
      </x:c>
      <x:c r="G119" s="31" t="str">
        <x:v>data/fear-temperature/ngram/raw/1b1b0a9675ab8a7678713746fdd62646f8c5451626f2103eb483512a2277f6c7.json</x:v>
      </x:c>
      <x:c r="H119" s="19" t="str">
        <x:v>a249df571965d071ee8e8c0b2ea3e065f28289cb6f34bba1630bd55da3f95d84</x:v>
      </x:c>
      <x:c r="I119" s="31" t="str"/>
      <x:c r="J119" s="19" t="n">
        <x:v>46260.108078703706</x:v>
      </x:c>
      <x:c r="K119" s="31" t="str">
        <x:v>https://books.google.com/ngrams/json?content=symptoms+of+anxiety&amp;year_start=1842&amp;year_end=2022&amp;corpus=eng&amp;smoothing=0&amp;case_insensitive=true</x:v>
      </x:c>
      <x:c r="L119" s="20" t="str">
        <x:v>application/json (cached)</x:v>
      </x:c>
    </x:row>
    <x:row r="120" ht="27" customHeight="1">
      <x:c r="A120" s="18" t="str">
        <x:v>FT-Q-V01-116</x:v>
      </x:c>
      <x:c r="B120" s="31" t="str">
        <x:v>climate anxiety</x:v>
      </x:c>
      <x:c r="C120" s="31" t="str">
        <x:v>SUCCEEDED</x:v>
      </x:c>
      <x:c r="D120" s="28" t="n">
        <x:v>0</x:v>
      </x:c>
      <x:c r="E120" s="28" t="n">
        <x:v>181</x:v>
      </x:c>
      <x:c r="F120" s="19" t="str">
        <x:v>climate anxiety (All)</x:v>
      </x:c>
      <x:c r="G120" s="31" t="str">
        <x:v>data/fear-temperature/ngram/raw/d00250b2ef40b968bd0aa5befdc2b2cb971793fb2c476d828ffc5ab3fab1830a.json</x:v>
      </x:c>
      <x:c r="H120" s="19" t="str">
        <x:v>4bfe5a3b9d7ed748ae188b0946b31c1056933757c12a370c99a1beb82275c00c</x:v>
      </x:c>
      <x:c r="I120" s="31" t="str"/>
      <x:c r="J120" s="19" t="n">
        <x:v>46260.108078703706</x:v>
      </x:c>
      <x:c r="K120" s="31" t="str">
        <x:v>https://books.google.com/ngrams/json?content=climate+anxiety&amp;year_start=1842&amp;year_end=2022&amp;corpus=eng&amp;smoothing=0&amp;case_insensitive=true</x:v>
      </x:c>
      <x:c r="L120" s="20" t="str">
        <x:v>application/json (cached)</x:v>
      </x:c>
    </x:row>
    <x:row r="121" ht="27" customHeight="1">
      <x:c r="A121" s="18" t="str">
        <x:v>FT-Q-V01-117</x:v>
      </x:c>
      <x:c r="B121" s="31" t="str">
        <x:v>eco-anxiety</x:v>
      </x:c>
      <x:c r="C121" s="31" t="str">
        <x:v>SUCCEEDED</x:v>
      </x:c>
      <x:c r="D121" s="28" t="n">
        <x:v>0</x:v>
      </x:c>
      <x:c r="E121" s="28" t="n">
        <x:v>181</x:v>
      </x:c>
      <x:c r="F121" s="19" t="str">
        <x:v>eco - anxiety (All)</x:v>
      </x:c>
      <x:c r="G121" s="31" t="str">
        <x:v>data/fear-temperature/ngram/raw/4dec744e176b02d5b58560cc5e870a26c6e15a00884d43da40bc682039cdf566.json</x:v>
      </x:c>
      <x:c r="H121" s="19" t="str">
        <x:v>f6763b45b1506c0270b0f32d40a486756757632c62b09198e837f8fdfd1885b1</x:v>
      </x:c>
      <x:c r="I121" s="31" t="str"/>
      <x:c r="J121" s="19" t="n">
        <x:v>46260.108090277776</x:v>
      </x:c>
      <x:c r="K121" s="31" t="str">
        <x:v>https://books.google.com/ngrams/json?content=eco-anxiety&amp;year_start=1842&amp;year_end=2022&amp;corpus=eng&amp;smoothing=0&amp;case_insensitive=true</x:v>
      </x:c>
      <x:c r="L121" s="20" t="str">
        <x:v>application/json (cached)</x:v>
      </x:c>
    </x:row>
    <x:row r="122" ht="27" customHeight="1">
      <x:c r="A122" s="18" t="str">
        <x:v>FT-Q-V01-118</x:v>
      </x:c>
      <x:c r="B122" s="31" t="str">
        <x:v>psychological distress</x:v>
      </x:c>
      <x:c r="C122" s="31" t="str">
        <x:v>SUCCEEDED</x:v>
      </x:c>
      <x:c r="D122" s="28" t="n">
        <x:v>0</x:v>
      </x:c>
      <x:c r="E122" s="28" t="n">
        <x:v>181</x:v>
      </x:c>
      <x:c r="F122" s="19" t="str">
        <x:v>psychological distress (All)</x:v>
      </x:c>
      <x:c r="G122" s="31" t="str">
        <x:v>data/fear-temperature/ngram/raw/36dab6d94430baaff9d42a62e3c2af4716d35c6323cbc1f9c41cbd36969e7647.json</x:v>
      </x:c>
      <x:c r="H122" s="19" t="str">
        <x:v>12a3ab979e0d1a4235f6ff4bb5fda2da51208d378281955e44b8bb57d3cf99e6</x:v>
      </x:c>
      <x:c r="I122" s="31" t="str"/>
      <x:c r="J122" s="19" t="n">
        <x:v>46260.10810185185</x:v>
      </x:c>
      <x:c r="K122" s="31" t="str">
        <x:v>https://books.google.com/ngrams/json?content=psychological+distress&amp;year_start=1842&amp;year_end=2022&amp;corpus=eng&amp;smoothing=0&amp;case_insensitive=true</x:v>
      </x:c>
      <x:c r="L122" s="20" t="str">
        <x:v>application/json (cached)</x:v>
      </x:c>
    </x:row>
    <x:row r="123" ht="27" customHeight="1">
      <x:c r="A123" s="18" t="str">
        <x:v>FT-Q-V01-119</x:v>
      </x:c>
      <x:c r="B123" s="31" t="str">
        <x:v>distress</x:v>
      </x:c>
      <x:c r="C123" s="31" t="str">
        <x:v>SUCCEEDED</x:v>
      </x:c>
      <x:c r="D123" s="28" t="n">
        <x:v>0</x:v>
      </x:c>
      <x:c r="E123" s="28" t="n">
        <x:v>181</x:v>
      </x:c>
      <x:c r="F123" s="19" t="str">
        <x:v>distress (All)</x:v>
      </x:c>
      <x:c r="G123" s="31" t="str">
        <x:v>data/fear-temperature/ngram/raw/69a25d3b4abb2591bf0e8cc23730cd85d5e6133b29f60ddf50c84a4afc8a5d9a.json</x:v>
      </x:c>
      <x:c r="H123" s="19" t="str">
        <x:v>f05d358ad9a129a9d964930bfee0941fa34aaaa056d9215a25cb4d2372c95d01</x:v>
      </x:c>
      <x:c r="I123" s="31" t="str"/>
      <x:c r="J123" s="19" t="n">
        <x:v>46260.10811342593</x:v>
      </x:c>
      <x:c r="K123" s="31" t="str">
        <x:v>https://books.google.com/ngrams/json?content=distress&amp;year_start=1842&amp;year_end=2022&amp;corpus=eng&amp;smoothing=0&amp;case_insensitive=true</x:v>
      </x:c>
      <x:c r="L123" s="20" t="str">
        <x:v>application/json (cached)</x:v>
      </x:c>
    </x:row>
    <x:row r="124" ht="27" customHeight="1">
      <x:c r="A124" s="18" t="str">
        <x:v>FT-Q-V01-120</x:v>
      </x:c>
      <x:c r="B124" s="31" t="str">
        <x:v>powerlessness</x:v>
      </x:c>
      <x:c r="C124" s="31" t="str">
        <x:v>SUCCEEDED</x:v>
      </x:c>
      <x:c r="D124" s="28" t="n">
        <x:v>0</x:v>
      </x:c>
      <x:c r="E124" s="28" t="n">
        <x:v>181</x:v>
      </x:c>
      <x:c r="F124" s="19" t="str">
        <x:v>powerlessness (All)</x:v>
      </x:c>
      <x:c r="G124" s="31" t="str">
        <x:v>data/fear-temperature/ngram/raw/3cf4985d3f59ca9bec554eac71523373ea46987c9f956c1e518194c8ba5701b4.json</x:v>
      </x:c>
      <x:c r="H124" s="19" t="str">
        <x:v>deb1e89de6282e8d96786b75226f8ccca53555e1f70f743d6021c137c7cd0512</x:v>
      </x:c>
      <x:c r="I124" s="31" t="str"/>
      <x:c r="J124" s="19" t="n">
        <x:v>46260.10811342593</x:v>
      </x:c>
      <x:c r="K124" s="31" t="str">
        <x:v>https://books.google.com/ngrams/json?content=powerlessness&amp;year_start=1842&amp;year_end=2022&amp;corpus=eng&amp;smoothing=0&amp;case_insensitive=true</x:v>
      </x:c>
      <x:c r="L124" s="20" t="str">
        <x:v>application/json (cached)</x:v>
      </x:c>
    </x:row>
    <x:row r="125" ht="27" customHeight="1">
      <x:c r="A125" s="18" t="str">
        <x:v>FT-Q-V01-121</x:v>
      </x:c>
      <x:c r="B125" s="31" t="str">
        <x:v>climatic change</x:v>
      </x:c>
      <x:c r="C125" s="31" t="str">
        <x:v>SUCCEEDED</x:v>
      </x:c>
      <x:c r="D125" s="28" t="n">
        <x:v>0</x:v>
      </x:c>
      <x:c r="E125" s="28" t="n">
        <x:v>181</x:v>
      </x:c>
      <x:c r="F125" s="19" t="str">
        <x:v>climatic change (All)</x:v>
      </x:c>
      <x:c r="G125" s="31" t="str">
        <x:v>data/fear-temperature/ngram/raw/0a04941be5651b2bc9de7c1d97a1ec296ca7d83fbf14cbae1d4cb6dce5e31d80.json</x:v>
      </x:c>
      <x:c r="H125" s="19" t="str">
        <x:v>d7902abbc080f4d2003d5f1a590f735baa3506f990d5c6b1c2d156f0cbd926e2</x:v>
      </x:c>
      <x:c r="I125" s="31" t="str"/>
      <x:c r="J125" s="19" t="n">
        <x:v>46260.108125</x:v>
      </x:c>
      <x:c r="K125" s="31" t="str">
        <x:v>https://books.google.com/ngrams/json?content=climatic+change&amp;year_start=1842&amp;year_end=2022&amp;corpus=eng&amp;smoothing=0&amp;case_insensitive=true</x:v>
      </x:c>
      <x:c r="L125" s="20" t="str">
        <x:v>application/json (cached)</x:v>
      </x:c>
    </x:row>
    <x:row r="126" ht="27" customHeight="1">
      <x:c r="A126" s="18" t="str">
        <x:v>FT-Q-V01-122</x:v>
      </x:c>
      <x:c r="B126" s="31" t="str">
        <x:v>climate system</x:v>
      </x:c>
      <x:c r="C126" s="31" t="str">
        <x:v>SUCCEEDED</x:v>
      </x:c>
      <x:c r="D126" s="28" t="n">
        <x:v>0</x:v>
      </x:c>
      <x:c r="E126" s="28" t="n">
        <x:v>181</x:v>
      </x:c>
      <x:c r="F126" s="19" t="str">
        <x:v>climate system (All)</x:v>
      </x:c>
      <x:c r="G126" s="31" t="str">
        <x:v>data/fear-temperature/ngram/raw/44123082f140b34693c19e6c204f15f36cbfab06a2fb516dea8b50cb69f5544f.json</x:v>
      </x:c>
      <x:c r="H126" s="19" t="str">
        <x:v>f05a5e3324ef7e65b80d502af737cc0cf691fd70170359c91a05aa14d593d8a4</x:v>
      </x:c>
      <x:c r="I126" s="31" t="str"/>
      <x:c r="J126" s="19" t="n">
        <x:v>46260.108136574076</x:v>
      </x:c>
      <x:c r="K126" s="31" t="str">
        <x:v>https://books.google.com/ngrams/json?content=climate+system&amp;year_start=1842&amp;year_end=2022&amp;corpus=eng&amp;smoothing=0&amp;case_insensitive=true</x:v>
      </x:c>
      <x:c r="L126" s="20" t="str">
        <x:v>application/json (cached)</x:v>
      </x:c>
    </x:row>
    <x:row r="127" ht="27" customHeight="1">
      <x:c r="A127" s="18" t="str">
        <x:v>FT-Q-V01-123</x:v>
      </x:c>
      <x:c r="B127" s="31" t="str">
        <x:v>climate crisis</x:v>
      </x:c>
      <x:c r="C127" s="31" t="str">
        <x:v>SUCCEEDED</x:v>
      </x:c>
      <x:c r="D127" s="28" t="n">
        <x:v>0</x:v>
      </x:c>
      <x:c r="E127" s="28" t="n">
        <x:v>181</x:v>
      </x:c>
      <x:c r="F127" s="19" t="str">
        <x:v>climate crisis (All)</x:v>
      </x:c>
      <x:c r="G127" s="31" t="str">
        <x:v>data/fear-temperature/ngram/raw/23354bc43bed6570702eab740469c8b00c388007e8cf69ff8fd38735d57ed065.json</x:v>
      </x:c>
      <x:c r="H127" s="19" t="str">
        <x:v>6482a18b04148e0058b499b2ea480b7ceb14738d3dc486f8f5f6821bd85f433e</x:v>
      </x:c>
      <x:c r="I127" s="31" t="str"/>
      <x:c r="J127" s="19" t="n">
        <x:v>46260.108148148145</x:v>
      </x:c>
      <x:c r="K127" s="31" t="str">
        <x:v>https://books.google.com/ngrams/json?content=climate+crisis&amp;year_start=1842&amp;year_end=2022&amp;corpus=eng&amp;smoothing=0&amp;case_insensitive=true</x:v>
      </x:c>
      <x:c r="L127" s="20" t="str">
        <x:v>application/json (cached)</x:v>
      </x:c>
    </x:row>
    <x:row r="128" ht="27" customHeight="1">
      <x:c r="A128" s="18" t="str">
        <x:v>FT-Q-V01-124</x:v>
      </x:c>
      <x:c r="B128" s="31" t="str">
        <x:v>climate emergency</x:v>
      </x:c>
      <x:c r="C128" s="31" t="str">
        <x:v>SUCCEEDED</x:v>
      </x:c>
      <x:c r="D128" s="28" t="n">
        <x:v>0</x:v>
      </x:c>
      <x:c r="E128" s="28" t="n">
        <x:v>181</x:v>
      </x:c>
      <x:c r="F128" s="19" t="str">
        <x:v>climate emergency (All)</x:v>
      </x:c>
      <x:c r="G128" s="31" t="str">
        <x:v>data/fear-temperature/ngram/raw/3237c9c334be43668f3ba7cf3a2aa06f34c5080255b6e1461b714d92a123b591.json</x:v>
      </x:c>
      <x:c r="H128" s="19" t="str">
        <x:v>7c2eeb3c644ac32eb5a37cb902c6614c6b5fff18114c5a78c55e650cae9c6555</x:v>
      </x:c>
      <x:c r="I128" s="31" t="str"/>
      <x:c r="J128" s="19" t="n">
        <x:v>46260.108148148145</x:v>
      </x:c>
      <x:c r="K128" s="31" t="str">
        <x:v>https://books.google.com/ngrams/json?content=climate+emergency&amp;year_start=1842&amp;year_end=2022&amp;corpus=eng&amp;smoothing=0&amp;case_insensitive=true</x:v>
      </x:c>
      <x:c r="L128" s="20" t="str">
        <x:v>application/json (cached)</x:v>
      </x:c>
    </x:row>
    <x:row r="129" ht="27" customHeight="1">
      <x:c r="A129" s="18" t="str">
        <x:v>FT-Q-V01-125</x:v>
      </x:c>
      <x:c r="B129" s="31" t="str">
        <x:v>heat</x:v>
      </x:c>
      <x:c r="C129" s="31" t="str">
        <x:v>SUCCEEDED</x:v>
      </x:c>
      <x:c r="D129" s="28" t="n">
        <x:v>0</x:v>
      </x:c>
      <x:c r="E129" s="28" t="n">
        <x:v>181</x:v>
      </x:c>
      <x:c r="F129" s="19" t="str">
        <x:v>heat (All)</x:v>
      </x:c>
      <x:c r="G129" s="31" t="str">
        <x:v>data/fear-temperature/ngram/raw/c4a2fddf7c4162769bbd0a82f12e004a6ee58ba1f0ff17f2b453dcf677494b07.json</x:v>
      </x:c>
      <x:c r="H129" s="19" t="str">
        <x:v>bbae9861c8d54e6c725641b44c46d68a518371c40032563a1e52f08023071d17</x:v>
      </x:c>
      <x:c r="I129" s="31" t="str"/>
      <x:c r="J129" s="19" t="n">
        <x:v>46260.10815972222</x:v>
      </x:c>
      <x:c r="K129" s="31" t="str">
        <x:v>https://books.google.com/ngrams/json?content=heat&amp;year_start=1842&amp;year_end=2022&amp;corpus=eng&amp;smoothing=0&amp;case_insensitive=true</x:v>
      </x:c>
      <x:c r="L129" s="20" t="str">
        <x:v>application/json (cached)</x:v>
      </x:c>
    </x:row>
    <x:row r="130" ht="27" customHeight="1">
      <x:c r="A130" s="18" t="str">
        <x:v>FT-Q-V01-126</x:v>
      </x:c>
      <x:c r="B130" s="31" t="str">
        <x:v>extreme heat</x:v>
      </x:c>
      <x:c r="C130" s="31" t="str">
        <x:v>SUCCEEDED</x:v>
      </x:c>
      <x:c r="D130" s="28" t="n">
        <x:v>0</x:v>
      </x:c>
      <x:c r="E130" s="28" t="n">
        <x:v>181</x:v>
      </x:c>
      <x:c r="F130" s="19" t="str">
        <x:v>extreme heat (All)</x:v>
      </x:c>
      <x:c r="G130" s="31" t="str">
        <x:v>data/fear-temperature/ngram/raw/f78acfa1d100e2ca03e0287a6e355eeb4633059fd59d841bf6e3f477f083c054.json</x:v>
      </x:c>
      <x:c r="H130" s="19" t="str">
        <x:v>7dd3950bffce17c14d781cfcb69963ee14d12337f5acf8ab8706bd558107c6e3</x:v>
      </x:c>
      <x:c r="I130" s="31" t="str"/>
      <x:c r="J130" s="19" t="n">
        <x:v>46260.1081712963</x:v>
      </x:c>
      <x:c r="K130" s="31" t="str">
        <x:v>https://books.google.com/ngrams/json?content=extreme+heat&amp;year_start=1842&amp;year_end=2022&amp;corpus=eng&amp;smoothing=0&amp;case_insensitive=true</x:v>
      </x:c>
      <x:c r="L130" s="20" t="str">
        <x:v>application/json (cached)</x:v>
      </x:c>
    </x:row>
    <x:row r="131" ht="27" customHeight="1">
      <x:c r="A131" s="18" t="str">
        <x:v>FT-Q-V01-127</x:v>
      </x:c>
      <x:c r="B131" s="31" t="str">
        <x:v>fear</x:v>
      </x:c>
      <x:c r="C131" s="31" t="str">
        <x:v>SUCCEEDED</x:v>
      </x:c>
      <x:c r="D131" s="28" t="n">
        <x:v>0</x:v>
      </x:c>
      <x:c r="E131" s="28" t="n">
        <x:v>181</x:v>
      </x:c>
      <x:c r="F131" s="19" t="str">
        <x:v>fear (All)</x:v>
      </x:c>
      <x:c r="G131" s="31" t="str">
        <x:v>data/fear-temperature/ngram/raw/9a82a1e3ac136df19ab9c86fccf9b11d26bd9aa0af615506d9063f8b7db4b821.json</x:v>
      </x:c>
      <x:c r="H131" s="19" t="str">
        <x:v>939e4006e0b2f39121a9e87f232305c7e7c3df2ae1f1f74acd4eac2d5eda483b</x:v>
      </x:c>
      <x:c r="I131" s="31" t="str"/>
      <x:c r="J131" s="19" t="n">
        <x:v>46260.1081712963</x:v>
      </x:c>
      <x:c r="K131" s="31" t="str">
        <x:v>https://books.google.com/ngrams/json?content=fear&amp;year_start=1842&amp;year_end=2022&amp;corpus=eng&amp;smoothing=0&amp;case_insensitive=true</x:v>
      </x:c>
      <x:c r="L131" s="20" t="str">
        <x:v>application/json (cached)</x:v>
      </x:c>
    </x:row>
    <x:row r="132" ht="27" customHeight="1">
      <x:c r="A132" s="18" t="str">
        <x:v>FT-Q-V01-128</x:v>
      </x:c>
      <x:c r="B132" s="31" t="str">
        <x:v>worry</x:v>
      </x:c>
      <x:c r="C132" s="31" t="str">
        <x:v>SUCCEEDED</x:v>
      </x:c>
      <x:c r="D132" s="28" t="n">
        <x:v>0</x:v>
      </x:c>
      <x:c r="E132" s="28" t="n">
        <x:v>181</x:v>
      </x:c>
      <x:c r="F132" s="19" t="str">
        <x:v>worry (All)</x:v>
      </x:c>
      <x:c r="G132" s="31" t="str">
        <x:v>data/fear-temperature/ngram/raw/a637a16642bc8126e12038a79352c7309b624c759631dc6fb805a314dd5f39ce.json</x:v>
      </x:c>
      <x:c r="H132" s="19" t="str">
        <x:v>e8e9eb06e8b2781b870574383589fe60889c166d75f085b10920885aaf3603de</x:v>
      </x:c>
      <x:c r="I132" s="31" t="str"/>
      <x:c r="J132" s="19" t="n">
        <x:v>46260.10818287037</x:v>
      </x:c>
      <x:c r="K132" s="31" t="str">
        <x:v>https://books.google.com/ngrams/json?content=worry&amp;year_start=1842&amp;year_end=2022&amp;corpus=eng&amp;smoothing=0&amp;case_insensitive=true</x:v>
      </x:c>
      <x:c r="L132" s="20" t="str">
        <x:v>application/json (cached)</x:v>
      </x:c>
    </x:row>
    <x:row r="133" ht="27" customHeight="1">
      <x:c r="A133" s="18" t="str">
        <x:v>FT-Q-V01-129</x:v>
      </x:c>
      <x:c r="B133" s="31" t="str">
        <x:v>worried</x:v>
      </x:c>
      <x:c r="C133" s="31" t="str">
        <x:v>SUCCEEDED</x:v>
      </x:c>
      <x:c r="D133" s="28" t="n">
        <x:v>0</x:v>
      </x:c>
      <x:c r="E133" s="28" t="n">
        <x:v>181</x:v>
      </x:c>
      <x:c r="F133" s="19" t="str">
        <x:v>worried (All)</x:v>
      </x:c>
      <x:c r="G133" s="31" t="str">
        <x:v>data/fear-temperature/ngram/raw/663a933fc48043f250f90a98b66b006334ad658684ce96825d57307b8d52b76d.json</x:v>
      </x:c>
      <x:c r="H133" s="19" t="str">
        <x:v>4eb0b82ba6fa0a3cf1243842ca78ee01374ee5df5052ad6c2de9971bfec56251</x:v>
      </x:c>
      <x:c r="I133" s="31" t="str"/>
      <x:c r="J133" s="19" t="n">
        <x:v>46260.10828703704</x:v>
      </x:c>
      <x:c r="K133" s="31" t="str">
        <x:v>https://books.google.com/ngrams/json?content=worried&amp;year_start=1842&amp;year_end=2022&amp;corpus=eng&amp;smoothing=0&amp;case_insensitive=true</x:v>
      </x:c>
      <x:c r="L133" s="20" t="str">
        <x:v>application/json (cached)</x:v>
      </x:c>
    </x:row>
    <x:row r="134" ht="27" customHeight="1">
      <x:c r="A134" s="18" t="str">
        <x:v>FT-Q-V01-130</x:v>
      </x:c>
      <x:c r="B134" s="31" t="str">
        <x:v>concern</x:v>
      </x:c>
      <x:c r="C134" s="31" t="str">
        <x:v>SUCCEEDED</x:v>
      </x:c>
      <x:c r="D134" s="28" t="n">
        <x:v>0</x:v>
      </x:c>
      <x:c r="E134" s="28" t="n">
        <x:v>181</x:v>
      </x:c>
      <x:c r="F134" s="19" t="str">
        <x:v>concern (All)</x:v>
      </x:c>
      <x:c r="G134" s="31" t="str">
        <x:v>data/fear-temperature/ngram/raw/4643a1a18409e446a85be4d799f0377db1c82b28463617e3e93dfc9e103700e6.json</x:v>
      </x:c>
      <x:c r="H134" s="19" t="str">
        <x:v>86759331e2f1559211c82990d4bb396d4c809519fe0ab47d1a733aa373b986f6</x:v>
      </x:c>
      <x:c r="I134" s="31" t="str"/>
      <x:c r="J134" s="19" t="n">
        <x:v>46260.108298611114</x:v>
      </x:c>
      <x:c r="K134" s="31" t="str">
        <x:v>https://books.google.com/ngrams/json?content=concern&amp;year_start=1842&amp;year_end=2022&amp;corpus=eng&amp;smoothing=0&amp;case_insensitive=true</x:v>
      </x:c>
      <x:c r="L134" s="20" t="str">
        <x:v>application/json (cached)</x:v>
      </x:c>
    </x:row>
    <x:row r="135" ht="27" customHeight="1">
      <x:c r="A135" s="18" t="str">
        <x:v>FT-Q-V01-131</x:v>
      </x:c>
      <x:c r="B135" s="31" t="str">
        <x:v>anxiety</x:v>
      </x:c>
      <x:c r="C135" s="31" t="str">
        <x:v>SUCCEEDED</x:v>
      </x:c>
      <x:c r="D135" s="28" t="n">
        <x:v>0</x:v>
      </x:c>
      <x:c r="E135" s="28" t="n">
        <x:v>181</x:v>
      </x:c>
      <x:c r="F135" s="19" t="str">
        <x:v>anxiety (All)</x:v>
      </x:c>
      <x:c r="G135" s="31" t="str">
        <x:v>data/fear-temperature/ngram/raw/b9681b24d3f5a1319cae6436236bc0f5b64d75ea848bbbe2dbfc5b26c0042582.json</x:v>
      </x:c>
      <x:c r="H135" s="19" t="str">
        <x:v>9cb6b1d35dff3151fa282cfee0f1c44107cc306f301075e9570f15b27cfc5005</x:v>
      </x:c>
      <x:c r="I135" s="31" t="str"/>
      <x:c r="J135" s="19" t="n">
        <x:v>46260.108298611114</x:v>
      </x:c>
      <x:c r="K135" s="31" t="str">
        <x:v>https://books.google.com/ngrams/json?content=anxiety&amp;year_start=1842&amp;year_end=2022&amp;corpus=eng&amp;smoothing=0&amp;case_insensitive=true</x:v>
      </x:c>
      <x:c r="L135" s="20" t="str">
        <x:v>application/json (cached)</x:v>
      </x:c>
    </x:row>
    <x:row r="136" ht="27" customHeight="1">
      <x:c r="A136" s="18" t="str">
        <x:v>FT-Q-V01-132</x:v>
      </x:c>
      <x:c r="B136" s="31" t="str">
        <x:v>danger</x:v>
      </x:c>
      <x:c r="C136" s="31" t="str">
        <x:v>SUCCEEDED</x:v>
      </x:c>
      <x:c r="D136" s="28" t="n">
        <x:v>0</x:v>
      </x:c>
      <x:c r="E136" s="28" t="n">
        <x:v>181</x:v>
      </x:c>
      <x:c r="F136" s="19" t="str">
        <x:v>danger (All)</x:v>
      </x:c>
      <x:c r="G136" s="31" t="str">
        <x:v>data/fear-temperature/ngram/raw/d1a6b726471d63c6003c4338e335ea4b6d0c7bf5b03bfb510d338867d19b8d4d.json</x:v>
      </x:c>
      <x:c r="H136" s="19" t="str">
        <x:v>2798643f29a502d3ac9f4d9ee18afc1c63a61d3462775d430bd667cbd935deb8</x:v>
      </x:c>
      <x:c r="I136" s="31" t="str"/>
      <x:c r="J136" s="19" t="n">
        <x:v>46260.108310185184</x:v>
      </x:c>
      <x:c r="K136" s="31" t="str">
        <x:v>https://books.google.com/ngrams/json?content=danger&amp;year_start=1842&amp;year_end=2022&amp;corpus=eng&amp;smoothing=0&amp;case_insensitive=true</x:v>
      </x:c>
      <x:c r="L136" s="20" t="str">
        <x:v>application/json (cached)</x:v>
      </x:c>
    </x:row>
    <x:row r="137" ht="27" customHeight="1">
      <x:c r="A137" s="18" t="str">
        <x:v>FT-Q-V01-133</x:v>
      </x:c>
      <x:c r="B137" s="31" t="str">
        <x:v>threat</x:v>
      </x:c>
      <x:c r="C137" s="31" t="str">
        <x:v>SUCCEEDED</x:v>
      </x:c>
      <x:c r="D137" s="28" t="n">
        <x:v>0</x:v>
      </x:c>
      <x:c r="E137" s="28" t="n">
        <x:v>181</x:v>
      </x:c>
      <x:c r="F137" s="19" t="str">
        <x:v>threat (All)</x:v>
      </x:c>
      <x:c r="G137" s="31" t="str">
        <x:v>data/fear-temperature/ngram/raw/66e5485b36228b44bc5b3b9a522cc35739a50a73b1b41bb1439c84b0c452c1bb.json</x:v>
      </x:c>
      <x:c r="H137" s="19" t="str">
        <x:v>d4e9a09fe712913bb38c9f904d163f0a87c3210a5f00e39de622e3a963854923</x:v>
      </x:c>
      <x:c r="I137" s="31" t="str"/>
      <x:c r="J137" s="19" t="n">
        <x:v>46260.10832175926</x:v>
      </x:c>
      <x:c r="K137" s="31" t="str">
        <x:v>https://books.google.com/ngrams/json?content=threat&amp;year_start=1842&amp;year_end=2022&amp;corpus=eng&amp;smoothing=0&amp;case_insensitive=true</x:v>
      </x:c>
      <x:c r="L137" s="20" t="str">
        <x:v>application/json (cached)</x:v>
      </x:c>
    </x:row>
    <x:row r="138" ht="27" customHeight="1">
      <x:c r="A138" s="18" t="str">
        <x:v>FT-Q-V01-134</x:v>
      </x:c>
      <x:c r="B138" s="31" t="str">
        <x:v>risk</x:v>
      </x:c>
      <x:c r="C138" s="31" t="str">
        <x:v>SUCCEEDED</x:v>
      </x:c>
      <x:c r="D138" s="28" t="n">
        <x:v>0</x:v>
      </x:c>
      <x:c r="E138" s="28" t="n">
        <x:v>181</x:v>
      </x:c>
      <x:c r="F138" s="19" t="str">
        <x:v>risk (All)</x:v>
      </x:c>
      <x:c r="G138" s="31" t="str">
        <x:v>data/fear-temperature/ngram/raw/a81a666e861de5f55d081039af6b25250d329cbe655211e018749975fe62522d.json</x:v>
      </x:c>
      <x:c r="H138" s="19" t="str">
        <x:v>168c859c89970fd061e22f7559c0116c0e7d9fc506abe53de55011c8f38e484c</x:v>
      </x:c>
      <x:c r="I138" s="31" t="str"/>
      <x:c r="J138" s="19" t="n">
        <x:v>46260.10833333333</x:v>
      </x:c>
      <x:c r="K138" s="31" t="str">
        <x:v>https://books.google.com/ngrams/json?content=risk&amp;year_start=1842&amp;year_end=2022&amp;corpus=eng&amp;smoothing=0&amp;case_insensitive=true</x:v>
      </x:c>
      <x:c r="L138" s="20" t="str">
        <x:v>application/json (cached)</x:v>
      </x:c>
    </x:row>
    <x:row r="139" ht="27" customHeight="1">
      <x:c r="A139" s="18" t="str">
        <x:v>FT-Q-V01-135</x:v>
      </x:c>
      <x:c r="B139" s="31" t="str">
        <x:v>crisis</x:v>
      </x:c>
      <x:c r="C139" s="31" t="str">
        <x:v>SUCCEEDED</x:v>
      </x:c>
      <x:c r="D139" s="28" t="n">
        <x:v>0</x:v>
      </x:c>
      <x:c r="E139" s="28" t="n">
        <x:v>181</x:v>
      </x:c>
      <x:c r="F139" s="19" t="str">
        <x:v>crisis (All)</x:v>
      </x:c>
      <x:c r="G139" s="31" t="str">
        <x:v>data/fear-temperature/ngram/raw/51f107a3bb3ac7010decceb94d2ae2bf077c7cdba099bdf39d277bd64b1a1a9e.json</x:v>
      </x:c>
      <x:c r="H139" s="19" t="str">
        <x:v>eef50ec5ab4384c575d09c91f3c82ab9369fb467df37b33e738f7fd377e8e1cd</x:v>
      </x:c>
      <x:c r="I139" s="31" t="str"/>
      <x:c r="J139" s="19" t="n">
        <x:v>46260.10833333333</x:v>
      </x:c>
      <x:c r="K139" s="31" t="str">
        <x:v>https://books.google.com/ngrams/json?content=crisis&amp;year_start=1842&amp;year_end=2022&amp;corpus=eng&amp;smoothing=0&amp;case_insensitive=true</x:v>
      </x:c>
      <x:c r="L139" s="20" t="str">
        <x:v>application/json (cached)</x:v>
      </x:c>
    </x:row>
    <x:row r="140" ht="27" customHeight="1">
      <x:c r="A140" s="18" t="str">
        <x:v>FT-Q-V01-136</x:v>
      </x:c>
      <x:c r="B140" s="31" t="str">
        <x:v>emergency</x:v>
      </x:c>
      <x:c r="C140" s="31" t="str">
        <x:v>SUCCEEDED</x:v>
      </x:c>
      <x:c r="D140" s="28" t="n">
        <x:v>0</x:v>
      </x:c>
      <x:c r="E140" s="28" t="n">
        <x:v>181</x:v>
      </x:c>
      <x:c r="F140" s="19" t="str">
        <x:v>emergency (All)</x:v>
      </x:c>
      <x:c r="G140" s="31" t="str">
        <x:v>data/fear-temperature/ngram/raw/c5162a664882434d77d4c5d3bffd7a896165ae13d26ba78263febba6d337d60e.json</x:v>
      </x:c>
      <x:c r="H140" s="19" t="str">
        <x:v>968f2fe32e398ed2870e5565b7c3721b7cd995b428e55bf57a0c4c7d82449020</x:v>
      </x:c>
      <x:c r="I140" s="31" t="str"/>
      <x:c r="J140" s="19" t="n">
        <x:v>46260.10834490741</x:v>
      </x:c>
      <x:c r="K140" s="31" t="str">
        <x:v>https://books.google.com/ngrams/json?content=emergency&amp;year_start=1842&amp;year_end=2022&amp;corpus=eng&amp;smoothing=0&amp;case_insensitive=true</x:v>
      </x:c>
      <x:c r="L140" s="20" t="str">
        <x:v>application/json (cached)</x:v>
      </x:c>
    </x:row>
    <x:row r="141" ht="27" customHeight="1">
      <x:c r="A141" s="18" t="str">
        <x:v>FT-Q-V01-137</x:v>
      </x:c>
      <x:c r="B141" s="31" t="str">
        <x:v>mortality</x:v>
      </x:c>
      <x:c r="C141" s="31" t="str">
        <x:v>SUCCEEDED</x:v>
      </x:c>
      <x:c r="D141" s="28" t="n">
        <x:v>0</x:v>
      </x:c>
      <x:c r="E141" s="28" t="n">
        <x:v>181</x:v>
      </x:c>
      <x:c r="F141" s="19" t="str">
        <x:v>mortality (All)</x:v>
      </x:c>
      <x:c r="G141" s="31" t="str">
        <x:v>data/fear-temperature/ngram/raw/8e9bd7f9f8db93306a8194efc16e753c9591ba2cf84f600e436012188897e8db.json</x:v>
      </x:c>
      <x:c r="H141" s="19" t="str">
        <x:v>ccda095640e21dcd5c4c9df8006327a78909f3c8c290489ecac073a6876582f9</x:v>
      </x:c>
      <x:c r="I141" s="31" t="str"/>
      <x:c r="J141" s="19" t="n">
        <x:v>46260.10835648148</x:v>
      </x:c>
      <x:c r="K141" s="31" t="str">
        <x:v>https://books.google.com/ngrams/json?content=mortality&amp;year_start=1842&amp;year_end=2022&amp;corpus=eng&amp;smoothing=0&amp;case_insensitive=true</x:v>
      </x:c>
      <x:c r="L141" s="20" t="str">
        <x:v>application/json (cached)</x:v>
      </x:c>
    </x:row>
    <x:row r="142" ht="27" customHeight="1">
      <x:c r="A142" s="18" t="str">
        <x:v>FT-Q-V01-138</x:v>
      </x:c>
      <x:c r="B142" s="31" t="str">
        <x:v>heat of the irons</x:v>
      </x:c>
      <x:c r="C142" s="31" t="str">
        <x:v>SUCCEEDED</x:v>
      </x:c>
      <x:c r="D142" s="28" t="n">
        <x:v>0</x:v>
      </x:c>
      <x:c r="E142" s="28" t="n">
        <x:v>181</x:v>
      </x:c>
      <x:c r="F142" s="19" t="str">
        <x:v>heat of the irons</x:v>
      </x:c>
      <x:c r="G142" s="31" t="str">
        <x:v>data/fear-temperature/ngram/raw/6e0dd6ba68158e1e452d6bca05216b6ea57e3abfb75c80405a05fbd06153ad7a.json</x:v>
      </x:c>
      <x:c r="H142" s="19" t="str">
        <x:v>e70f9af32f32152fad7f01517ef4f74bdf5469052a7d7518898e532344180515</x:v>
      </x:c>
      <x:c r="I142" s="31" t="str"/>
      <x:c r="J142" s="19" t="n">
        <x:v>46260.10836805555</x:v>
      </x:c>
      <x:c r="K142" s="31" t="str">
        <x:v>https://books.google.com/ngrams/json?content=heat+of+the+irons&amp;year_start=1842&amp;year_end=2022&amp;corpus=eng&amp;smoothing=0&amp;case_insensitive=true</x:v>
      </x:c>
      <x:c r="L142" s="20" t="str">
        <x:v>application/json (cached)</x:v>
      </x:c>
    </x:row>
    <x:row r="143" ht="27" customHeight="1">
      <x:c r="A143" s="18" t="str">
        <x:v>FT-Q-V01-139</x:v>
      </x:c>
      <x:c r="B143" s="31" t="str">
        <x:v>heat wave</x:v>
      </x:c>
      <x:c r="C143" s="31" t="str">
        <x:v>SUCCEEDED</x:v>
      </x:c>
      <x:c r="D143" s="28" t="n">
        <x:v>0</x:v>
      </x:c>
      <x:c r="E143" s="28" t="n">
        <x:v>181</x:v>
      </x:c>
      <x:c r="F143" s="19" t="str">
        <x:v>heat wave (All)</x:v>
      </x:c>
      <x:c r="G143" s="31" t="str">
        <x:v>data/fear-temperature/ngram/raw/306e212ec9cdb980f5e1f91f3e6734e7998c99820aa93fd4a8109533d1676f5a.json</x:v>
      </x:c>
      <x:c r="H143" s="19" t="str">
        <x:v>2200e466cdeea1c919a9efd658599043ca1621d3175da78ab13e6b29984795b5</x:v>
      </x:c>
      <x:c r="I143" s="31" t="str"/>
      <x:c r="J143" s="19" t="n">
        <x:v>46260.10731481481</x:v>
      </x:c>
      <x:c r="K143" s="31" t="str">
        <x:v>https://books.google.com/ngrams/json?content=heat+wave&amp;year_start=1842&amp;year_end=2022&amp;corpus=eng&amp;smoothing=0&amp;case_insensitive=true</x:v>
      </x:c>
      <x:c r="L143" s="20" t="str">
        <x:v>application/json (cached)</x:v>
      </x:c>
    </x:row>
    <x:row r="144" ht="27" customHeight="1">
      <x:c r="A144" s="18" t="str">
        <x:v>FT-Q-V01-140</x:v>
      </x:c>
      <x:c r="B144" s="31" t="str">
        <x:v>grave threats</x:v>
      </x:c>
      <x:c r="C144" s="31" t="str">
        <x:v>SUCCEEDED</x:v>
      </x:c>
      <x:c r="D144" s="28" t="n">
        <x:v>0</x:v>
      </x:c>
      <x:c r="E144" s="28" t="n">
        <x:v>181</x:v>
      </x:c>
      <x:c r="F144" s="19" t="str">
        <x:v>grave threats (All)</x:v>
      </x:c>
      <x:c r="G144" s="31" t="str">
        <x:v>data/fear-temperature/ngram/raw/199a2de4dde46b1f28e8d82214a736fd2943900d1124288ca73d431bc50f76b4.json</x:v>
      </x:c>
      <x:c r="H144" s="19" t="str">
        <x:v>8d4655588a182f997bbb8205967ddb29f2cbdeef3114c2c0b348af4282c5198a</x:v>
      </x:c>
      <x:c r="I144" s="31" t="str"/>
      <x:c r="J144" s="19" t="n">
        <x:v>46260.10837962963</x:v>
      </x:c>
      <x:c r="K144" s="31" t="str">
        <x:v>https://books.google.com/ngrams/json?content=grave+threats&amp;year_start=1842&amp;year_end=2022&amp;corpus=eng&amp;smoothing=0&amp;case_insensitive=true</x:v>
      </x:c>
      <x:c r="L144" s="20" t="str">
        <x:v>application/json (cached)</x:v>
      </x:c>
    </x:row>
    <x:row r="145" ht="27" customHeight="1">
      <x:c r="A145" s="18" t="str">
        <x:v>FT-Q-V01-141</x:v>
      </x:c>
      <x:c r="B145" s="31" t="str">
        <x:v>Be Worried. Be Very Worried.</x:v>
      </x:c>
      <x:c r="C145" s="31" t="str">
        <x:v>NOT_RUN_INCOMPATIBLE</x:v>
      </x:c>
      <x:c r="D145" s="28" t="n">
        <x:v>0</x:v>
      </x:c>
      <x:c r="E145" s="28" t="n">
        <x:v>0</x:v>
      </x:c>
      <x:c r="F145" s="19" t="str"/>
      <x:c r="G145" s="31" t="str"/>
      <x:c r="H145" s="19" t="str"/>
      <x:c r="I145" s="31" t="str">
        <x:v>Sentence-level punctuation makes this a corpus-context rule, not an Ngram phrase.</x:v>
      </x:c>
      <x:c r="J145" s="19" t="str"/>
      <x:c r="K145" s="31" t="str"/>
      <x:c r="L145" s="20" t="str"/>
    </x:row>
    <x:row r="146" ht="27" customHeight="1">
      <x:c r="A146" s="18" t="str">
        <x:v>FT-Q-V01-142</x:v>
      </x:c>
      <x:c r="B146" s="31" t="str">
        <x:v>comprehensive risk assessment and management</x:v>
      </x:c>
      <x:c r="C146" s="31" t="str">
        <x:v>SUCCEEDED</x:v>
      </x:c>
      <x:c r="D146" s="28" t="n">
        <x:v>0</x:v>
      </x:c>
      <x:c r="E146" s="28" t="n">
        <x:v>181</x:v>
      </x:c>
      <x:c r="F146" s="19" t="str">
        <x:v>comprehensive risk assessment and management (All)</x:v>
      </x:c>
      <x:c r="G146" s="31" t="str">
        <x:v>data/fear-temperature/ngram/raw/98133fcfa53e45c78d53cec796f58bcdaf049d4f7b7d689a9b32d8a79abe6afd.json</x:v>
      </x:c>
      <x:c r="H146" s="19" t="str">
        <x:v>148c6f17b3b5559f195af99bb9bc120439f5e7798335a76ec6e15b12c1b592a9</x:v>
      </x:c>
      <x:c r="I146" s="31" t="str"/>
      <x:c r="J146" s="19" t="n">
        <x:v>46260.10839120371</x:v>
      </x:c>
      <x:c r="K146" s="31" t="str">
        <x:v>https://books.google.com/ngrams/json?content=comprehensive+risk+assessment+and+management&amp;year_start=1842&amp;year_end=2022&amp;corpus=eng&amp;smoothing=0&amp;case_insensitive=true</x:v>
      </x:c>
      <x:c r="L146" s="20" t="str">
        <x:v>application/json (cached)</x:v>
      </x:c>
    </x:row>
    <x:row r="147" ht="27" customHeight="1">
      <x:c r="A147" s="21" t="str">
        <x:v>FT-Q-V01-143</x:v>
      </x:c>
      <x:c r="B147" s="32" t="str">
        <x:v>guilt</x:v>
      </x:c>
      <x:c r="C147" s="32" t="str">
        <x:v>SUCCEEDED</x:v>
      </x:c>
      <x:c r="D147" s="29" t="n">
        <x:v>0</x:v>
      </x:c>
      <x:c r="E147" s="29" t="n">
        <x:v>181</x:v>
      </x:c>
      <x:c r="F147" s="22" t="str">
        <x:v>guilt (All)</x:v>
      </x:c>
      <x:c r="G147" s="32" t="str">
        <x:v>data/fear-temperature/ngram/raw/5b4a6bef176c04f9daabd6c22aca47c6b2abebd8c7e08193bc29846a6873320a.json</x:v>
      </x:c>
      <x:c r="H147" s="22" t="str">
        <x:v>07717c3535ccb7abacd2ec31041b02f16bfe9f8f020853938c5ee04674893ff0</x:v>
      </x:c>
      <x:c r="I147" s="32" t="str"/>
      <x:c r="J147" s="22" t="n">
        <x:v>46260.10839120371</x:v>
      </x:c>
      <x:c r="K147" s="32" t="str">
        <x:v>https://books.google.com/ngrams/json?content=guilt&amp;year_start=1842&amp;year_end=2022&amp;corpus=eng&amp;smoothing=0&amp;case_insensitive=true</x:v>
      </x:c>
      <x:c r="L147" s="23" t="str">
        <x:v>application/json (cached)</x:v>
      </x:c>
    </x:row>
  </x:sheetData>
  <x:mergeCells>
    <x:mergeCell ref="A1:L1"/>
    <x:mergeCell ref="A2:L2"/>
  </x:mergeCells>
  <x:conditionalFormatting sqref="C5:C147">
    <x:cfRule type="containsText" dxfId="242" priority="1" operator="containsText" text="FULLY"/>
    <x:cfRule type="containsText" dxfId="243" priority="2" operator="containsText" text="SUCCESS"/>
    <x:cfRule type="containsText" dxfId="244" priority="3" operator="containsText" text="DIRECT_HEADWORD"/>
    <x:cfRule type="containsText" dxfId="245" priority="4" operator="containsText" text="TECHNICAL_GLOSSARY"/>
    <x:cfRule type="containsText" dxfId="246" priority="5" operator="containsText" text="ZERO"/>
    <x:cfRule type="containsText" dxfId="247" priority="6" operator="containsText" text="UNRESOLVED"/>
    <x:cfRule type="containsText" dxfId="248" priority="7" operator="containsText" text="PENDING"/>
    <x:cfRule type="containsText" dxfId="249" priority="8" operator="containsText" text="NOT_EXPOSED"/>
    <x:cfRule type="containsText" dxfId="250" priority="9" operator="containsText" text="NOT_ANNOTATED"/>
    <x:cfRule type="containsText" dxfId="251" priority="10" operator="containsText" text="NOT_LOCATED"/>
    <x:cfRule type="containsText" dxfId="252" priority="11" operator="containsText" text="NOT_APPLICABLE"/>
  </x:conditionalFormatting>
  <x:pageMargins left="0.7" right="0.7" top="0.75" bottom="0.75" header="0.3" footer="0.3"/>
  <x:tableParts count="1">
    <x:tablePart xmlns:r="http://schemas.openxmlformats.org/officeDocument/2006/relationships" r:id="Rf463403477374143"/>
  </x:tableParts>
</x:worksheet>
</file>