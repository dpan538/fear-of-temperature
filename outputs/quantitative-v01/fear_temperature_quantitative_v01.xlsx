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9355a67b0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Frequency" sheetId="1" r:id="Rc899b8c7f6f6483b"/>
    <x:sheet xmlns:r="http://schemas.openxmlformats.org/officeDocument/2006/relationships" name="Anchor Matrix" sheetId="2" r:id="R16b72bc0908f4afb"/>
    <x:sheet xmlns:r="http://schemas.openxmlformats.org/officeDocument/2006/relationships" name="Family Summary" sheetId="3" r:id="Rd0c2a9196cd14350"/>
    <x:sheet xmlns:r="http://schemas.openxmlformats.org/officeDocument/2006/relationships" name="Query Audit" sheetId="4" r:id="Rbabe4a34d21a49a6"/>
    <x:sheet xmlns:r="http://schemas.openxmlformats.org/officeDocument/2006/relationships" name="Ngram Status" sheetId="5" r:id="R3690da28f3374617"/>
    <x:sheet xmlns:r="http://schemas.openxmlformats.org/officeDocument/2006/relationships" name="Voice Matrix" sheetId="6" r:id="R36ea6e28bf1a44ed"/>
    <x:sheet xmlns:r="http://schemas.openxmlformats.org/officeDocument/2006/relationships" name="Seed Ledger" sheetId="7" r:id="R3f50beaf86eb4409"/>
    <x:sheet xmlns:r="http://schemas.openxmlformats.org/officeDocument/2006/relationships" name="Summary" sheetId="8" r:id="Rdb8a25176085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E+00"/>
    <x:numFmt numFmtId="201" formatCode="yyyy-mm-dd hh:mm:ss"/>
    <x:numFmt numFmtId="202" formatCode="0.000"/>
  </x:numFmts>
  <x:fonts count="18">
    <x:font>
      <x:sz val="11"/>
      <x:name val="Carlito"/>
    </x:font>
    <x:font>
      <x:sz val="9"/>
      <x:color rgb="FF243B53"/>
      <x:name val="Arial"/>
    </x:font>
    <x:font>
      <x:b/>
      <x:sz val="9"/>
      <x:color rgb="FFFFFFFF"/>
      <x:name val="Arial"/>
    </x:font>
    <x:font>
      <x:b/>
      <x:sz val="22"/>
      <x:color rgb="FFFFFFFF"/>
      <x:name val="Arial"/>
    </x:font>
    <x:font>
      <x:i/>
      <x:sz val="11"/>
      <x:color rgb="FF17324D"/>
      <x:name val="Arial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243B53"/>
      <x:name val="Carlito"/>
    </x:font>
    <x:font>
      <x:sz val="11"/>
      <x:color rgb="FF7B341E"/>
      <x:name val="Carlito"/>
    </x:font>
    <x:font>
      <x:b/>
      <x:sz val="11"/>
      <x:color rgb="FF102A43"/>
      <x:name val="Carlito"/>
    </x:font>
    <x:font>
      <x:i/>
      <x:sz val="11"/>
      <x:color rgb="FF7B5B12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sz val="11"/>
      <x:color rgb="FF243B53"/>
      <x:name val="Arial"/>
    </x:font>
    <x:font>
      <x:sz val="11"/>
      <x:color rgb="FF7B341E"/>
      <x:name val="Arial"/>
    </x:font>
    <x:font>
      <x:b/>
      <x:sz val="11"/>
      <x:color rgb="FF102A43"/>
      <x:name val="Arial"/>
    </x:font>
    <x:font>
      <x:i/>
      <x:sz val="11"/>
      <x:color rgb="FF7B5B12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0"/>
      </x:patternFill>
    </x:fill>
    <x:fill>
      <x:patternFill patternType="solid">
        <x:fgColor rgb="FF0B6E75"/>
      </x:patternFill>
    </x:fill>
    <x:fill>
      <x:patternFill patternType="solid">
        <x:fgColor rgb="FFEEF4F7"/>
      </x:patternFill>
    </x:fill>
    <x:fill>
      <x:patternFill patternType="solid">
        <x:fgColor rgb="FF6B5CA5"/>
      </x:patternFill>
    </x:fill>
    <x:fill>
      <x:patternFill patternType="solid">
        <x:fgColor rgb="FFF3F0F8"/>
      </x:patternFill>
    </x:fill>
    <x:fill>
      <x:patternFill patternType="solid">
        <x:fgColor rgb="FFC65D3B"/>
      </x:patternFill>
    </x:fill>
    <x:fill>
      <x:patternFill patternType="solid">
        <x:fgColor rgb="FFFFF3EC"/>
      </x:patternFill>
    </x:fill>
    <x:fill>
      <x:patternFill patternType="solid">
        <x:fgColor rgb="FFD49B28"/>
      </x:patternFill>
    </x:fill>
    <x:fill>
      <x:patternFill patternType="solid">
        <x:fgColor rgb="FFFFF8E7"/>
      </x:patternFill>
    </x:fill>
  </x:fills>
  <x:borders count="40">
    <x:border/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bottom style="thin">
        <x:color rgb="FFE8EEF3"/>
      </x:bottom>
    </x:border>
    <x:border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top style="thin">
        <x:color rgb="FFE8EEF3"/>
      </x:top>
      <x:bottom style="thin">
        <x:color rgb="FFE8EEF3"/>
      </x:bottom>
    </x:border>
    <x:border>
      <x:right style="thin">
        <x:color rgb="FFE8EEF3"/>
      </x:right>
      <x:top style="thin">
        <x:color rgb="FFE8EEF3"/>
      </x:top>
    </x:border>
    <x:border>
      <x:left style="thin">
        <x:color rgb="FFE8EEF3"/>
      </x:left>
      <x:right style="thin">
        <x:color rgb="FFE8EEF3"/>
      </x:right>
      <x:top style="thin">
        <x:color rgb="FFE8EEF3"/>
      </x:top>
    </x:border>
    <x:border>
      <x:left style="thin">
        <x:color rgb="FFE8EEF3"/>
      </x:left>
      <x:top style="thin">
        <x:color rgb="FFE8EEF3"/>
      </x:top>
    </x:border>
    <x:border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bottom style="thin">
        <x:color rgb="FFE8EEF3"/>
      </x:bottom>
    </x:border>
    <x:border>
      <x:left style="thin">
        <x:color rgb="FFE8EEF3"/>
      </x:left>
      <x:bottom style="thin">
        <x:color rgb="FFE8EEF3"/>
      </x:bottom>
    </x:border>
    <x:border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E8EEF3"/>
      </x:bottom>
    </x:border>
    <x:border>
      <x:left style="thin">
        <x:color rgb="FFE8EEF3"/>
      </x:left>
      <x:top style="thin">
        <x:color rgb="FFE8EEF3"/>
      </x:top>
      <x:bottom style="thin">
        <x:color rgb="FFE8EEF3"/>
      </x:bottom>
    </x:border>
    <x:border>
      <x:right style="thin">
        <x:color rgb="FFE8EEF3"/>
      </x:right>
      <x:top style="thin">
        <x:color rgb="FFE8EEF3"/>
      </x:top>
    </x:border>
    <x:border>
      <x:left style="thin">
        <x:color rgb="FFE8EEF3"/>
      </x:left>
      <x:right style="thin">
        <x:color rgb="FFE8EEF3"/>
      </x:right>
      <x:top style="thin">
        <x:color rgb="FFE8EEF3"/>
      </x:top>
    </x:border>
    <x:border>
      <x:left style="thin">
        <x:color rgb="FFE8EEF3"/>
      </x:left>
      <x:top style="thin">
        <x:color rgb="FFE8EEF3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D8D0E7"/>
      </x:left>
      <x:right style="thin">
        <x:color rgb="FFD8D0E7"/>
      </x:right>
      <x:top style="thin">
        <x:color rgb="FFD8D0E7"/>
      </x:top>
      <x:bottom style="thin">
        <x:color rgb="FFD8D0E7"/>
      </x:bottom>
    </x:border>
    <x:border>
      <x:left style="thin">
        <x:color rgb="FFD8D0E7"/>
      </x:left>
      <x:right style="thin">
        <x:color rgb="FFD8D0E7"/>
      </x:right>
      <x:top style="thin">
        <x:color rgb="FFD8D0E7"/>
      </x:top>
      <x:bottom style="thin">
        <x:color rgb="FFD8D0E7"/>
      </x:bottom>
    </x:border>
    <x:border>
      <x:left style="thin">
        <x:color rgb="FFE9C2AE"/>
      </x:left>
      <x:right style="thin">
        <x:color rgb="FFE9C2AE"/>
      </x:right>
      <x:top style="thin">
        <x:color rgb="FFE9C2AE"/>
      </x:top>
      <x:bottom style="thin">
        <x:color rgb="FFE9C2AE"/>
      </x:bottom>
    </x:border>
    <x:border>
      <x:left style="thin">
        <x:color rgb="FFE9C2AE"/>
      </x:left>
      <x:right style="thin">
        <x:color rgb="FFE9C2AE"/>
      </x:right>
      <x:top style="thin">
        <x:color rgb="FFE9C2AE"/>
      </x:top>
      <x:bottom style="thin">
        <x:color rgb="FFE9C2AE"/>
      </x:bottom>
    </x:border>
    <x:border>
      <x:left style="thin">
        <x:color rgb="FFD49B28"/>
      </x:left>
      <x:top style="thin">
        <x:color rgb="FFD49B28"/>
      </x:top>
    </x:border>
    <x:border>
      <x:right style="thin">
        <x:color rgb="FFD49B28"/>
      </x:right>
      <x:top style="thin">
        <x:color rgb="FFD49B28"/>
      </x:top>
    </x:border>
    <x:border>
      <x:left style="thin">
        <x:color rgb="FFD49B28"/>
      </x:left>
    </x:border>
    <x:border>
      <x:right style="thin">
        <x:color rgb="FFD49B28"/>
      </x:right>
    </x:border>
    <x:border>
      <x:left style="thin">
        <x:color rgb="FFD49B28"/>
      </x:left>
      <x:bottom style="thin">
        <x:color rgb="FFD49B28"/>
      </x:bottom>
    </x:border>
    <x:border>
      <x:right style="thin">
        <x:color rgb="FFD49B28"/>
      </x:right>
      <x:bottom style="thin">
        <x:color rgb="FFD49B28"/>
      </x:bottom>
    </x:border>
    <x:border>
      <x:left style="thin">
        <x:color rgb="FFD49B28"/>
      </x:left>
      <x:top style="thin">
        <x:color rgb="FFD49B28"/>
      </x:top>
    </x:border>
    <x:border>
      <x:right style="thin">
        <x:color rgb="FFD49B28"/>
      </x:right>
      <x:top style="thin">
        <x:color rgb="FFD49B28"/>
      </x:top>
    </x:border>
    <x:border>
      <x:left style="thin">
        <x:color rgb="FFD49B28"/>
      </x:left>
    </x:border>
    <x:border>
      <x:right style="thin">
        <x:color rgb="FFD49B28"/>
      </x:right>
    </x:border>
    <x:border>
      <x:left style="thin">
        <x:color rgb="FFD49B28"/>
      </x:left>
      <x:bottom style="thin">
        <x:color rgb="FFD49B28"/>
      </x:bottom>
    </x:border>
    <x:border>
      <x:right style="thin">
        <x:color rgb="FFD49B28"/>
      </x:right>
      <x:bottom style="thin">
        <x:color rgb="FFD49B28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4" xfId="0" applyNumberFormat="1" applyFont="1" applyFill="1" applyBorder="1"/>
    <x:xf numFmtId="200" fontId="1" fillId="0" borderId="14" xfId="0" applyNumberFormat="1" applyFont="1" applyFill="1" applyBorder="1"/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7" xfId="0" applyNumberFormat="1" applyFont="1" applyFill="1" applyBorder="1"/>
    <x:xf numFmtId="200" fontId="1" fillId="0" borderId="17" xfId="0" applyNumberFormat="1" applyFont="1" applyFill="1" applyBorder="1"/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0" xfId="0" applyNumberFormat="1" applyFont="1" applyFill="1" applyBorder="1"/>
    <x:xf numFmtId="200" fontId="1" fillId="0" borderId="20" xfId="0" applyNumberFormat="1" applyFont="1" applyFill="1" applyBorder="1"/>
    <x:xf numFmtId="0" fontId="1" fillId="0" borderId="21" xfId="0" applyNumberFormat="1" applyFont="1" applyFill="1" applyBorder="1" applyAlignment="1">
      <x:alignment wrapText="1"/>
    </x:xf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15" xfId="0" applyNumberFormat="1" applyFont="1" applyFill="1" applyBorder="1"/>
    <x:xf numFmtId="0" fontId="1" fillId="0" borderId="18" xfId="0" applyNumberFormat="1" applyFont="1" applyFill="1" applyBorder="1"/>
    <x:xf numFmtId="0" fontId="1" fillId="0" borderId="2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1" fontId="1" fillId="0" borderId="11" xfId="0" applyNumberFormat="1" applyFont="1" applyFill="1" applyBorder="1"/>
    <x:xf numFmtId="201" fontId="1" fillId="0" borderId="14" xfId="0" applyNumberFormat="1" applyFont="1" applyFill="1" applyBorder="1"/>
    <x:xf numFmtId="201" fontId="1" fillId="0" borderId="17" xfId="0" applyNumberFormat="1" applyFont="1" applyFill="1" applyBorder="1"/>
    <x:xf numFmtId="201" fontId="1" fillId="0" borderId="2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24" xfId="0" applyNumberFormat="1" applyFont="1" applyFill="1" applyBorder="1"/>
    <x:xf numFmtId="0" fontId="7" fillId="8" borderId="25" xfId="0" applyNumberFormat="1" applyFont="1" applyFill="1" applyBorder="1"/>
    <x:xf numFmtId="0" fontId="7" fillId="8" borderId="24" xfId="0" applyNumberFormat="1" applyFont="1" applyFill="1" applyBorder="1" applyAlignment="1">
      <x:alignment wrapText="1"/>
    </x:xf>
    <x:xf numFmtId="0" fontId="7" fillId="8" borderId="2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8" fillId="10" borderId="0" xfId="0" applyNumberFormat="1" applyFont="1" applyFill="1" applyBorder="1"/>
    <x:xf numFmtId="0" fontId="8" fillId="10" borderId="1" xfId="0" applyNumberFormat="1" applyFont="1" applyFill="1" applyBorder="1"/>
    <x:xf numFmtId="0" fontId="8" fillId="10" borderId="26" xfId="0" applyNumberFormat="1" applyFont="1" applyFill="1" applyBorder="1"/>
    <x:xf numFmtId="0" fontId="8" fillId="10" borderId="27" xfId="0" applyNumberFormat="1" applyFont="1" applyFill="1" applyBorder="1"/>
    <x:xf numFmtId="0" fontId="8" fillId="10" borderId="26" xfId="0" applyNumberFormat="1" applyFont="1" applyFill="1" applyBorder="1" applyAlignment="1">
      <x:alignment wrapText="1"/>
    </x:xf>
    <x:xf numFmtId="0" fontId="8" fillId="10" borderId="27" xfId="0" applyNumberFormat="1" applyFont="1" applyFill="1" applyBorder="1" applyAlignment="1">
      <x:alignment wrapText="1"/>
    </x:xf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9" fillId="11" borderId="0" xfId="0" applyNumberFormat="1" applyFont="1" applyFill="1" applyBorder="1"/>
    <x:xf numFmtId="0" fontId="9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10" fillId="12" borderId="0" xfId="0" applyNumberFormat="1" applyFont="1" applyFill="1" applyBorder="1"/>
    <x:xf numFmtId="0" fontId="10" fillId="12" borderId="1" xfId="0" applyNumberFormat="1" applyFont="1" applyFill="1" applyBorder="1"/>
    <x:xf numFmtId="0" fontId="10" fillId="12" borderId="28" xfId="0" applyNumberFormat="1" applyFont="1" applyFill="1" applyBorder="1"/>
    <x:xf numFmtId="0" fontId="10" fillId="12" borderId="29" xfId="0" applyNumberFormat="1" applyFont="1" applyFill="1" applyBorder="1"/>
    <x:xf numFmtId="0" fontId="10" fillId="12" borderId="30" xfId="0" applyNumberFormat="1" applyFont="1" applyFill="1" applyBorder="1"/>
    <x:xf numFmtId="0" fontId="10" fillId="12" borderId="31" xfId="0" applyNumberFormat="1" applyFont="1" applyFill="1" applyBorder="1"/>
    <x:xf numFmtId="0" fontId="10" fillId="12" borderId="32" xfId="0" applyNumberFormat="1" applyFont="1" applyFill="1" applyBorder="1"/>
    <x:xf numFmtId="0" fontId="10" fillId="12" borderId="33" xfId="0" applyNumberFormat="1" applyFont="1" applyFill="1" applyBorder="1"/>
    <x:xf numFmtId="0" fontId="10" fillId="12" borderId="34" xfId="0" applyNumberFormat="1" applyFont="1" applyFill="1" applyBorder="1"/>
    <x:xf numFmtId="0" fontId="10" fillId="12" borderId="35" xfId="0" applyNumberFormat="1" applyFont="1" applyFill="1" applyBorder="1"/>
    <x:xf numFmtId="0" fontId="10" fillId="12" borderId="36" xfId="0" applyNumberFormat="1" applyFont="1" applyFill="1" applyBorder="1"/>
    <x:xf numFmtId="0" fontId="10" fillId="12" borderId="37" xfId="0" applyNumberFormat="1" applyFont="1" applyFill="1" applyBorder="1"/>
    <x:xf numFmtId="0" fontId="10" fillId="12" borderId="38" xfId="0" applyNumberFormat="1" applyFont="1" applyFill="1" applyBorder="1"/>
    <x:xf numFmtId="0" fontId="10" fillId="12" borderId="39" xfId="0" applyNumberFormat="1" applyFont="1" applyFill="1" applyBorder="1"/>
    <x:xf numFmtId="0" fontId="10" fillId="12" borderId="28" xfId="0" applyNumberFormat="1" applyFont="1" applyFill="1" applyBorder="1" applyAlignment="1">
      <x:alignment wrapText="1"/>
    </x:xf>
    <x:xf numFmtId="0" fontId="10" fillId="12" borderId="29" xfId="0" applyNumberFormat="1" applyFont="1" applyFill="1" applyBorder="1" applyAlignment="1">
      <x:alignment wrapText="1"/>
    </x:xf>
    <x:xf numFmtId="0" fontId="10" fillId="12" borderId="30" xfId="0" applyNumberFormat="1" applyFont="1" applyFill="1" applyBorder="1" applyAlignment="1">
      <x:alignment wrapText="1"/>
    </x:xf>
    <x:xf numFmtId="0" fontId="10" fillId="12" borderId="31" xfId="0" applyNumberFormat="1" applyFont="1" applyFill="1" applyBorder="1" applyAlignment="1">
      <x:alignment wrapText="1"/>
    </x:xf>
    <x:xf numFmtId="0" fontId="10" fillId="12" borderId="32" xfId="0" applyNumberFormat="1" applyFont="1" applyFill="1" applyBorder="1" applyAlignment="1">
      <x:alignment wrapText="1"/>
    </x:xf>
    <x:xf numFmtId="0" fontId="10" fillId="12" borderId="33" xfId="0" applyNumberFormat="1" applyFont="1" applyFill="1" applyBorder="1" applyAlignment="1">
      <x:alignment wrapText="1"/>
    </x:xf>
    <x:xf numFmtId="0" fontId="10" fillId="12" borderId="34" xfId="0" applyNumberFormat="1" applyFont="1" applyFill="1" applyBorder="1" applyAlignment="1">
      <x:alignment wrapText="1"/>
    </x:xf>
    <x:xf numFmtId="0" fontId="10" fillId="12" borderId="35" xfId="0" applyNumberFormat="1" applyFont="1" applyFill="1" applyBorder="1" applyAlignment="1">
      <x:alignment wrapText="1"/>
    </x:xf>
    <x:xf numFmtId="0" fontId="10" fillId="12" borderId="36" xfId="0" applyNumberFormat="1" applyFont="1" applyFill="1" applyBorder="1" applyAlignment="1">
      <x:alignment wrapText="1"/>
    </x:xf>
    <x:xf numFmtId="0" fontId="10" fillId="12" borderId="37" xfId="0" applyNumberFormat="1" applyFont="1" applyFill="1" applyBorder="1" applyAlignment="1">
      <x:alignment wrapText="1"/>
    </x:xf>
    <x:xf numFmtId="0" fontId="10" fillId="12" borderId="38" xfId="0" applyNumberFormat="1" applyFont="1" applyFill="1" applyBorder="1" applyAlignment="1">
      <x:alignment wrapText="1"/>
    </x:xf>
    <x:xf numFmtId="0" fontId="10" fillId="12" borderId="39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5" borderId="0" xfId="0" applyNumberFormat="1" applyFont="1" applyFill="1" applyBorder="1"/>
    <x:xf numFmtId="0" fontId="12" fillId="7" borderId="0" xfId="0" applyNumberFormat="1" applyFont="1" applyFill="1" applyBorder="1"/>
    <x:xf numFmtId="0" fontId="13" fillId="6" borderId="22" xfId="0" applyNumberFormat="1" applyFont="1" applyFill="1" applyBorder="1"/>
    <x:xf numFmtId="0" fontId="11" fillId="0" borderId="22" xfId="0" applyNumberFormat="1" applyFont="1" applyFill="1" applyBorder="1"/>
    <x:xf numFmtId="0" fontId="14" fillId="8" borderId="24" xfId="0" applyNumberFormat="1" applyFont="1" applyFill="1" applyBorder="1" applyAlignment="1">
      <x:alignment wrapText="1"/>
    </x:xf>
    <x:xf numFmtId="0" fontId="12" fillId="9" borderId="0" xfId="0" applyNumberFormat="1" applyFont="1" applyFill="1" applyBorder="1"/>
    <x:xf numFmtId="0" fontId="15" fillId="10" borderId="26" xfId="0" applyNumberFormat="1" applyFont="1" applyFill="1" applyBorder="1" applyAlignment="1">
      <x:alignment wrapText="1"/>
    </x:xf>
    <x:xf numFmtId="0" fontId="12" fillId="5" borderId="22" xfId="0" applyNumberFormat="1" applyFont="1" applyFill="1" applyBorder="1"/>
    <x:xf numFmtId="202" fontId="11" fillId="0" borderId="22" xfId="0" applyNumberFormat="1" applyFont="1" applyFill="1" applyBorder="1"/>
    <x:xf numFmtId="0" fontId="16" fillId="11" borderId="0" xfId="0" applyNumberFormat="1" applyFont="1" applyFill="1" applyBorder="1"/>
    <x:xf numFmtId="0" fontId="17" fillId="12" borderId="28" xfId="0" applyNumberFormat="1" applyFont="1" applyFill="1" applyBorder="1" applyAlignment="1">
      <x:alignment wrapText="1"/>
    </x:xf>
    <x:xf numFmtId="0" fontId="17" fillId="12" borderId="29" xfId="0" applyNumberFormat="1" applyFont="1" applyFill="1" applyBorder="1" applyAlignment="1">
      <x:alignment wrapText="1"/>
    </x:xf>
    <x:xf numFmtId="0" fontId="17" fillId="12" borderId="30" xfId="0" applyNumberFormat="1" applyFont="1" applyFill="1" applyBorder="1" applyAlignment="1">
      <x:alignment wrapText="1"/>
    </x:xf>
    <x:xf numFmtId="0" fontId="17" fillId="12" borderId="31" xfId="0" applyNumberFormat="1" applyFont="1" applyFill="1" applyBorder="1" applyAlignment="1">
      <x:alignment wrapText="1"/>
    </x:xf>
    <x:xf numFmtId="0" fontId="17" fillId="12" borderId="32" xfId="0" applyNumberFormat="1" applyFont="1" applyFill="1" applyBorder="1" applyAlignment="1">
      <x:alignment wrapText="1"/>
    </x:xf>
    <x:xf numFmtId="0" fontId="17" fillId="12" borderId="33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2" fillId="5" borderId="1" xfId="0" applyNumberFormat="1" applyFont="1" applyFill="1" applyBorder="1"/>
    <x:xf numFmtId="0" fontId="12" fillId="7" borderId="1" xfId="0" applyNumberFormat="1" applyFont="1" applyFill="1" applyBorder="1"/>
    <x:xf numFmtId="0" fontId="13" fillId="6" borderId="23" xfId="0" applyNumberFormat="1" applyFont="1" applyFill="1" applyBorder="1"/>
    <x:xf numFmtId="0" fontId="11" fillId="0" borderId="23" xfId="0" applyNumberFormat="1" applyFont="1" applyFill="1" applyBorder="1"/>
    <x:xf numFmtId="0" fontId="14" fillId="8" borderId="25" xfId="0" applyNumberFormat="1" applyFont="1" applyFill="1" applyBorder="1" applyAlignment="1">
      <x:alignment wrapText="1"/>
    </x:xf>
    <x:xf numFmtId="0" fontId="12" fillId="9" borderId="1" xfId="0" applyNumberFormat="1" applyFont="1" applyFill="1" applyBorder="1"/>
    <x:xf numFmtId="0" fontId="15" fillId="10" borderId="27" xfId="0" applyNumberFormat="1" applyFont="1" applyFill="1" applyBorder="1" applyAlignment="1">
      <x:alignment wrapText="1"/>
    </x:xf>
    <x:xf numFmtId="0" fontId="12" fillId="5" borderId="23" xfId="0" applyNumberFormat="1" applyFont="1" applyFill="1" applyBorder="1"/>
    <x:xf numFmtId="202" fontId="11" fillId="0" borderId="23" xfId="0" applyNumberFormat="1" applyFont="1" applyFill="1" applyBorder="1"/>
    <x:xf numFmtId="0" fontId="16" fillId="11" borderId="1" xfId="0" applyNumberFormat="1" applyFont="1" applyFill="1" applyBorder="1"/>
    <x:xf numFmtId="0" fontId="17" fillId="12" borderId="34" xfId="0" applyNumberFormat="1" applyFont="1" applyFill="1" applyBorder="1" applyAlignment="1">
      <x:alignment wrapText="1"/>
    </x:xf>
    <x:xf numFmtId="0" fontId="17" fillId="12" borderId="35" xfId="0" applyNumberFormat="1" applyFont="1" applyFill="1" applyBorder="1" applyAlignment="1">
      <x:alignment wrapText="1"/>
    </x:xf>
    <x:xf numFmtId="0" fontId="17" fillId="12" borderId="36" xfId="0" applyNumberFormat="1" applyFont="1" applyFill="1" applyBorder="1" applyAlignment="1">
      <x:alignment wrapText="1"/>
    </x:xf>
    <x:xf numFmtId="0" fontId="17" fillId="12" borderId="37" xfId="0" applyNumberFormat="1" applyFont="1" applyFill="1" applyBorder="1" applyAlignment="1">
      <x:alignment wrapText="1"/>
    </x:xf>
    <x:xf numFmtId="0" fontId="17" fillId="12" borderId="38" xfId="0" applyNumberFormat="1" applyFont="1" applyFill="1" applyBorder="1" applyAlignment="1">
      <x:alignment wrapText="1"/>
    </x:xf>
    <x:xf numFmtId="0" fontId="17" fillId="12" borderId="39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3" fillId="6" borderId="22" xfId="0" applyNumberFormat="1" applyFont="1" applyFill="1" applyBorder="1" applyAlignment="1">
      <x:alignment vertical="center"/>
    </x:xf>
    <x:xf numFmtId="0" fontId="11" fillId="0" borderId="22" xfId="0" applyNumberFormat="1" applyFont="1" applyFill="1" applyBorder="1" applyAlignment="1">
      <x:alignment vertical="center"/>
    </x:xf>
    <x:xf numFmtId="0" fontId="14" fillId="8" borderId="24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/>
    </x:xf>
    <x:xf numFmtId="0" fontId="15" fillId="10" borderId="26" xfId="0" applyNumberFormat="1" applyFont="1" applyFill="1" applyBorder="1" applyAlignment="1">
      <x:alignment vertical="center" wrapText="1"/>
    </x:xf>
    <x:xf numFmtId="0" fontId="12" fillId="5" borderId="22" xfId="0" applyNumberFormat="1" applyFont="1" applyFill="1" applyBorder="1" applyAlignment="1">
      <x:alignment vertical="center"/>
    </x:xf>
    <x:xf numFmtId="202" fontId="11" fillId="0" borderId="22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vertical="center"/>
    </x:xf>
    <x:xf numFmtId="0" fontId="17" fillId="12" borderId="28" xfId="0" applyNumberFormat="1" applyFont="1" applyFill="1" applyBorder="1" applyAlignment="1">
      <x:alignment vertical="center" wrapText="1"/>
    </x:xf>
    <x:xf numFmtId="0" fontId="17" fillId="12" borderId="29" xfId="0" applyNumberFormat="1" applyFont="1" applyFill="1" applyBorder="1" applyAlignment="1">
      <x:alignment vertical="center" wrapText="1"/>
    </x:xf>
    <x:xf numFmtId="0" fontId="17" fillId="12" borderId="30" xfId="0" applyNumberFormat="1" applyFont="1" applyFill="1" applyBorder="1" applyAlignment="1">
      <x:alignment vertical="center" wrapText="1"/>
    </x:xf>
    <x:xf numFmtId="0" fontId="17" fillId="12" borderId="31" xfId="0" applyNumberFormat="1" applyFont="1" applyFill="1" applyBorder="1" applyAlignment="1">
      <x:alignment vertical="center" wrapText="1"/>
    </x:xf>
    <x:xf numFmtId="0" fontId="17" fillId="12" borderId="32" xfId="0" applyNumberFormat="1" applyFont="1" applyFill="1" applyBorder="1" applyAlignment="1">
      <x:alignment vertical="center" wrapText="1"/>
    </x:xf>
    <x:xf numFmtId="0" fontId="17" fillId="12" borderId="33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/>
    </x:xf>
    <x:xf numFmtId="0" fontId="12" fillId="7" borderId="1" xfId="0" applyNumberFormat="1" applyFont="1" applyFill="1" applyBorder="1" applyAlignment="1">
      <x:alignment vertical="center"/>
    </x:xf>
    <x:xf numFmtId="0" fontId="13" fillId="6" borderId="23" xfId="0" applyNumberFormat="1" applyFont="1" applyFill="1" applyBorder="1" applyAlignment="1">
      <x:alignment vertical="center"/>
    </x:xf>
    <x:xf numFmtId="0" fontId="11" fillId="0" borderId="23" xfId="0" applyNumberFormat="1" applyFont="1" applyFill="1" applyBorder="1" applyAlignment="1">
      <x:alignment vertical="center"/>
    </x:xf>
    <x:xf numFmtId="0" fontId="14" fillId="8" borderId="25" xfId="0" applyNumberFormat="1" applyFont="1" applyFill="1" applyBorder="1" applyAlignment="1">
      <x:alignment vertical="center" wrapText="1"/>
    </x:xf>
    <x:xf numFmtId="0" fontId="12" fillId="9" borderId="1" xfId="0" applyNumberFormat="1" applyFont="1" applyFill="1" applyBorder="1" applyAlignment="1">
      <x:alignment vertical="center"/>
    </x:xf>
    <x:xf numFmtId="0" fontId="15" fillId="10" borderId="27" xfId="0" applyNumberFormat="1" applyFont="1" applyFill="1" applyBorder="1" applyAlignment="1">
      <x:alignment vertical="center" wrapText="1"/>
    </x:xf>
    <x:xf numFmtId="0" fontId="12" fillId="5" borderId="23" xfId="0" applyNumberFormat="1" applyFont="1" applyFill="1" applyBorder="1" applyAlignment="1">
      <x:alignment vertical="center"/>
    </x:xf>
    <x:xf numFmtId="202" fontId="11" fillId="0" borderId="23" xfId="0" applyNumberFormat="1" applyFont="1" applyFill="1" applyBorder="1" applyAlignment="1">
      <x:alignment vertical="center"/>
    </x:xf>
    <x:xf numFmtId="0" fontId="16" fillId="11" borderId="1" xfId="0" applyNumberFormat="1" applyFont="1" applyFill="1" applyBorder="1" applyAlignment="1">
      <x:alignment vertical="center"/>
    </x:xf>
    <x:xf numFmtId="0" fontId="17" fillId="12" borderId="34" xfId="0" applyNumberFormat="1" applyFont="1" applyFill="1" applyBorder="1" applyAlignment="1">
      <x:alignment vertical="center" wrapText="1"/>
    </x:xf>
    <x:xf numFmtId="0" fontId="17" fillId="12" borderId="35" xfId="0" applyNumberFormat="1" applyFont="1" applyFill="1" applyBorder="1" applyAlignment="1">
      <x:alignment vertical="center" wrapText="1"/>
    </x:xf>
    <x:xf numFmtId="0" fontId="17" fillId="12" borderId="36" xfId="0" applyNumberFormat="1" applyFont="1" applyFill="1" applyBorder="1" applyAlignment="1">
      <x:alignment vertical="center" wrapText="1"/>
    </x:xf>
    <x:xf numFmtId="0" fontId="17" fillId="12" borderId="37" xfId="0" applyNumberFormat="1" applyFont="1" applyFill="1" applyBorder="1" applyAlignment="1">
      <x:alignment vertical="center" wrapText="1"/>
    </x:xf>
    <x:xf numFmtId="0" fontId="17" fillId="12" borderId="38" xfId="0" applyNumberFormat="1" applyFont="1" applyFill="1" applyBorder="1" applyAlignment="1">
      <x:alignment vertical="center" wrapText="1"/>
    </x:xf>
    <x:xf numFmtId="0" fontId="17" fillId="12" borderId="39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6" borderId="22" xfId="0" applyNumberFormat="1" applyFont="1" applyFill="1" applyBorder="1" applyAlignment="1">
      <x:alignment vertical="center" wrapText="1"/>
    </x:xf>
    <x:xf numFmtId="0" fontId="11" fillId="0" borderId="2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5" borderId="22" xfId="0" applyNumberFormat="1" applyFont="1" applyFill="1" applyBorder="1" applyAlignment="1">
      <x:alignment vertical="center" wrapText="1"/>
    </x:xf>
    <x:xf numFmtId="202" fontId="11" fillId="0" borderId="22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77b26e9ce44a7" /><Relationship Type="http://schemas.openxmlformats.org/officeDocument/2006/relationships/theme" Target="/xl/theme/theme1.xml" Id="Rc26c428add2a4e31" /><Relationship Type="http://schemas.openxmlformats.org/officeDocument/2006/relationships/sharedStrings" Target="/xl/sharedStrings.xml" Id="Raf6242c6ab524cc0" /><Relationship Type="http://schemas.openxmlformats.org/officeDocument/2006/relationships/worksheet" Target="/xl/worksheets/sheet1.xml" Id="Rc899b8c7f6f6483b" /><Relationship Type="http://schemas.openxmlformats.org/officeDocument/2006/relationships/worksheet" Target="/xl/worksheets/sheet2.xml" Id="R16b72bc0908f4afb" /><Relationship Type="http://schemas.openxmlformats.org/officeDocument/2006/relationships/worksheet" Target="/xl/worksheets/sheet3.xml" Id="Rd0c2a9196cd14350" /><Relationship Type="http://schemas.openxmlformats.org/officeDocument/2006/relationships/worksheet" Target="/xl/worksheets/sheet4.xml" Id="Rbabe4a34d21a49a6" /><Relationship Type="http://schemas.openxmlformats.org/officeDocument/2006/relationships/worksheet" Target="/xl/worksheets/sheet5.xml" Id="R3690da28f3374617" /><Relationship Type="http://schemas.openxmlformats.org/officeDocument/2006/relationships/worksheet" Target="/xl/worksheets/sheet6.xml" Id="R36ea6e28bf1a44ed" /><Relationship Type="http://schemas.openxmlformats.org/officeDocument/2006/relationships/worksheet" Target="/xl/worksheets/sheet7.xml" Id="R3f50beaf86eb4409" /><Relationship Type="http://schemas.openxmlformats.org/officeDocument/2006/relationships/worksheet" Target="/xl/worksheets/sheet8.xml" Id="Rdb8a251760854d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cb05d780b242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Modern climate-specific compounds in 2022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2022 per million</c:v>
          </c:tx>
          <c:cat>
            <c:strRef>
              <c:f>'Summary'!$A$25:$A$28</c:f>
              <c:strCache>
                <c:ptCount val="0"/>
              </c:strCache>
            </c:strRef>
          </c:cat>
          <c:val>
            <c:numRef>
              <c:f>'Summary'!$B$25:$B$28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cb05d780b242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bf136714ae041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5" hidden="0" customWidth="1"/>
    <x:col min="27" max="27" width="15" hidden="0" customWidth="1"/>
    <x:col min="28" max="28" width="15" hidden="0" customWidth="1"/>
    <x:col min="29" max="29" width="42" hidden="0" customWidth="1"/>
  </x:cols>
  <x:sheetData>
    <x:row r="1" ht="34" customHeight="1">
      <x:c r="A1" s="12" t="str">
        <x:v>query_id</x:v>
      </x:c>
      <x:c r="B1" s="12" t="str">
        <x:v>surface_form</x:v>
      </x:c>
      <x:c r="C1" s="12" t="str">
        <x:v>canonical_concept</x:v>
      </x:c>
      <x:c r="D1" s="12" t="str">
        <x:v>lexical_family</x:v>
      </x:c>
      <x:c r="E1" s="12" t="str">
        <x:v>primary_layer</x:v>
      </x:c>
      <x:c r="F1" s="12" t="str">
        <x:v>query_classification</x:v>
      </x:c>
      <x:c r="G1" s="12" t="str">
        <x:v>ambiguity_class</x:v>
      </x:c>
      <x:c r="H1" s="12" t="str">
        <x:v>corpus</x:v>
      </x:c>
      <x:c r="I1" s="12" t="str">
        <x:v>corpus_version</x:v>
      </x:c>
      <x:c r="J1" s="12" t="str">
        <x:v>year_start</x:v>
      </x:c>
      <x:c r="K1" s="12" t="str">
        <x:v>year_end</x:v>
      </x:c>
      <x:c r="L1" s="12" t="str">
        <x:v>first_nonzero_year</x:v>
      </x:c>
      <x:c r="M1" s="12" t="str">
        <x:v>nonzero_year_count</x:v>
      </x:c>
      <x:c r="N1" s="12" t="str">
        <x:v>peak_year</x:v>
      </x:c>
      <x:c r="O1" s="12" t="str">
        <x:v>peak_frequency</x:v>
      </x:c>
      <x:c r="P1" s="12" t="str">
        <x:v>latest_year_value</x:v>
      </x:c>
      <x:c r="Q1" s="12" t="str">
        <x:v>1842_value</x:v>
      </x:c>
      <x:c r="R1" s="12" t="str">
        <x:v>1938_value</x:v>
      </x:c>
      <x:c r="S1" s="12" t="str">
        <x:v>1988_value</x:v>
      </x:c>
      <x:c r="T1" s="12" t="str">
        <x:v>2006_value</x:v>
      </x:c>
      <x:c r="U1" s="12" t="str">
        <x:v>2007_value</x:v>
      </x:c>
      <x:c r="V1" s="12" t="str">
        <x:v>2006_07_mean</x:v>
      </x:c>
      <x:c r="W1" s="12" t="str">
        <x:v>2015_value</x:v>
      </x:c>
      <x:c r="X1" s="12" t="str">
        <x:v>2022_value</x:v>
      </x:c>
      <x:c r="Y1" s="12" t="str">
        <x:v>2022_or_latest_value</x:v>
      </x:c>
      <x:c r="Z1" s="12" t="str">
        <x:v>latest_supported_year</x:v>
      </x:c>
      <x:c r="AA1" s="12" t="str">
        <x:v>zero_sparse_flag</x:v>
      </x:c>
      <x:c r="AB1" s="12" t="str">
        <x:v>trajectory_availability</x:v>
      </x:c>
      <x:c r="AC1" s="12" t="str">
        <x:v>interpretation_note</x:v>
      </x:c>
    </x:row>
    <x:row r="2" ht="19" customHeight="1">
      <x:c r="A2" s="18" t="str">
        <x:v>FT-Q-V01-001</x:v>
      </x:c>
      <x:c r="B2" s="19" t="str">
        <x:v>temperature</x:v>
      </x:c>
      <x:c r="C2" s="19" t="str">
        <x:v>local / instrumental temperature</x:v>
      </x:c>
      <x:c r="D2" s="20" t="str">
        <x:v>temperature_threshold</x:v>
      </x:c>
      <x:c r="E2" s="20" t="str">
        <x:v>A</x:v>
      </x:c>
      <x:c r="F2" s="20" t="str">
        <x:v>BACKGROUND_AMBIGUOUS</x:v>
      </x:c>
      <x:c r="G2" s="20" t="str">
        <x:v>BACKGROUND_AMBIGUOUS</x:v>
      </x:c>
      <x:c r="H2" s="20" t="str">
        <x:v>eng</x:v>
      </x:c>
      <x:c r="I2" s="20" t="str">
        <x:v>current English corpus (July 2024 dataset; public shorthand eng; mutable current corpus)</x:v>
      </x:c>
      <x:c r="J2" s="20" t="str">
        <x:v>1842</x:v>
      </x:c>
      <x:c r="K2" s="20" t="str">
        <x:v>2022</x:v>
      </x:c>
      <x:c r="L2" s="20" t="str">
        <x:v>1842</x:v>
      </x:c>
      <x:c r="M2" s="20" t="str">
        <x:v>181</x:v>
      </x:c>
      <x:c r="N2" s="20" t="str">
        <x:v>1962</x:v>
      </x:c>
      <x:c r="O2" s="21" t="str">
        <x:v>0.0001827782312213422</x:v>
      </x:c>
      <x:c r="P2" s="21" t="str">
        <x:v>9.003187850510977e-05</x:v>
      </x:c>
      <x:c r="Q2" s="21" t="str">
        <x:v>3.817854639009965e-05</x:v>
      </x:c>
      <x:c r="R2" s="21" t="str">
        <x:v>0.0001075987250857835</x:v>
      </x:c>
      <x:c r="S2" s="21" t="str">
        <x:v>0.0001381082131784381</x:v>
      </x:c>
      <x:c r="T2" s="21" t="str">
        <x:v>9.349962672342699e-05</x:v>
      </x:c>
      <x:c r="U2" s="21" t="str">
        <x:v>9.569523659125334e-05</x:v>
      </x:c>
      <x:c r="V2" s="21" t="str">
        <x:v>9.459743165734016e-05</x:v>
      </x:c>
      <x:c r="W2" s="21" t="str">
        <x:v>7.593630839236587e-05</x:v>
      </x:c>
      <x:c r="X2" s="21" t="str">
        <x:v>9.003187850510977e-05</x:v>
      </x:c>
      <x:c r="Y2" s="21" t="str">
        <x:v>9.003187850510977e-05</x:v>
      </x:c>
      <x:c r="Z2" s="20" t="str">
        <x:v>2022</x:v>
      </x:c>
      <x:c r="AA2" s="20" t="str">
        <x:v>AVAILABLE</x:v>
      </x:c>
      <x:c r="AB2" s="20" t="str">
        <x:v>AVAILABLE</x:v>
      </x:c>
      <x:c r="AC2" s="22" t="str">
        <x:v>Generic corpus string frequency; not climate-specific semantic frequency.</x:v>
      </x:c>
    </x:row>
    <x:row r="3" ht="19" customHeight="1">
      <x:c r="A3" s="23" t="str">
        <x:v>FT-Q-V01-002</x:v>
      </x:c>
      <x:c r="B3" s="24" t="str">
        <x:v>mean temperature</x:v>
      </x:c>
      <x:c r="C3" s="24" t="str">
        <x:v>mean temperature</x:v>
      </x:c>
      <x:c r="D3" s="25" t="str">
        <x:v>temperature_threshold</x:v>
      </x:c>
      <x:c r="E3" s="25" t="str">
        <x:v>A</x:v>
      </x:c>
      <x:c r="F3" s="25" t="str">
        <x:v>EXECUTABLE_NGRAM</x:v>
      </x:c>
      <x:c r="G3" s="25" t="str">
        <x:v>CONTEXT_REQUIRED</x:v>
      </x:c>
      <x:c r="H3" s="25" t="str">
        <x:v>eng</x:v>
      </x:c>
      <x:c r="I3" s="25" t="str">
        <x:v>current English corpus (July 2024 dataset; public shorthand eng; mutable current corpus)</x:v>
      </x:c>
      <x:c r="J3" s="25" t="str">
        <x:v>1842</x:v>
      </x:c>
      <x:c r="K3" s="25" t="str">
        <x:v>2022</x:v>
      </x:c>
      <x:c r="L3" s="25" t="str">
        <x:v>1842</x:v>
      </x:c>
      <x:c r="M3" s="25" t="str">
        <x:v>181</x:v>
      </x:c>
      <x:c r="N3" s="25" t="str">
        <x:v>1858</x:v>
      </x:c>
      <x:c r="O3" s="26" t="str">
        <x:v>3.219442511692705e-06</x:v>
      </x:c>
      <x:c r="P3" s="26" t="str">
        <x:v>3.990877988080399e-07</x:v>
      </x:c>
      <x:c r="Q3" s="26" t="str">
        <x:v>2.365172290907935e-06</x:v>
      </x:c>
      <x:c r="R3" s="26" t="str">
        <x:v>1.06460447896195e-06</x:v>
      </x:c>
      <x:c r="S3" s="26" t="str">
        <x:v>5.396020415979197e-07</x:v>
      </x:c>
      <x:c r="T3" s="26" t="str">
        <x:v>4.059007448348195e-07</x:v>
      </x:c>
      <x:c r="U3" s="26" t="str">
        <x:v>4.200255244168893e-07</x:v>
      </x:c>
      <x:c r="V3" s="26" t="str">
        <x:v>4.129631346258544e-07</x:v>
      </x:c>
      <x:c r="W3" s="26" t="str">
        <x:v>3.047325316460348e-07</x:v>
      </x:c>
      <x:c r="X3" s="26" t="str">
        <x:v>3.990877988080399e-07</x:v>
      </x:c>
      <x:c r="Y3" s="26" t="str">
        <x:v>3.990877988080399e-07</x:v>
      </x:c>
      <x:c r="Z3" s="25" t="str">
        <x:v>2022</x:v>
      </x:c>
      <x:c r="AA3" s="25" t="str">
        <x:v>AVAILABLE</x:v>
      </x:c>
      <x:c r="AB3" s="25" t="str">
        <x:v>AVAILABLE</x:v>
      </x:c>
      <x:c r="AC3" s="27" t="str">
        <x:v>Climate/temperature-linked lexical frequency; still not evidence of reception, voice, or affect without passage review.</x:v>
      </x:c>
    </x:row>
    <x:row r="4" ht="19" customHeight="1">
      <x:c r="A4" s="23" t="str">
        <x:v>FT-Q-V01-003</x:v>
      </x:c>
      <x:c r="B4" s="24" t="str">
        <x:v>temperature of the air in shade</x:v>
      </x:c>
      <x:c r="C4" s="24" t="str">
        <x:v>local / instrumental temperature</x:v>
      </x:c>
      <x:c r="D4" s="25" t="str">
        <x:v>temperature_threshold</x:v>
      </x:c>
      <x:c r="E4" s="25" t="str">
        <x:v>A</x:v>
      </x:c>
      <x:c r="F4" s="25" t="str">
        <x:v>EXECUTABLE_NGRAM</x:v>
      </x:c>
      <x:c r="G4" s="25" t="str">
        <x:v>CONTEXT_REQUIRED</x:v>
      </x:c>
      <x:c r="H4" s="25" t="str">
        <x:v>eng</x:v>
      </x:c>
      <x:c r="I4" s="25" t="str">
        <x:v>current English corpus (July 2024 dataset; public shorthand eng; mutable current corpus)</x:v>
      </x:c>
      <x:c r="J4" s="25" t="str">
        <x:v>1842</x:v>
      </x:c>
      <x:c r="K4" s="25" t="str">
        <x:v>2022</x:v>
      </x:c>
      <x:c r="L4" s="25" t="str">
        <x:v>1846</x:v>
      </x:c>
      <x:c r="M4" s="25" t="str">
        <x:v>79</x:v>
      </x:c>
      <x:c r="N4" s="25" t="str">
        <x:v>1858</x:v>
      </x:c>
      <x:c r="O4" s="26" t="str">
        <x:v>1.437969920914384e-08</x:v>
      </x:c>
      <x:c r="P4" s="26" t="str">
        <x:v>5.812207659605662e-11</x:v>
      </x:c>
      <x:c r="Q4" s="26" t="str">
        <x:v>0</x:v>
      </x:c>
      <x:c r="R4" s="26" t="str">
        <x:v>0</x:v>
      </x:c>
      <x:c r="S4" s="26" t="str">
        <x:v>0</x:v>
      </x:c>
      <x:c r="T4" s="26" t="str">
        <x:v>0</x:v>
      </x:c>
      <x:c r="U4" s="26" t="str">
        <x:v>0</x:v>
      </x:c>
      <x:c r="V4" s="26" t="str">
        <x:v>0</x:v>
      </x:c>
      <x:c r="W4" s="26" t="str">
        <x:v>6.163167892703214e-11</x:v>
      </x:c>
      <x:c r="X4" s="26" t="str">
        <x:v>5.812207659605662e-11</x:v>
      </x:c>
      <x:c r="Y4" s="26" t="str">
        <x:v>5.812207659605662e-11</x:v>
      </x:c>
      <x:c r="Z4" s="25" t="str">
        <x:v>2022</x:v>
      </x:c>
      <x:c r="AA4" s="25" t="str">
        <x:v>AVAILABLE</x:v>
      </x:c>
      <x:c r="AB4" s="25" t="str">
        <x:v>AVAILABLE</x:v>
      </x:c>
      <x:c r="AC4" s="27" t="str">
        <x:v>Climate/temperature-linked lexical frequency; still not evidence of reception, voice, or affect without passage review.</x:v>
      </x:c>
    </x:row>
    <x:row r="5" ht="19" customHeight="1">
      <x:c r="A5" s="23" t="str">
        <x:v>FT-Q-V01-004</x:v>
      </x:c>
      <x:c r="B5" s="24" t="str">
        <x:v>maximum temperature</x:v>
      </x:c>
      <x:c r="C5" s="24" t="str">
        <x:v>local / instrumental temperature</x:v>
      </x:c>
      <x:c r="D5" s="25" t="str">
        <x:v>temperature_threshold</x:v>
      </x:c>
      <x:c r="E5" s="25" t="str">
        <x:v>A</x:v>
      </x:c>
      <x:c r="F5" s="25" t="str">
        <x:v>EXECUTABLE_NGRAM</x:v>
      </x:c>
      <x:c r="G5" s="25" t="str">
        <x:v>CONTEXT_REQUIRED</x:v>
      </x:c>
      <x:c r="H5" s="25" t="str">
        <x:v>eng</x:v>
      </x:c>
      <x:c r="I5" s="25" t="str">
        <x:v>current English corpus (July 2024 dataset; public shorthand eng; mutable current corpus)</x:v>
      </x:c>
      <x:c r="J5" s="25" t="str">
        <x:v>1842</x:v>
      </x:c>
      <x:c r="K5" s="25" t="str">
        <x:v>2022</x:v>
      </x:c>
      <x:c r="L5" s="25" t="str">
        <x:v>1842</x:v>
      </x:c>
      <x:c r="M5" s="25" t="str">
        <x:v>181</x:v>
      </x:c>
      <x:c r="N5" s="25" t="str">
        <x:v>1958</x:v>
      </x:c>
      <x:c r="O5" s="26" t="str">
        <x:v>1.041604742735291e-06</x:v>
      </x:c>
      <x:c r="P5" s="26" t="str">
        <x:v>4.573516876604788e-07</x:v>
      </x:c>
      <x:c r="Q5" s="26" t="str">
        <x:v>3.882829831547419e-07</x:v>
      </x:c>
      <x:c r="R5" s="26" t="str">
        <x:v>7.694687983172965e-07</x:v>
      </x:c>
      <x:c r="S5" s="26" t="str">
        <x:v>6.011975100389533e-07</x:v>
      </x:c>
      <x:c r="T5" s="26" t="str">
        <x:v>5.097794715247517e-07</x:v>
      </x:c>
      <x:c r="U5" s="26" t="str">
        <x:v>4.458864027237497e-07</x:v>
      </x:c>
      <x:c r="V5" s="26" t="str">
        <x:v>4.778329371242507e-07</x:v>
      </x:c>
      <x:c r="W5" s="26" t="str">
        <x:v>3.236936924611022e-07</x:v>
      </x:c>
      <x:c r="X5" s="26" t="str">
        <x:v>4.573516876604788e-07</x:v>
      </x:c>
      <x:c r="Y5" s="26" t="str">
        <x:v>4.573516876604788e-07</x:v>
      </x:c>
      <x:c r="Z5" s="25" t="str">
        <x:v>2022</x:v>
      </x:c>
      <x:c r="AA5" s="25" t="str">
        <x:v>AVAILABLE</x:v>
      </x:c>
      <x:c r="AB5" s="25" t="str">
        <x:v>AVAILABLE</x:v>
      </x:c>
      <x:c r="AC5" s="27" t="str">
        <x:v>Climate/temperature-linked lexical frequency; still not evidence of reception, voice, or affect without passage review.</x:v>
      </x:c>
    </x:row>
    <x:row r="6" ht="19" customHeight="1">
      <x:c r="A6" s="23" t="str">
        <x:v>FT-Q-V01-005</x:v>
      </x:c>
      <x:c r="B6" s="24" t="str">
        <x:v>minimum temperature</x:v>
      </x:c>
      <x:c r="C6" s="24" t="str">
        <x:v>local / instrumental temperature</x:v>
      </x:c>
      <x:c r="D6" s="25" t="str">
        <x:v>temperature_threshold</x:v>
      </x:c>
      <x:c r="E6" s="25" t="str">
        <x:v>A</x:v>
      </x:c>
      <x:c r="F6" s="25" t="str">
        <x:v>EXECUTABLE_NGRAM</x:v>
      </x:c>
      <x:c r="G6" s="25" t="str">
        <x:v>CONTEXT_REQUIRED</x:v>
      </x:c>
      <x:c r="H6" s="25" t="str">
        <x:v>eng</x:v>
      </x:c>
      <x:c r="I6" s="25" t="str">
        <x:v>current English corpus (July 2024 dataset; public shorthand eng; mutable current corpus)</x:v>
      </x:c>
      <x:c r="J6" s="25" t="str">
        <x:v>1842</x:v>
      </x:c>
      <x:c r="K6" s="25" t="str">
        <x:v>2022</x:v>
      </x:c>
      <x:c r="L6" s="25" t="str">
        <x:v>1842</x:v>
      </x:c>
      <x:c r="M6" s="25" t="str">
        <x:v>181</x:v>
      </x:c>
      <x:c r="N6" s="25" t="str">
        <x:v>1985</x:v>
      </x:c>
      <x:c r="O6" s="26" t="str">
        <x:v>5.244083450678394e-07</x:v>
      </x:c>
      <x:c r="P6" s="26" t="str">
        <x:v>2.218629117367588e-07</x:v>
      </x:c>
      <x:c r="Q6" s="26" t="str">
        <x:v>2.334857803210078e-07</x:v>
      </x:c>
      <x:c r="R6" s="26" t="str">
        <x:v>4.141922915756879e-07</x:v>
      </x:c>
      <x:c r="S6" s="26" t="str">
        <x:v>3.655257283935454e-07</x:v>
      </x:c>
      <x:c r="T6" s="26" t="str">
        <x:v>2.540885604349064e-07</x:v>
      </x:c>
      <x:c r="U6" s="26" t="str">
        <x:v>2.430921979997003e-07</x:v>
      </x:c>
      <x:c r="V6" s="26" t="str">
        <x:v>2.485903792173033e-07</x:v>
      </x:c>
      <x:c r="W6" s="26" t="str">
        <x:v>1.545846264848494e-07</x:v>
      </x:c>
      <x:c r="X6" s="26" t="str">
        <x:v>2.218629117367588e-07</x:v>
      </x:c>
      <x:c r="Y6" s="26" t="str">
        <x:v>2.218629117367588e-07</x:v>
      </x:c>
      <x:c r="Z6" s="25" t="str">
        <x:v>2022</x:v>
      </x:c>
      <x:c r="AA6" s="25" t="str">
        <x:v>AVAILABLE</x:v>
      </x:c>
      <x:c r="AB6" s="25" t="str">
        <x:v>AVAILABLE</x:v>
      </x:c>
      <x:c r="AC6" s="27" t="str">
        <x:v>Climate/temperature-linked lexical frequency; still not evidence of reception, voice, or affect without passage review.</x:v>
      </x:c>
    </x:row>
    <x:row r="7" ht="19" customHeight="1">
      <x:c r="A7" s="23" t="str">
        <x:v>FT-Q-V01-006</x:v>
      </x:c>
      <x:c r="B7" s="24" t="str">
        <x:v>mean temperature of sea at surface</x:v>
      </x:c>
      <x:c r="C7" s="24" t="str">
        <x:v>mean temperature</x:v>
      </x:c>
      <x:c r="D7" s="25" t="str">
        <x:v>temperature_threshold</x:v>
      </x:c>
      <x:c r="E7" s="25" t="str">
        <x:v>A</x:v>
      </x:c>
      <x:c r="F7" s="25" t="str">
        <x:v>EXECUTABLE_NGRAM</x:v>
      </x:c>
      <x:c r="G7" s="25" t="str">
        <x:v>CONTEXT_REQUIRED</x:v>
      </x:c>
      <x:c r="H7" s="25" t="str">
        <x:v>eng</x:v>
      </x:c>
      <x:c r="I7" s="25" t="str">
        <x:v>current English corpus (July 2024 dataset; public shorthand eng; mutable current corpus)</x:v>
      </x:c>
      <x:c r="J7" s="25" t="str">
        <x:v>1842</x:v>
      </x:c>
      <x:c r="K7" s="25" t="str">
        <x:v>2022</x:v>
      </x:c>
      <x:c r="L7" s="25" t="str"/>
      <x:c r="M7" s="25" t="str">
        <x:v>0</x:v>
      </x:c>
      <x:c r="N7" s="25" t="str"/>
      <x:c r="O7" s="26" t="str"/>
      <x:c r="P7" s="26" t="str"/>
      <x:c r="Q7" s="26" t="str"/>
      <x:c r="R7" s="26" t="str"/>
      <x:c r="S7" s="26" t="str"/>
      <x:c r="T7" s="26" t="str"/>
      <x:c r="U7" s="26" t="str"/>
      <x:c r="V7" s="26" t="str"/>
      <x:c r="W7" s="26" t="str"/>
      <x:c r="X7" s="26" t="str"/>
      <x:c r="Y7" s="26" t="str"/>
      <x:c r="Z7" s="25" t="str">
        <x:v>2022</x:v>
      </x:c>
      <x:c r="AA7" s="25" t="str">
        <x:v>NO_SERIES</x:v>
      </x:c>
      <x:c r="AB7" s="25" t="str">
        <x:v>NOT_AVAILABLE</x:v>
      </x:c>
      <x:c r="AC7" s="27" t="str">
        <x:v>Climate/temperature-linked lexical frequency; still not evidence of reception, voice, or affect without passage review.</x:v>
      </x:c>
    </x:row>
    <x:row r="8" ht="19" customHeight="1">
      <x:c r="A8" s="23" t="str">
        <x:v>FT-Q-V01-007</x:v>
      </x:c>
      <x:c r="B8" s="24" t="str">
        <x:v>dew point</x:v>
      </x:c>
      <x:c r="C8" s="24" t="str">
        <x:v>local / instrumental temperature</x:v>
      </x:c>
      <x:c r="D8" s="25" t="str">
        <x:v>temperature_threshold</x:v>
      </x:c>
      <x:c r="E8" s="25" t="str">
        <x:v>A</x:v>
      </x:c>
      <x:c r="F8" s="25" t="str">
        <x:v>EXECUTABLE_NGRAM</x:v>
      </x:c>
      <x:c r="G8" s="25" t="str">
        <x:v>CONTEXT_REQUIRED</x:v>
      </x:c>
      <x:c r="H8" s="25" t="str">
        <x:v>eng</x:v>
      </x:c>
      <x:c r="I8" s="25" t="str">
        <x:v>current English corpus (July 2024 dataset; public shorthand eng; mutable current corpus)</x:v>
      </x:c>
      <x:c r="J8" s="25" t="str">
        <x:v>1842</x:v>
      </x:c>
      <x:c r="K8" s="25" t="str">
        <x:v>2022</x:v>
      </x:c>
      <x:c r="L8" s="25" t="str">
        <x:v>1842</x:v>
      </x:c>
      <x:c r="M8" s="25" t="str">
        <x:v>181</x:v>
      </x:c>
      <x:c r="N8" s="25" t="str">
        <x:v>1844</x:v>
      </x:c>
      <x:c r="O8" s="26" t="str">
        <x:v>1.28604265636767e-06</x:v>
      </x:c>
      <x:c r="P8" s="26" t="str">
        <x:v>2.297376025528486e-07</x:v>
      </x:c>
      <x:c r="Q8" s="26" t="str">
        <x:v>5.02445909766891e-07</x:v>
      </x:c>
      <x:c r="R8" s="26" t="str">
        <x:v>5.571938874737725e-07</x:v>
      </x:c>
      <x:c r="S8" s="26" t="str">
        <x:v>3.645386200609724e-07</x:v>
      </x:c>
      <x:c r="T8" s="26" t="str">
        <x:v>2.918584796063328e-07</x:v>
      </x:c>
      <x:c r="U8" s="26" t="str">
        <x:v>2.695827225132619e-07</x:v>
      </x:c>
      <x:c r="V8" s="26" t="str">
        <x:v>2.807206010597973e-07</x:v>
      </x:c>
      <x:c r="W8" s="26" t="str">
        <x:v>2.239375508326924e-07</x:v>
      </x:c>
      <x:c r="X8" s="26" t="str">
        <x:v>2.297376025528486e-07</x:v>
      </x:c>
      <x:c r="Y8" s="26" t="str">
        <x:v>2.297376025528486e-07</x:v>
      </x:c>
      <x:c r="Z8" s="25" t="str">
        <x:v>2022</x:v>
      </x:c>
      <x:c r="AA8" s="25" t="str">
        <x:v>AVAILABLE</x:v>
      </x:c>
      <x:c r="AB8" s="25" t="str">
        <x:v>AVAILABLE</x:v>
      </x:c>
      <x:c r="AC8" s="27" t="str">
        <x:v>Climate/temperature-linked lexical frequency; still not evidence of reception, voice, or affect without passage review.</x:v>
      </x:c>
    </x:row>
    <x:row r="9" ht="19" customHeight="1">
      <x:c r="A9" s="23" t="str">
        <x:v>FT-Q-V01-008</x:v>
      </x:c>
      <x:c r="B9" s="24" t="str">
        <x:v>standard thermometer</x:v>
      </x:c>
      <x:c r="C9" s="24" t="str">
        <x:v>local / instrumental temperature</x:v>
      </x:c>
      <x:c r="D9" s="25" t="str">
        <x:v>temperature_threshold</x:v>
      </x:c>
      <x:c r="E9" s="25" t="str">
        <x:v>A</x:v>
      </x:c>
      <x:c r="F9" s="25" t="str">
        <x:v>EXECUTABLE_NGRAM</x:v>
      </x:c>
      <x:c r="G9" s="25" t="str">
        <x:v>CONTEXT_REQUIRED</x:v>
      </x:c>
      <x:c r="H9" s="25" t="str">
        <x:v>eng</x:v>
      </x:c>
      <x:c r="I9" s="25" t="str">
        <x:v>current English corpus (July 2024 dataset; public shorthand eng; mutable current corpus)</x:v>
      </x:c>
      <x:c r="J9" s="25" t="str">
        <x:v>1842</x:v>
      </x:c>
      <x:c r="K9" s="25" t="str">
        <x:v>2022</x:v>
      </x:c>
      <x:c r="L9" s="25" t="str">
        <x:v>1842</x:v>
      </x:c>
      <x:c r="M9" s="25" t="str">
        <x:v>181</x:v>
      </x:c>
      <x:c r="N9" s="25" t="str">
        <x:v>1875</x:v>
      </x:c>
      <x:c r="O9" s="26" t="str">
        <x:v>2.04969970774016e-07</x:v>
      </x:c>
      <x:c r="P9" s="26" t="str">
        <x:v>2.610151789150805e-09</x:v>
      </x:c>
      <x:c r="Q9" s="26" t="str">
        <x:v>8.384848482201335e-09</x:v>
      </x:c>
      <x:c r="R9" s="26" t="str">
        <x:v>3.541628268433072e-08</x:v>
      </x:c>
      <x:c r="S9" s="26" t="str">
        <x:v>5.922642067751616e-09</x:v>
      </x:c>
      <x:c r="T9" s="26" t="str">
        <x:v>2.975811957961483e-09</x:v>
      </x:c>
      <x:c r="U9" s="26" t="str">
        <x:v>4.857346223158254e-09</x:v>
      </x:c>
      <x:c r="V9" s="26" t="str">
        <x:v>3.916579090559869e-09</x:v>
      </x:c>
      <x:c r="W9" s="26" t="str">
        <x:v>2.335115319856973e-09</x:v>
      </x:c>
      <x:c r="X9" s="26" t="str">
        <x:v>2.610151789150805e-09</x:v>
      </x:c>
      <x:c r="Y9" s="26" t="str">
        <x:v>2.610151789150805e-09</x:v>
      </x:c>
      <x:c r="Z9" s="25" t="str">
        <x:v>2022</x:v>
      </x:c>
      <x:c r="AA9" s="25" t="str">
        <x:v>AVAILABLE</x:v>
      </x:c>
      <x:c r="AB9" s="25" t="str">
        <x:v>AVAILABLE</x:v>
      </x:c>
      <x:c r="AC9" s="27" t="str">
        <x:v>Climate/temperature-linked lexical frequency; still not evidence of reception, voice, or affect without passage review.</x:v>
      </x:c>
    </x:row>
    <x:row r="10" ht="19" customHeight="1">
      <x:c r="A10" s="23" t="str">
        <x:v>FT-Q-V01-009</x:v>
      </x:c>
      <x:c r="B10" s="24" t="str">
        <x:v>attached thermometer</x:v>
      </x:c>
      <x:c r="C10" s="24" t="str">
        <x:v>local / instrumental temperature</x:v>
      </x:c>
      <x:c r="D10" s="25" t="str">
        <x:v>temperature_threshold</x:v>
      </x:c>
      <x:c r="E10" s="25" t="str">
        <x:v>A</x:v>
      </x:c>
      <x:c r="F10" s="25" t="str">
        <x:v>EXECUTABLE_NGRAM</x:v>
      </x:c>
      <x:c r="G10" s="25" t="str">
        <x:v>CONTEXT_REQUIRED</x:v>
      </x:c>
      <x:c r="H10" s="25" t="str">
        <x:v>eng</x:v>
      </x:c>
      <x:c r="I10" s="25" t="str">
        <x:v>current English corpus (July 2024 dataset; public shorthand eng; mutable current corpus)</x:v>
      </x:c>
      <x:c r="J10" s="25" t="str">
        <x:v>1842</x:v>
      </x:c>
      <x:c r="K10" s="25" t="str">
        <x:v>2022</x:v>
      </x:c>
      <x:c r="L10" s="25" t="str">
        <x:v>1842</x:v>
      </x:c>
      <x:c r="M10" s="25" t="str">
        <x:v>181</x:v>
      </x:c>
      <x:c r="N10" s="25" t="str">
        <x:v>1844</x:v>
      </x:c>
      <x:c r="O10" s="26" t="str">
        <x:v>2.328426112474524e-07</x:v>
      </x:c>
      <x:c r="P10" s="26" t="str">
        <x:v>3.406469412103874e-09</x:v>
      </x:c>
      <x:c r="Q10" s="26" t="str">
        <x:v>6.901375293466572e-08</x:v>
      </x:c>
      <x:c r="R10" s="26" t="str">
        <x:v>6.23682937239689e-09</x:v>
      </x:c>
      <x:c r="S10" s="26" t="str">
        <x:v>1.085817696172553e-09</x:v>
      </x:c>
      <x:c r="T10" s="26" t="str">
        <x:v>1.281888230980632e-09</x:v>
      </x:c>
      <x:c r="U10" s="26" t="str">
        <x:v>1.619115414658312e-09</x:v>
      </x:c>
      <x:c r="V10" s="26" t="str">
        <x:v>1.450501822819472e-09</x:v>
      </x:c>
      <x:c r="W10" s="26" t="str">
        <x:v>6.538322626370441e-10</x:v>
      </x:c>
      <x:c r="X10" s="26" t="str">
        <x:v>3.406469412103874e-09</x:v>
      </x:c>
      <x:c r="Y10" s="26" t="str">
        <x:v>3.406469412103874e-09</x:v>
      </x:c>
      <x:c r="Z10" s="25" t="str">
        <x:v>2022</x:v>
      </x:c>
      <x:c r="AA10" s="25" t="str">
        <x:v>AVAILABLE</x:v>
      </x:c>
      <x:c r="AB10" s="25" t="str">
        <x:v>AVAILABLE</x:v>
      </x:c>
      <x:c r="AC10" s="27" t="str">
        <x:v>Climate/temperature-linked lexical frequency; still not evidence of reception, voice, or affect without passage review.</x:v>
      </x:c>
    </x:row>
    <x:row r="11" ht="19" customHeight="1">
      <x:c r="A11" s="23" t="str">
        <x:v>FT-Q-V01-010</x:v>
      </x:c>
      <x:c r="B11" s="24" t="str">
        <x:v>dry bulb thermometer</x:v>
      </x:c>
      <x:c r="C11" s="24" t="str">
        <x:v>local / instrumental temperature</x:v>
      </x:c>
      <x:c r="D11" s="25" t="str">
        <x:v>temperature_threshold</x:v>
      </x:c>
      <x:c r="E11" s="25" t="str">
        <x:v>A</x:v>
      </x:c>
      <x:c r="F11" s="25" t="str">
        <x:v>EXECUTABLE_NGRAM</x:v>
      </x:c>
      <x:c r="G11" s="25" t="str">
        <x:v>CONTEXT_REQUIRED</x:v>
      </x:c>
      <x:c r="H11" s="25" t="str">
        <x:v>eng</x:v>
      </x:c>
      <x:c r="I11" s="25" t="str">
        <x:v>current English corpus (July 2024 dataset; public shorthand eng; mutable current corpus)</x:v>
      </x:c>
      <x:c r="J11" s="25" t="str">
        <x:v>1842</x:v>
      </x:c>
      <x:c r="K11" s="25" t="str">
        <x:v>2022</x:v>
      </x:c>
      <x:c r="L11" s="25" t="str">
        <x:v>1842</x:v>
      </x:c>
      <x:c r="M11" s="25" t="str">
        <x:v>181</x:v>
      </x:c>
      <x:c r="N11" s="25" t="str">
        <x:v>1869</x:v>
      </x:c>
      <x:c r="O11" s="26" t="str">
        <x:v>2.647877378469943e-07</x:v>
      </x:c>
      <x:c r="P11" s="26" t="str">
        <x:v>8.466447189159343e-09</x:v>
      </x:c>
      <x:c r="Q11" s="26" t="str">
        <x:v>8.854272692815357e-08</x:v>
      </x:c>
      <x:c r="R11" s="26" t="str">
        <x:v>2.359136080931634e-08</x:v>
      </x:c>
      <x:c r="S11" s="26" t="str">
        <x:v>5.081662771133644e-09</x:v>
      </x:c>
      <x:c r="T11" s="26" t="str">
        <x:v>4.013041593475819e-09</x:v>
      </x:c>
      <x:c r="U11" s="26" t="str">
        <x:v>4.081663229626997e-09</x:v>
      </x:c>
      <x:c r="V11" s="26" t="str">
        <x:v>4.047352411551408e-09</x:v>
      </x:c>
      <x:c r="W11" s="26" t="str">
        <x:v>3.149171701188891e-09</x:v>
      </x:c>
      <x:c r="X11" s="26" t="str">
        <x:v>8.466447189159343e-09</x:v>
      </x:c>
      <x:c r="Y11" s="26" t="str">
        <x:v>8.466447189159343e-09</x:v>
      </x:c>
      <x:c r="Z11" s="25" t="str">
        <x:v>2022</x:v>
      </x:c>
      <x:c r="AA11" s="25" t="str">
        <x:v>AVAILABLE</x:v>
      </x:c>
      <x:c r="AB11" s="25" t="str">
        <x:v>AVAILABLE</x:v>
      </x:c>
      <x:c r="AC11" s="27" t="str">
        <x:v>Climate/temperature-linked lexical frequency; still not evidence of reception, voice, or affect without passage review.</x:v>
      </x:c>
    </x:row>
    <x:row r="12" ht="19" customHeight="1">
      <x:c r="A12" s="23" t="str">
        <x:v>FT-Q-V01-011</x:v>
      </x:c>
      <x:c r="B12" s="24" t="str">
        <x:v>wet bulb thermometer</x:v>
      </x:c>
      <x:c r="C12" s="24" t="str">
        <x:v>local / instrumental temperature</x:v>
      </x:c>
      <x:c r="D12" s="25" t="str">
        <x:v>temperature_threshold</x:v>
      </x:c>
      <x:c r="E12" s="25" t="str">
        <x:v>A</x:v>
      </x:c>
      <x:c r="F12" s="25" t="str">
        <x:v>EXECUTABLE_NGRAM</x:v>
      </x:c>
      <x:c r="G12" s="25" t="str">
        <x:v>CONTEXT_REQUIRED</x:v>
      </x:c>
      <x:c r="H12" s="25" t="str">
        <x:v>eng</x:v>
      </x:c>
      <x:c r="I12" s="25" t="str">
        <x:v>current English corpus (July 2024 dataset; public shorthand eng; mutable current corpus)</x:v>
      </x:c>
      <x:c r="J12" s="25" t="str">
        <x:v>1842</x:v>
      </x:c>
      <x:c r="K12" s="25" t="str">
        <x:v>2022</x:v>
      </x:c>
      <x:c r="L12" s="25" t="str">
        <x:v>1842</x:v>
      </x:c>
      <x:c r="M12" s="25" t="str">
        <x:v>181</x:v>
      </x:c>
      <x:c r="N12" s="25" t="str">
        <x:v>1869</x:v>
      </x:c>
      <x:c r="O12" s="26" t="str">
        <x:v>1.703290762877785e-07</x:v>
      </x:c>
      <x:c r="P12" s="26" t="str">
        <x:v>7.142087012079745e-09</x:v>
      </x:c>
      <x:c r="Q12" s="26" t="str">
        <x:v>7.550155167734829e-09</x:v>
      </x:c>
      <x:c r="R12" s="26" t="str">
        <x:v>2.579159086302241e-08</x:v>
      </x:c>
      <x:c r="S12" s="26" t="str">
        <x:v>5.406024211618288e-09</x:v>
      </x:c>
      <x:c r="T12" s="26" t="str">
        <x:v>5.350721948849113e-09</x:v>
      </x:c>
      <x:c r="U12" s="26" t="str">
        <x:v>4.421801869103348e-09</x:v>
      </x:c>
      <x:c r="V12" s="26" t="str">
        <x:v>4.88626190897623e-09</x:v>
      </x:c>
      <x:c r="W12" s="26" t="str">
        <x:v>2.749276847846538e-09</x:v>
      </x:c>
      <x:c r="X12" s="26" t="str">
        <x:v>7.142087012079745e-09</x:v>
      </x:c>
      <x:c r="Y12" s="26" t="str">
        <x:v>7.142087012079745e-09</x:v>
      </x:c>
      <x:c r="Z12" s="25" t="str">
        <x:v>2022</x:v>
      </x:c>
      <x:c r="AA12" s="25" t="str">
        <x:v>AVAILABLE</x:v>
      </x:c>
      <x:c r="AB12" s="25" t="str">
        <x:v>AVAILABLE</x:v>
      </x:c>
      <x:c r="AC12" s="27" t="str">
        <x:v>Climate/temperature-linked lexical frequency; still not evidence of reception, voice, or affect without passage review.</x:v>
      </x:c>
    </x:row>
    <x:row r="13" ht="19" customHeight="1">
      <x:c r="A13" s="23" t="str">
        <x:v>FT-Q-V01-012</x:v>
      </x:c>
      <x:c r="B13" s="24" t="str">
        <x:v>meteorological observations</x:v>
      </x:c>
      <x:c r="C13" s="24" t="str">
        <x:v>historical climate / climatological condition</x:v>
      </x:c>
      <x:c r="D13" s="25" t="str">
        <x:v>climate</x:v>
      </x:c>
      <x:c r="E13" s="25" t="str">
        <x:v>B</x:v>
      </x:c>
      <x:c r="F13" s="25" t="str">
        <x:v>EXECUTABLE_NGRAM</x:v>
      </x:c>
      <x:c r="G13" s="25" t="str">
        <x:v>CONTEXT_REQUIRED</x:v>
      </x:c>
      <x:c r="H13" s="25" t="str">
        <x:v>eng</x:v>
      </x:c>
      <x:c r="I13" s="25" t="str">
        <x:v>current English corpus (July 2024 dataset; public shorthand eng; mutable current corpus)</x:v>
      </x:c>
      <x:c r="J13" s="25" t="str">
        <x:v>1842</x:v>
      </x:c>
      <x:c r="K13" s="25" t="str">
        <x:v>2022</x:v>
      </x:c>
      <x:c r="L13" s="25" t="str">
        <x:v>1842</x:v>
      </x:c>
      <x:c r="M13" s="25" t="str">
        <x:v>181</x:v>
      </x:c>
      <x:c r="N13" s="25" t="str">
        <x:v>1875</x:v>
      </x:c>
      <x:c r="O13" s="26" t="str">
        <x:v>1.790050660449571e-06</x:v>
      </x:c>
      <x:c r="P13" s="26" t="str">
        <x:v>6.520955656008631e-08</x:v>
      </x:c>
      <x:c r="Q13" s="26" t="str">
        <x:v>9.468428674996865e-07</x:v>
      </x:c>
      <x:c r="R13" s="26" t="str">
        <x:v>1.848774440205148e-07</x:v>
      </x:c>
      <x:c r="S13" s="26" t="str">
        <x:v>1.338023542483968e-07</x:v>
      </x:c>
      <x:c r="T13" s="26" t="str">
        <x:v>5.699824457902625e-08</x:v>
      </x:c>
      <x:c r="U13" s="26" t="str">
        <x:v>5.293608024148355e-08</x:v>
      </x:c>
      <x:c r="V13" s="26" t="str">
        <x:v>5.49671624102549e-08</x:v>
      </x:c>
      <x:c r="W13" s="26" t="str">
        <x:v>3.44663013546187e-08</x:v>
      </x:c>
      <x:c r="X13" s="26" t="str">
        <x:v>6.520955656008631e-08</x:v>
      </x:c>
      <x:c r="Y13" s="26" t="str">
        <x:v>6.520955656008631e-08</x:v>
      </x:c>
      <x:c r="Z13" s="25" t="str">
        <x:v>2022</x:v>
      </x:c>
      <x:c r="AA13" s="25" t="str">
        <x:v>AVAILABLE</x:v>
      </x:c>
      <x:c r="AB13" s="25" t="str">
        <x:v>AVAILABLE</x:v>
      </x:c>
      <x:c r="AC13" s="27" t="str">
        <x:v>Climate/temperature-linked lexical frequency; still not evidence of reception, voice, or affect without passage review.</x:v>
      </x:c>
    </x:row>
    <x:row r="14" ht="19" customHeight="1">
      <x:c r="A14" s="23" t="str">
        <x:v>FT-Q-V01-013</x:v>
      </x:c>
      <x:c r="B14" s="24" t="str">
        <x:v>meteorological journal</x:v>
      </x:c>
      <x:c r="C14" s="24" t="str">
        <x:v>historical climate / climatological condition</x:v>
      </x:c>
      <x:c r="D14" s="25" t="str">
        <x:v>climate</x:v>
      </x:c>
      <x:c r="E14" s="25" t="str">
        <x:v>B</x:v>
      </x:c>
      <x:c r="F14" s="25" t="str">
        <x:v>EXECUTABLE_NGRAM</x:v>
      </x:c>
      <x:c r="G14" s="25" t="str">
        <x:v>CONTEXT_REQUIRED</x:v>
      </x:c>
      <x:c r="H14" s="25" t="str">
        <x:v>eng</x:v>
      </x:c>
      <x:c r="I14" s="25" t="str">
        <x:v>current English corpus (July 2024 dataset; public shorthand eng; mutable current corpus)</x:v>
      </x:c>
      <x:c r="J14" s="25" t="str">
        <x:v>1842</x:v>
      </x:c>
      <x:c r="K14" s="25" t="str">
        <x:v>2022</x:v>
      </x:c>
      <x:c r="L14" s="25" t="str">
        <x:v>1842</x:v>
      </x:c>
      <x:c r="M14" s="25" t="str">
        <x:v>181</x:v>
      </x:c>
      <x:c r="N14" s="25" t="str">
        <x:v>1842</x:v>
      </x:c>
      <x:c r="O14" s="26" t="str">
        <x:v>5.256654992402687e-07</x:v>
      </x:c>
      <x:c r="P14" s="26" t="str">
        <x:v>2.964070766608984e-09</x:v>
      </x:c>
      <x:c r="Q14" s="26" t="str">
        <x:v>5.256654992402687e-07</x:v>
      </x:c>
      <x:c r="R14" s="26" t="str">
        <x:v>4.900366015747615e-09</x:v>
      </x:c>
      <x:c r="S14" s="26" t="str">
        <x:v>2.023569350279031e-09</x:v>
      </x:c>
      <x:c r="T14" s="26" t="str">
        <x:v>2.472213010695778e-09</x:v>
      </x:c>
      <x:c r="U14" s="26" t="str">
        <x:v>3.598034273299966e-09</x:v>
      </x:c>
      <x:c r="V14" s="26" t="str">
        <x:v>3.035123641997872e-09</x:v>
      </x:c>
      <x:c r="W14" s="26" t="str">
        <x:v>3.782886774661431e-09</x:v>
      </x:c>
      <x:c r="X14" s="26" t="str">
        <x:v>2.964070766608984e-09</x:v>
      </x:c>
      <x:c r="Y14" s="26" t="str">
        <x:v>2.964070766608984e-09</x:v>
      </x:c>
      <x:c r="Z14" s="25" t="str">
        <x:v>2022</x:v>
      </x:c>
      <x:c r="AA14" s="25" t="str">
        <x:v>AVAILABLE</x:v>
      </x:c>
      <x:c r="AB14" s="25" t="str">
        <x:v>AVAILABLE</x:v>
      </x:c>
      <x:c r="AC14" s="27" t="str">
        <x:v>Climate/temperature-linked lexical frequency; still not evidence of reception, voice, or affect without passage review.</x:v>
      </x:c>
    </x:row>
    <x:row r="15" ht="19" customHeight="1">
      <x:c r="A15" s="23" t="str">
        <x:v>FT-Q-V01-014</x:v>
      </x:c>
      <x:c r="B15" s="24" t="str">
        <x:v>weather</x:v>
      </x:c>
      <x:c r="C15" s="24" t="str">
        <x:v>historical climate / climatological condition</x:v>
      </x:c>
      <x:c r="D15" s="25" t="str">
        <x:v>climate</x:v>
      </x:c>
      <x:c r="E15" s="25" t="str">
        <x:v>B</x:v>
      </x:c>
      <x:c r="F15" s="25" t="str">
        <x:v>BACKGROUND_AMBIGUOUS</x:v>
      </x:c>
      <x:c r="G15" s="25" t="str">
        <x:v>BACKGROUND_AMBIGUOUS</x:v>
      </x:c>
      <x:c r="H15" s="25" t="str">
        <x:v>eng</x:v>
      </x:c>
      <x:c r="I15" s="25" t="str">
        <x:v>current English corpus (July 2024 dataset; public shorthand eng; mutable current corpus)</x:v>
      </x:c>
      <x:c r="J15" s="25" t="str">
        <x:v>1842</x:v>
      </x:c>
      <x:c r="K15" s="25" t="str">
        <x:v>2022</x:v>
      </x:c>
      <x:c r="L15" s="25" t="str">
        <x:v>1842</x:v>
      </x:c>
      <x:c r="M15" s="25" t="str">
        <x:v>181</x:v>
      </x:c>
      <x:c r="N15" s="25" t="str">
        <x:v>1928</x:v>
      </x:c>
      <x:c r="O15" s="26" t="str">
        <x:v>6.017915046766659e-05</x:v>
      </x:c>
      <x:c r="P15" s="26" t="str">
        <x:v>3.185808739692569e-05</x:v>
      </x:c>
      <x:c r="Q15" s="26" t="str">
        <x:v>4.329318915097247e-05</x:v>
      </x:c>
      <x:c r="R15" s="26" t="str">
        <x:v>5.426566421712353e-05</x:v>
      </x:c>
      <x:c r="S15" s="26" t="str">
        <x:v>2.997015501321476e-05</x:v>
      </x:c>
      <x:c r="T15" s="26" t="str">
        <x:v>2.847566345511032e-05</x:v>
      </x:c>
      <x:c r="U15" s="26" t="str">
        <x:v>2.852544831488668e-05</x:v>
      </x:c>
      <x:c r="V15" s="26" t="str">
        <x:v>2.85005558849985e-05</x:v>
      </x:c>
      <x:c r="W15" s="26" t="str">
        <x:v>3.181802008718482e-05</x:v>
      </x:c>
      <x:c r="X15" s="26" t="str">
        <x:v>3.185808739692569e-05</x:v>
      </x:c>
      <x:c r="Y15" s="26" t="str">
        <x:v>3.185808739692569e-05</x:v>
      </x:c>
      <x:c r="Z15" s="25" t="str">
        <x:v>2022</x:v>
      </x:c>
      <x:c r="AA15" s="25" t="str">
        <x:v>AVAILABLE</x:v>
      </x:c>
      <x:c r="AB15" s="25" t="str">
        <x:v>AVAILABLE</x:v>
      </x:c>
      <x:c r="AC15" s="27" t="str">
        <x:v>Generic corpus string frequency; not climate-specific semantic frequency.</x:v>
      </x:c>
    </x:row>
    <x:row r="16" ht="19" customHeight="1">
      <x:c r="A16" s="23" t="str">
        <x:v>FT-Q-V01-015</x:v>
      </x:c>
      <x:c r="B16" s="24" t="str">
        <x:v>climate</x:v>
      </x:c>
      <x:c r="C16" s="24" t="str">
        <x:v>historical climate / climatological condition</x:v>
      </x:c>
      <x:c r="D16" s="25" t="str">
        <x:v>climate</x:v>
      </x:c>
      <x:c r="E16" s="25" t="str">
        <x:v>B</x:v>
      </x:c>
      <x:c r="F16" s="25" t="str">
        <x:v>BACKGROUND_AMBIGUOUS</x:v>
      </x:c>
      <x:c r="G16" s="25" t="str">
        <x:v>BACKGROUND_AMBIGUOUS</x:v>
      </x:c>
      <x:c r="H16" s="25" t="str">
        <x:v>eng</x:v>
      </x:c>
      <x:c r="I16" s="25" t="str">
        <x:v>current English corpus (July 2024 dataset; public shorthand eng; mutable current corpus)</x:v>
      </x:c>
      <x:c r="J16" s="25" t="str">
        <x:v>1842</x:v>
      </x:c>
      <x:c r="K16" s="25" t="str">
        <x:v>2022</x:v>
      </x:c>
      <x:c r="L16" s="25" t="str">
        <x:v>1842</x:v>
      </x:c>
      <x:c r="M16" s="25" t="str">
        <x:v>181</x:v>
      </x:c>
      <x:c r="N16" s="25" t="str">
        <x:v>2022</x:v>
      </x:c>
      <x:c r="O16" s="26" t="str">
        <x:v>6.484931783038578e-05</x:v>
      </x:c>
      <x:c r="P16" s="26" t="str">
        <x:v>6.484931783038578e-05</x:v>
      </x:c>
      <x:c r="Q16" s="26" t="str">
        <x:v>3.055828983633546e-05</x:v>
      </x:c>
      <x:c r="R16" s="26" t="str">
        <x:v>1.196127764144239e-05</x:v>
      </x:c>
      <x:c r="S16" s="26" t="str">
        <x:v>2.184559476219039e-05</x:v>
      </x:c>
      <x:c r="T16" s="26" t="str">
        <x:v>3.083595194560557e-05</x:v>
      </x:c>
      <x:c r="U16" s="26" t="str">
        <x:v>3.638060761700784e-05</x:v>
      </x:c>
      <x:c r="V16" s="26" t="str">
        <x:v>3.36082797813067e-05</x:v>
      </x:c>
      <x:c r="W16" s="26" t="str">
        <x:v>4.357352890455024e-05</x:v>
      </x:c>
      <x:c r="X16" s="26" t="str">
        <x:v>6.484931783038578e-05</x:v>
      </x:c>
      <x:c r="Y16" s="26" t="str">
        <x:v>6.484931783038578e-05</x:v>
      </x:c>
      <x:c r="Z16" s="25" t="str">
        <x:v>2022</x:v>
      </x:c>
      <x:c r="AA16" s="25" t="str">
        <x:v>AVAILABLE</x:v>
      </x:c>
      <x:c r="AB16" s="25" t="str">
        <x:v>AVAILABLE</x:v>
      </x:c>
      <x:c r="AC16" s="27" t="str">
        <x:v>Generic corpus string frequency; not climate-specific semantic frequency.</x:v>
      </x:c>
    </x:row>
    <x:row r="17" ht="19" customHeight="1">
      <x:c r="A17" s="23" t="str">
        <x:v>FT-Q-V01-016</x:v>
      </x:c>
      <x:c r="B17" s="24" t="str">
        <x:v>sun's heat</x:v>
      </x:c>
      <x:c r="C17" s="24" t="str">
        <x:v>physical heat source / state</x:v>
      </x:c>
      <x:c r="D17" s="25" t="str">
        <x:v>heat</x:v>
      </x:c>
      <x:c r="E17" s="25" t="str">
        <x:v>A</x:v>
      </x:c>
      <x:c r="F17" s="25" t="str">
        <x:v>EXECUTABLE_NGRAM</x:v>
      </x:c>
      <x:c r="G17" s="25" t="str">
        <x:v>CONTEXT_REQUIRED</x:v>
      </x:c>
      <x:c r="H17" s="25" t="str">
        <x:v>eng</x:v>
      </x:c>
      <x:c r="I17" s="25" t="str">
        <x:v>current English corpus (July 2024 dataset; public shorthand eng; mutable current corpus)</x:v>
      </x:c>
      <x:c r="J17" s="25" t="str">
        <x:v>1842</x:v>
      </x:c>
      <x:c r="K17" s="25" t="str">
        <x:v>2022</x:v>
      </x:c>
      <x:c r="L17" s="25" t="str"/>
      <x:c r="M17" s="25" t="str">
        <x:v>0</x:v>
      </x:c>
      <x:c r="N17" s="25" t="str"/>
      <x:c r="O17" s="26" t="str"/>
      <x:c r="P17" s="26" t="str"/>
      <x:c r="Q17" s="26" t="str"/>
      <x:c r="R17" s="26" t="str"/>
      <x:c r="S17" s="26" t="str"/>
      <x:c r="T17" s="26" t="str"/>
      <x:c r="U17" s="26" t="str"/>
      <x:c r="V17" s="26" t="str"/>
      <x:c r="W17" s="26" t="str"/>
      <x:c r="X17" s="26" t="str"/>
      <x:c r="Y17" s="26" t="str"/>
      <x:c r="Z17" s="25" t="str">
        <x:v>2022</x:v>
      </x:c>
      <x:c r="AA17" s="25" t="str">
        <x:v>NO_SERIES</x:v>
      </x:c>
      <x:c r="AB17" s="25" t="str">
        <x:v>NOT_AVAILABLE</x:v>
      </x:c>
      <x:c r="AC17" s="27" t="str">
        <x:v>Climate/temperature-linked lexical frequency; still not evidence of reception, voice, or affect without passage review.</x:v>
      </x:c>
    </x:row>
    <x:row r="18" ht="19" customHeight="1">
      <x:c r="A18" s="23" t="str">
        <x:v>FT-Q-V01-017</x:v>
      </x:c>
      <x:c r="B18" s="24" t="str">
        <x:v>radiation of the heat</x:v>
      </x:c>
      <x:c r="C18" s="24" t="str">
        <x:v>physical heat source / state</x:v>
      </x:c>
      <x:c r="D18" s="25" t="str">
        <x:v>heat</x:v>
      </x:c>
      <x:c r="E18" s="25" t="str">
        <x:v>B</x:v>
      </x:c>
      <x:c r="F18" s="25" t="str">
        <x:v>EXECUTABLE_NGRAM</x:v>
      </x:c>
      <x:c r="G18" s="25" t="str">
        <x:v>CONTEXT_REQUIRED</x:v>
      </x:c>
      <x:c r="H18" s="25" t="str">
        <x:v>eng</x:v>
      </x:c>
      <x:c r="I18" s="25" t="str">
        <x:v>current English corpus (July 2024 dataset; public shorthand eng; mutable current corpus)</x:v>
      </x:c>
      <x:c r="J18" s="25" t="str">
        <x:v>1842</x:v>
      </x:c>
      <x:c r="K18" s="25" t="str">
        <x:v>2022</x:v>
      </x:c>
      <x:c r="L18" s="25" t="str">
        <x:v>1842</x:v>
      </x:c>
      <x:c r="M18" s="25" t="str">
        <x:v>180</x:v>
      </x:c>
      <x:c r="N18" s="25" t="str">
        <x:v>1850</x:v>
      </x:c>
      <x:c r="O18" s="26" t="str">
        <x:v>2.759668937812876e-08</x:v>
      </x:c>
      <x:c r="P18" s="26" t="str">
        <x:v>5.081168263920688e-10</x:v>
      </x:c>
      <x:c r="Q18" s="26" t="str">
        <x:v>5.867545560533927e-09</x:v>
      </x:c>
      <x:c r="R18" s="26" t="str">
        <x:v>2.708925944672202e-09</x:v>
      </x:c>
      <x:c r="S18" s="26" t="str">
        <x:v>1.792699877434245e-10</x:v>
      </x:c>
      <x:c r="T18" s="26" t="str">
        <x:v>4.318347346377038e-10</x:v>
      </x:c>
      <x:c r="U18" s="26" t="str">
        <x:v>7.925886058579579e-10</x:v>
      </x:c>
      <x:c r="V18" s="26" t="str">
        <x:v>6.122116702478309e-10</x:v>
      </x:c>
      <x:c r="W18" s="26" t="str">
        <x:v>4.301466960399125e-10</x:v>
      </x:c>
      <x:c r="X18" s="26" t="str">
        <x:v>5.081168263920688e-10</x:v>
      </x:c>
      <x:c r="Y18" s="26" t="str">
        <x:v>5.081168263920688e-10</x:v>
      </x:c>
      <x:c r="Z18" s="25" t="str">
        <x:v>2022</x:v>
      </x:c>
      <x:c r="AA18" s="25" t="str">
        <x:v>AVAILABLE</x:v>
      </x:c>
      <x:c r="AB18" s="25" t="str">
        <x:v>AVAILABLE</x:v>
      </x:c>
      <x:c r="AC18" s="27" t="str">
        <x:v>Climate/temperature-linked lexical frequency; still not evidence of reception, voice, or affect without passage review.</x:v>
      </x:c>
    </x:row>
    <x:row r="19" ht="19" customHeight="1">
      <x:c r="A19" s="23" t="str">
        <x:v>FT-Q-V01-018</x:v>
      </x:c>
      <x:c r="B19" s="24" t="str">
        <x:v>changes of temperature</x:v>
      </x:c>
      <x:c r="C19" s="24" t="str">
        <x:v>local / instrumental temperature</x:v>
      </x:c>
      <x:c r="D19" s="25" t="str">
        <x:v>temperature_threshold</x:v>
      </x:c>
      <x:c r="E19" s="25" t="str">
        <x:v>A</x:v>
      </x:c>
      <x:c r="F19" s="25" t="str">
        <x:v>EXECUTABLE_NGRAM</x:v>
      </x:c>
      <x:c r="G19" s="25" t="str">
        <x:v>CONTEXT_REQUIRED</x:v>
      </x:c>
      <x:c r="H19" s="25" t="str">
        <x:v>eng</x:v>
      </x:c>
      <x:c r="I19" s="25" t="str">
        <x:v>current English corpus (July 2024 dataset; public shorthand eng; mutable current corpus)</x:v>
      </x:c>
      <x:c r="J19" s="25" t="str">
        <x:v>1842</x:v>
      </x:c>
      <x:c r="K19" s="25" t="str">
        <x:v>2022</x:v>
      </x:c>
      <x:c r="L19" s="25" t="str">
        <x:v>1842</x:v>
      </x:c>
      <x:c r="M19" s="25" t="str">
        <x:v>181</x:v>
      </x:c>
      <x:c r="N19" s="25" t="str">
        <x:v>1884</x:v>
      </x:c>
      <x:c r="O19" s="26" t="str">
        <x:v>9.022425947469159e-07</x:v>
      </x:c>
      <x:c r="P19" s="26" t="str">
        <x:v>6.394769389017618e-08</x:v>
      </x:c>
      <x:c r="Q19" s="26" t="str">
        <x:v>6.602953730450167e-07</x:v>
      </x:c>
      <x:c r="R19" s="26" t="str">
        <x:v>2.283350331311329e-07</x:v>
      </x:c>
      <x:c r="S19" s="26" t="str">
        <x:v>3.962615856278884e-08</x:v>
      </x:c>
      <x:c r="T19" s="26" t="str">
        <x:v>2.754631066997915e-08</x:v>
      </x:c>
      <x:c r="U19" s="26" t="str">
        <x:v>4.290605436219064e-08</x:v>
      </x:c>
      <x:c r="V19" s="26" t="str">
        <x:v>3.522618251608489e-08</x:v>
      </x:c>
      <x:c r="W19" s="26" t="str">
        <x:v>2.989213794199475e-08</x:v>
      </x:c>
      <x:c r="X19" s="26" t="str">
        <x:v>6.394769389017618e-08</x:v>
      </x:c>
      <x:c r="Y19" s="26" t="str">
        <x:v>6.394769389017618e-08</x:v>
      </x:c>
      <x:c r="Z19" s="25" t="str">
        <x:v>2022</x:v>
      </x:c>
      <x:c r="AA19" s="25" t="str">
        <x:v>AVAILABLE</x:v>
      </x:c>
      <x:c r="AB19" s="25" t="str">
        <x:v>AVAILABLE</x:v>
      </x:c>
      <x:c r="AC19" s="27" t="str">
        <x:v>Climate/temperature-linked lexical frequency; still not evidence of reception, voice, or affect without passage review.</x:v>
      </x:c>
    </x:row>
    <x:row r="20" ht="19" customHeight="1">
      <x:c r="A20" s="23" t="str">
        <x:v>FT-Q-V01-019</x:v>
      </x:c>
      <x:c r="B20" s="24" t="str">
        <x:v>excessive heat</x:v>
      </x:c>
      <x:c r="C20" s="24" t="str">
        <x:v>extreme-heat hazard</x:v>
      </x:c>
      <x:c r="D20" s="25" t="str">
        <x:v>heat</x:v>
      </x:c>
      <x:c r="E20" s="25" t="str">
        <x:v>D</x:v>
      </x:c>
      <x:c r="F20" s="25" t="str">
        <x:v>EXECUTABLE_NGRAM</x:v>
      </x:c>
      <x:c r="G20" s="25" t="str">
        <x:v>CONTEXT_REQUIRED</x:v>
      </x:c>
      <x:c r="H20" s="25" t="str">
        <x:v>eng</x:v>
      </x:c>
      <x:c r="I20" s="25" t="str">
        <x:v>current English corpus (July 2024 dataset; public shorthand eng; mutable current corpus)</x:v>
      </x:c>
      <x:c r="J20" s="25" t="str">
        <x:v>1842</x:v>
      </x:c>
      <x:c r="K20" s="25" t="str">
        <x:v>2022</x:v>
      </x:c>
      <x:c r="L20" s="25" t="str">
        <x:v>1842</x:v>
      </x:c>
      <x:c r="M20" s="25" t="str">
        <x:v>181</x:v>
      </x:c>
      <x:c r="N20" s="25" t="str">
        <x:v>1842</x:v>
      </x:c>
      <x:c r="O20" s="26" t="str">
        <x:v>4.727764535417123e-07</x:v>
      </x:c>
      <x:c r="P20" s="26" t="str">
        <x:v>1.668727563908234e-07</x:v>
      </x:c>
      <x:c r="Q20" s="26" t="str">
        <x:v>4.727764535417123e-07</x:v>
      </x:c>
      <x:c r="R20" s="26" t="str">
        <x:v>4.204291131626459e-07</x:v>
      </x:c>
      <x:c r="S20" s="26" t="str">
        <x:v>1.919429495761404e-07</x:v>
      </x:c>
      <x:c r="T20" s="26" t="str">
        <x:v>1.719103683017753e-07</x:v>
      </x:c>
      <x:c r="U20" s="26" t="str">
        <x:v>1.945187375618218e-07</x:v>
      </x:c>
      <x:c r="V20" s="26" t="str">
        <x:v>1.832145529317986e-07</x:v>
      </x:c>
      <x:c r="W20" s="26" t="str">
        <x:v>1.528099464187527e-07</x:v>
      </x:c>
      <x:c r="X20" s="26" t="str">
        <x:v>1.668727563908234e-07</x:v>
      </x:c>
      <x:c r="Y20" s="26" t="str">
        <x:v>1.668727563908234e-07</x:v>
      </x:c>
      <x:c r="Z20" s="25" t="str">
        <x:v>2022</x:v>
      </x:c>
      <x:c r="AA20" s="25" t="str">
        <x:v>AVAILABLE</x:v>
      </x:c>
      <x:c r="AB20" s="25" t="str">
        <x:v>AVAILABLE</x:v>
      </x:c>
      <x:c r="AC20" s="27" t="str">
        <x:v>Climate/temperature-linked lexical frequency; still not evidence of reception, voice, or affect without passage review.</x:v>
      </x:c>
    </x:row>
    <x:row r="21" ht="19" customHeight="1">
      <x:c r="A21" s="23" t="str">
        <x:v>FT-Q-V01-020</x:v>
      </x:c>
      <x:c r="B21" s="24" t="str">
        <x:v>heat of the men</x:v>
      </x:c>
      <x:c r="C21" s="24" t="str">
        <x:v>embodied heat exposure</x:v>
      </x:c>
      <x:c r="D21" s="25" t="str">
        <x:v>heat</x:v>
      </x:c>
      <x:c r="E21" s="25" t="str">
        <x:v>A</x:v>
      </x:c>
      <x:c r="F21" s="25" t="str">
        <x:v>EXECUTABLE_NGRAM</x:v>
      </x:c>
      <x:c r="G21" s="25" t="str">
        <x:v>CONTEXT_REQUIRED</x:v>
      </x:c>
      <x:c r="H21" s="25" t="str">
        <x:v>eng</x:v>
      </x:c>
      <x:c r="I21" s="25" t="str">
        <x:v>current English corpus (July 2024 dataset; public shorthand eng; mutable current corpus)</x:v>
      </x:c>
      <x:c r="J21" s="25" t="str">
        <x:v>1842</x:v>
      </x:c>
      <x:c r="K21" s="25" t="str">
        <x:v>2022</x:v>
      </x:c>
      <x:c r="L21" s="25" t="str">
        <x:v>1842</x:v>
      </x:c>
      <x:c r="M21" s="25" t="str">
        <x:v>88</x:v>
      </x:c>
      <x:c r="N21" s="25" t="str">
        <x:v>1864</x:v>
      </x:c>
      <x:c r="O21" s="26" t="str">
        <x:v>7.825550873974407e-09</x:v>
      </x:c>
      <x:c r="P21" s="26" t="str">
        <x:v>1.524350368153904e-10</x:v>
      </x:c>
      <x:c r="Q21" s="26" t="str">
        <x:v>7.334431950667408e-10</x:v>
      </x:c>
      <x:c r="R21" s="26" t="str">
        <x:v>0</x:v>
      </x:c>
      <x:c r="S21" s="26" t="str">
        <x:v>5.975666489410614e-11</x:v>
      </x:c>
      <x:c r="T21" s="26" t="str">
        <x:v>5.397934182971298e-11</x:v>
      </x:c>
      <x:c r="U21" s="26" t="str">
        <x:v>1.585177267227067e-10</x:v>
      </x:c>
      <x:c r="V21" s="26" t="str">
        <x:v>1.062485342762098e-10</x:v>
      </x:c>
      <x:c r="W21" s="26" t="str">
        <x:v>1.613050110149672e-10</x:v>
      </x:c>
      <x:c r="X21" s="26" t="str">
        <x:v>1.524350368153904e-10</x:v>
      </x:c>
      <x:c r="Y21" s="26" t="str">
        <x:v>1.524350368153904e-10</x:v>
      </x:c>
      <x:c r="Z21" s="25" t="str">
        <x:v>2022</x:v>
      </x:c>
      <x:c r="AA21" s="25" t="str">
        <x:v>AVAILABLE</x:v>
      </x:c>
      <x:c r="AB21" s="25" t="str">
        <x:v>AVAILABLE</x:v>
      </x:c>
      <x:c r="AC21" s="27" t="str">
        <x:v>Climate/temperature-linked lexical frequency; still not evidence of reception, voice, or affect without passage review.</x:v>
      </x:c>
    </x:row>
    <x:row r="22" ht="19" customHeight="1">
      <x:c r="A22" s="23" t="str">
        <x:v>FT-Q-V01-021</x:v>
      </x:c>
      <x:c r="B22" s="24" t="str">
        <x:v>artificial production of carbon dioxide</x:v>
      </x:c>
      <x:c r="C22" s="24" t="str">
        <x:v>anthropogenic carbon-dioxide production</x:v>
      </x:c>
      <x:c r="D22" s="25" t="str">
        <x:v>carbon_greenhouse</x:v>
      </x:c>
      <x:c r="E22" s="25" t="str">
        <x:v>B</x:v>
      </x:c>
      <x:c r="F22" s="25" t="str">
        <x:v>EXECUTABLE_NGRAM</x:v>
      </x:c>
      <x:c r="G22" s="25" t="str">
        <x:v>CONTEXT_REQUIRED</x:v>
      </x:c>
      <x:c r="H22" s="25" t="str">
        <x:v>eng</x:v>
      </x:c>
      <x:c r="I22" s="25" t="str">
        <x:v>current English corpus (July 2024 dataset; public shorthand eng; mutable current corpus)</x:v>
      </x:c>
      <x:c r="J22" s="25" t="str">
        <x:v>1842</x:v>
      </x:c>
      <x:c r="K22" s="25" t="str">
        <x:v>2022</x:v>
      </x:c>
      <x:c r="L22" s="25" t="str">
        <x:v>1902</x:v>
      </x:c>
      <x:c r="M22" s="25" t="str">
        <x:v>79</x:v>
      </x:c>
      <x:c r="N22" s="25" t="str">
        <x:v>1938</x:v>
      </x:c>
      <x:c r="O22" s="26" t="str">
        <x:v>4.288904842386643e-09</x:v>
      </x:c>
      <x:c r="P22" s="26" t="str">
        <x:v>1.794034754087903e-09</x:v>
      </x:c>
      <x:c r="Q22" s="26" t="str">
        <x:v>0</x:v>
      </x:c>
      <x:c r="R22" s="26" t="str">
        <x:v>4.288904842386643e-09</x:v>
      </x:c>
      <x:c r="S22" s="26" t="str">
        <x:v>3.258350533830168e-10</x:v>
      </x:c>
      <x:c r="T22" s="26" t="str">
        <x:v>5.240586020693883e-10</x:v>
      </x:c>
      <x:c r="U22" s="26" t="str">
        <x:v>9.678072787622227e-10</x:v>
      </x:c>
      <x:c r="V22" s="26" t="str">
        <x:v>7.459329404158055e-10</x:v>
      </x:c>
      <x:c r="W22" s="26" t="str">
        <x:v>1.151764794649068e-09</x:v>
      </x:c>
      <x:c r="X22" s="26" t="str">
        <x:v>1.794034754087903e-09</x:v>
      </x:c>
      <x:c r="Y22" s="26" t="str">
        <x:v>1.794034754087903e-09</x:v>
      </x:c>
      <x:c r="Z22" s="25" t="str">
        <x:v>2022</x:v>
      </x:c>
      <x:c r="AA22" s="25" t="str">
        <x:v>AVAILABLE</x:v>
      </x:c>
      <x:c r="AB22" s="25" t="str">
        <x:v>AVAILABLE</x:v>
      </x:c>
      <x:c r="AC22" s="27" t="str">
        <x:v>Climate/temperature-linked lexical frequency; still not evidence of reception, voice, or affect without passage review.</x:v>
      </x:c>
    </x:row>
    <x:row r="23" ht="19" customHeight="1">
      <x:c r="A23" s="23" t="str">
        <x:v>FT-Q-V01-022</x:v>
      </x:c>
      <x:c r="B23" s="24" t="str">
        <x:v>carbon dioxide</x:v>
      </x:c>
      <x:c r="C23" s="24" t="str">
        <x:v>atmospheric carbon dioxide</x:v>
      </x:c>
      <x:c r="D23" s="25" t="str">
        <x:v>carbon_greenhouse</x:v>
      </x:c>
      <x:c r="E23" s="25" t="str">
        <x:v>B</x:v>
      </x:c>
      <x:c r="F23" s="25" t="str">
        <x:v>EXECUTABLE_NGRAM</x:v>
      </x:c>
      <x:c r="G23" s="25" t="str">
        <x:v>CONTEXT_REQUIRED</x:v>
      </x:c>
      <x:c r="H23" s="25" t="str">
        <x:v>eng</x:v>
      </x:c>
      <x:c r="I23" s="25" t="str">
        <x:v>current English corpus (July 2024 dataset; public shorthand eng; mutable current corpus)</x:v>
      </x:c>
      <x:c r="J23" s="25" t="str">
        <x:v>1842</x:v>
      </x:c>
      <x:c r="K23" s="25" t="str">
        <x:v>2022</x:v>
      </x:c>
      <x:c r="L23" s="25" t="str">
        <x:v>1842</x:v>
      </x:c>
      <x:c r="M23" s="25" t="str">
        <x:v>177</x:v>
      </x:c>
      <x:c r="N23" s="25" t="str">
        <x:v>1965</x:v>
      </x:c>
      <x:c r="O23" s="26" t="str">
        <x:v>1.041381219862858e-05</x:v>
      </x:c>
      <x:c r="P23" s="26" t="str">
        <x:v>7.577890368426488e-06</x:v>
      </x:c>
      <x:c r="Q23" s="26" t="str">
        <x:v>7.094871634638622e-09</x:v>
      </x:c>
      <x:c r="R23" s="26" t="str">
        <x:v>9.657730330014935e-06</x:v>
      </x:c>
      <x:c r="S23" s="26" t="str">
        <x:v>7.055988905570881e-06</x:v>
      </x:c>
      <x:c r="T23" s="26" t="str">
        <x:v>6.240827137342364e-06</x:v>
      </x:c>
      <x:c r="U23" s="26" t="str">
        <x:v>7.639031842188865e-06</x:v>
      </x:c>
      <x:c r="V23" s="26" t="str">
        <x:v>6.939929489765614e-06</x:v>
      </x:c>
      <x:c r="W23" s="26" t="str">
        <x:v>7.018469256155763e-06</x:v>
      </x:c>
      <x:c r="X23" s="26" t="str">
        <x:v>7.577890368426488e-06</x:v>
      </x:c>
      <x:c r="Y23" s="26" t="str">
        <x:v>7.577890368426488e-06</x:v>
      </x:c>
      <x:c r="Z23" s="25" t="str">
        <x:v>2022</x:v>
      </x:c>
      <x:c r="AA23" s="25" t="str">
        <x:v>AVAILABLE</x:v>
      </x:c>
      <x:c r="AB23" s="25" t="str">
        <x:v>AVAILABLE</x:v>
      </x:c>
      <x:c r="AC23" s="27" t="str">
        <x:v>Climate/temperature-linked lexical frequency; still not evidence of reception, voice, or affect without passage review.</x:v>
      </x:c>
    </x:row>
    <x:row r="24" ht="19" customHeight="1">
      <x:c r="A24" s="23" t="str">
        <x:v>FT-Q-V01-023</x:v>
      </x:c>
      <x:c r="B24" s="24" t="str">
        <x:v>fuel combustion</x:v>
      </x:c>
      <x:c r="C24" s="24" t="str">
        <x:v>anthropogenic carbon-dioxide production</x:v>
      </x:c>
      <x:c r="D24" s="25" t="str">
        <x:v>carbon_greenhouse</x:v>
      </x:c>
      <x:c r="E24" s="25" t="str">
        <x:v>B</x:v>
      </x:c>
      <x:c r="F24" s="25" t="str">
        <x:v>EXECUTABLE_NGRAM</x:v>
      </x:c>
      <x:c r="G24" s="25" t="str">
        <x:v>CONTEXT_REQUIRED</x:v>
      </x:c>
      <x:c r="H24" s="25" t="str">
        <x:v>eng</x:v>
      </x:c>
      <x:c r="I24" s="25" t="str">
        <x:v>current English corpus (July 2024 dataset; public shorthand eng; mutable current corpus)</x:v>
      </x:c>
      <x:c r="J24" s="25" t="str">
        <x:v>1842</x:v>
      </x:c>
      <x:c r="K24" s="25" t="str">
        <x:v>2022</x:v>
      </x:c>
      <x:c r="L24" s="25" t="str">
        <x:v>1852</x:v>
      </x:c>
      <x:c r="M24" s="25" t="str">
        <x:v>163</x:v>
      </x:c>
      <x:c r="N24" s="25" t="str">
        <x:v>1978</x:v>
      </x:c>
      <x:c r="O24" s="26" t="str">
        <x:v>4.672991359144785e-07</x:v>
      </x:c>
      <x:c r="P24" s="26" t="str">
        <x:v>2.188545896730787e-07</x:v>
      </x:c>
      <x:c r="Q24" s="26" t="str">
        <x:v>0</x:v>
      </x:c>
      <x:c r="R24" s="26" t="str">
        <x:v>3.608451315528782e-08</x:v>
      </x:c>
      <x:c r="S24" s="26" t="str">
        <x:v>2.62274336634144e-07</x:v>
      </x:c>
      <x:c r="T24" s="26" t="str">
        <x:v>1.396342554360608e-07</x:v>
      </x:c>
      <x:c r="U24" s="26" t="str">
        <x:v>1.814758646689896e-07</x:v>
      </x:c>
      <x:c r="V24" s="26" t="str">
        <x:v>1.605550600525252e-07</x:v>
      </x:c>
      <x:c r="W24" s="26" t="str">
        <x:v>1.964765977136018e-07</x:v>
      </x:c>
      <x:c r="X24" s="26" t="str">
        <x:v>2.188545896730787e-07</x:v>
      </x:c>
      <x:c r="Y24" s="26" t="str">
        <x:v>2.188545896730787e-07</x:v>
      </x:c>
      <x:c r="Z24" s="25" t="str">
        <x:v>2022</x:v>
      </x:c>
      <x:c r="AA24" s="25" t="str">
        <x:v>AVAILABLE</x:v>
      </x:c>
      <x:c r="AB24" s="25" t="str">
        <x:v>AVAILABLE</x:v>
      </x:c>
      <x:c r="AC24" s="27" t="str">
        <x:v>Climate/temperature-linked lexical frequency; still not evidence of reception, voice, or affect without passage review.</x:v>
      </x:c>
    </x:row>
    <x:row r="25" ht="19" customHeight="1">
      <x:c r="A25" s="23" t="str">
        <x:v>FT-Q-V01-024</x:v>
      </x:c>
      <x:c r="B25" s="24" t="str">
        <x:v>air</x:v>
      </x:c>
      <x:c r="C25" s="24" t="str">
        <x:v>historical climate / climatological condition</x:v>
      </x:c>
      <x:c r="D25" s="25" t="str">
        <x:v>climate</x:v>
      </x:c>
      <x:c r="E25" s="25" t="str">
        <x:v>B</x:v>
      </x:c>
      <x:c r="F25" s="25" t="str">
        <x:v>BACKGROUND_AMBIGUOUS</x:v>
      </x:c>
      <x:c r="G25" s="25" t="str">
        <x:v>BACKGROUND_AMBIGUOUS</x:v>
      </x:c>
      <x:c r="H25" s="25" t="str">
        <x:v>eng</x:v>
      </x:c>
      <x:c r="I25" s="25" t="str">
        <x:v>current English corpus (July 2024 dataset; public shorthand eng; mutable current corpus)</x:v>
      </x:c>
      <x:c r="J25" s="25" t="str">
        <x:v>1842</x:v>
      </x:c>
      <x:c r="K25" s="25" t="str">
        <x:v>2022</x:v>
      </x:c>
      <x:c r="L25" s="25" t="str">
        <x:v>1842</x:v>
      </x:c>
      <x:c r="M25" s="25" t="str">
        <x:v>181</x:v>
      </x:c>
      <x:c r="N25" s="25" t="str">
        <x:v>1944</x:v>
      </x:c>
      <x:c r="O25" s="26" t="str">
        <x:v>0.0003521059437459062</x:v>
      </x:c>
      <x:c r="P25" s="26" t="str">
        <x:v>0.0001629262595982672</x:v>
      </x:c>
      <x:c r="Q25" s="26" t="str">
        <x:v>0.0001596951176452421</x:v>
      </x:c>
      <x:c r="R25" s="26" t="str">
        <x:v>0.0002449050748590531</x:v>
      </x:c>
      <x:c r="S25" s="26" t="str">
        <x:v>0.000195882758400559</x:v>
      </x:c>
      <x:c r="T25" s="26" t="str">
        <x:v>0.0001554248265307964</x:v>
      </x:c>
      <x:c r="U25" s="26" t="str">
        <x:v>0.0001617948143970288</x:v>
      </x:c>
      <x:c r="V25" s="26" t="str">
        <x:v>0.0001586098204639126</x:v>
      </x:c>
      <x:c r="W25" s="26" t="str">
        <x:v>0.0001673772195566331</x:v>
      </x:c>
      <x:c r="X25" s="26" t="str">
        <x:v>0.0001629262595982672</x:v>
      </x:c>
      <x:c r="Y25" s="26" t="str">
        <x:v>0.0001629262595982672</x:v>
      </x:c>
      <x:c r="Z25" s="25" t="str">
        <x:v>2022</x:v>
      </x:c>
      <x:c r="AA25" s="25" t="str">
        <x:v>AVAILABLE</x:v>
      </x:c>
      <x:c r="AB25" s="25" t="str">
        <x:v>AVAILABLE</x:v>
      </x:c>
      <x:c r="AC25" s="27" t="str">
        <x:v>Generic corpus string frequency; not climate-specific semantic frequency.</x:v>
      </x:c>
    </x:row>
    <x:row r="26" ht="19" customHeight="1">
      <x:c r="A26" s="23" t="str">
        <x:v>FT-Q-V01-025</x:v>
      </x:c>
      <x:c r="B26" s="24" t="str">
        <x:v>atmosphere</x:v>
      </x:c>
      <x:c r="C26" s="24" t="str">
        <x:v>historical climate / climatological condition</x:v>
      </x:c>
      <x:c r="D26" s="25" t="str">
        <x:v>climate</x:v>
      </x:c>
      <x:c r="E26" s="25" t="str">
        <x:v>B</x:v>
      </x:c>
      <x:c r="F26" s="25" t="str">
        <x:v>BACKGROUND_AMBIGUOUS</x:v>
      </x:c>
      <x:c r="G26" s="25" t="str">
        <x:v>BACKGROUND_AMBIGUOUS</x:v>
      </x:c>
      <x:c r="H26" s="25" t="str">
        <x:v>eng</x:v>
      </x:c>
      <x:c r="I26" s="25" t="str">
        <x:v>current English corpus (July 2024 dataset; public shorthand eng; mutable current corpus)</x:v>
      </x:c>
      <x:c r="J26" s="25" t="str">
        <x:v>1842</x:v>
      </x:c>
      <x:c r="K26" s="25" t="str">
        <x:v>2022</x:v>
      </x:c>
      <x:c r="L26" s="25" t="str">
        <x:v>1842</x:v>
      </x:c>
      <x:c r="M26" s="25" t="str">
        <x:v>181</x:v>
      </x:c>
      <x:c r="N26" s="25" t="str">
        <x:v>1965</x:v>
      </x:c>
      <x:c r="O26" s="26" t="str">
        <x:v>3.836178537423851e-05</x:v>
      </x:c>
      <x:c r="P26" s="26" t="str">
        <x:v>2.270211442953474e-05</x:v>
      </x:c>
      <x:c r="Q26" s="26" t="str">
        <x:v>2.831485350895946e-05</x:v>
      </x:c>
      <x:c r="R26" s="26" t="str">
        <x:v>1.888270770677991e-05</x:v>
      </x:c>
      <x:c r="S26" s="26" t="str">
        <x:v>2.367981869610958e-05</x:v>
      </x:c>
      <x:c r="T26" s="26" t="str">
        <x:v>2.126778495892268e-05</x:v>
      </x:c>
      <x:c r="U26" s="26" t="str">
        <x:v>2.173044436442478e-05</x:v>
      </x:c>
      <x:c r="V26" s="26" t="str">
        <x:v>2.149911466167373e-05</x:v>
      </x:c>
      <x:c r="W26" s="26" t="str">
        <x:v>2.122521947781064e-05</x:v>
      </x:c>
      <x:c r="X26" s="26" t="str">
        <x:v>2.270211442953474e-05</x:v>
      </x:c>
      <x:c r="Y26" s="26" t="str">
        <x:v>2.270211442953474e-05</x:v>
      </x:c>
      <x:c r="Z26" s="25" t="str">
        <x:v>2022</x:v>
      </x:c>
      <x:c r="AA26" s="25" t="str">
        <x:v>AVAILABLE</x:v>
      </x:c>
      <x:c r="AB26" s="25" t="str">
        <x:v>AVAILABLE</x:v>
      </x:c>
      <x:c r="AC26" s="27" t="str">
        <x:v>Generic corpus string frequency; not climate-specific semantic frequency.</x:v>
      </x:c>
    </x:row>
    <x:row r="27" ht="19" customHeight="1">
      <x:c r="A27" s="23" t="str">
        <x:v>FT-Q-V01-026</x:v>
      </x:c>
      <x:c r="B27" s="24" t="str">
        <x:v>radiation absorption coefficients</x:v>
      </x:c>
      <x:c r="C27" s="24" t="str">
        <x:v>historical climate / climatological condition</x:v>
      </x:c>
      <x:c r="D27" s="25" t="str">
        <x:v>climate</x:v>
      </x:c>
      <x:c r="E27" s="25" t="str">
        <x:v>B</x:v>
      </x:c>
      <x:c r="F27" s="25" t="str">
        <x:v>EXECUTABLE_NGRAM</x:v>
      </x:c>
      <x:c r="G27" s="25" t="str">
        <x:v>CONTEXT_REQUIRED</x:v>
      </x:c>
      <x:c r="H27" s="25" t="str">
        <x:v>eng</x:v>
      </x:c>
      <x:c r="I27" s="25" t="str">
        <x:v>current English corpus (July 2024 dataset; public shorthand eng; mutable current corpus)</x:v>
      </x:c>
      <x:c r="J27" s="25" t="str">
        <x:v>1842</x:v>
      </x:c>
      <x:c r="K27" s="25" t="str">
        <x:v>2022</x:v>
      </x:c>
      <x:c r="L27" s="25" t="str">
        <x:v>1929</x:v>
      </x:c>
      <x:c r="M27" s="25" t="str">
        <x:v>76</x:v>
      </x:c>
      <x:c r="N27" s="25" t="str">
        <x:v>1982</x:v>
      </x:c>
      <x:c r="O27" s="26" t="str">
        <x:v>6.327038087894366e-09</x:v>
      </x:c>
      <x:c r="P27" s="26" t="str">
        <x:v>4.729858865681891e-11</x:v>
      </x:c>
      <x:c r="Q27" s="26" t="str">
        <x:v>0</x:v>
      </x:c>
      <x:c r="R27" s="26" t="str">
        <x:v>1.222350221041779e-09</x:v>
      </x:c>
      <x:c r="S27" s="26" t="str">
        <x:v>3.784216828783826e-10</x:v>
      </x:c>
      <x:c r="T27" s="26" t="str">
        <x:v>9.908744658115864e-11</x:v>
      </x:c>
      <x:c r="U27" s="26" t="str">
        <x:v>3.887298122284832e-10</x:v>
      </x:c>
      <x:c r="V27" s="26" t="str">
        <x:v>2.439086294048209e-10</x:v>
      </x:c>
      <x:c r="W27" s="26" t="str">
        <x:v>9.997370292724739e-11</x:v>
      </x:c>
      <x:c r="X27" s="26" t="str">
        <x:v>4.729858865681891e-11</x:v>
      </x:c>
      <x:c r="Y27" s="26" t="str">
        <x:v>4.729858865681891e-11</x:v>
      </x:c>
      <x:c r="Z27" s="25" t="str">
        <x:v>2022</x:v>
      </x:c>
      <x:c r="AA27" s="25" t="str">
        <x:v>AVAILABLE</x:v>
      </x:c>
      <x:c r="AB27" s="25" t="str">
        <x:v>AVAILABLE</x:v>
      </x:c>
      <x:c r="AC27" s="27" t="str">
        <x:v>Climate/temperature-linked lexical frequency; still not evidence of reception, voice, or affect without passage review.</x:v>
      </x:c>
    </x:row>
    <x:row r="28" ht="19" customHeight="1">
      <x:c r="A28" s="23" t="str">
        <x:v>FT-Q-V01-027</x:v>
      </x:c>
      <x:c r="B28" s="24" t="str">
        <x:v>water vapour</x:v>
      </x:c>
      <x:c r="C28" s="24" t="str">
        <x:v>historical climate / climatological condition</x:v>
      </x:c>
      <x:c r="D28" s="25" t="str">
        <x:v>climate</x:v>
      </x:c>
      <x:c r="E28" s="25" t="str">
        <x:v>B</x:v>
      </x:c>
      <x:c r="F28" s="25" t="str">
        <x:v>EXECUTABLE_NGRAM</x:v>
      </x:c>
      <x:c r="G28" s="25" t="str">
        <x:v>CONTEXT_REQUIRED</x:v>
      </x:c>
      <x:c r="H28" s="25" t="str">
        <x:v>eng</x:v>
      </x:c>
      <x:c r="I28" s="25" t="str">
        <x:v>current English corpus (July 2024 dataset; public shorthand eng; mutable current corpus)</x:v>
      </x:c>
      <x:c r="J28" s="25" t="str">
        <x:v>1842</x:v>
      </x:c>
      <x:c r="K28" s="25" t="str">
        <x:v>2022</x:v>
      </x:c>
      <x:c r="L28" s="25" t="str">
        <x:v>1842</x:v>
      </x:c>
      <x:c r="M28" s="25" t="str">
        <x:v>181</x:v>
      </x:c>
      <x:c r="N28" s="25" t="str">
        <x:v>1960</x:v>
      </x:c>
      <x:c r="O28" s="26" t="str">
        <x:v>1.108909701168226e-06</x:v>
      </x:c>
      <x:c r="P28" s="26" t="str">
        <x:v>5.510517200879583e-07</x:v>
      </x:c>
      <x:c r="Q28" s="26" t="str">
        <x:v>4.514918217068953e-09</x:v>
      </x:c>
      <x:c r="R28" s="26" t="str">
        <x:v>6.766959614878942e-07</x:v>
      </x:c>
      <x:c r="S28" s="26" t="str">
        <x:v>6.493189931566778e-07</x:v>
      </x:c>
      <x:c r="T28" s="26" t="str">
        <x:v>5.637561245712408e-07</x:v>
      </x:c>
      <x:c r="U28" s="26" t="str">
        <x:v>5.652062349884024e-07</x:v>
      </x:c>
      <x:c r="V28" s="26" t="str">
        <x:v>5.644811797798216e-07</x:v>
      </x:c>
      <x:c r="W28" s="26" t="str">
        <x:v>5.057859777633789e-07</x:v>
      </x:c>
      <x:c r="X28" s="26" t="str">
        <x:v>5.510517200879583e-07</x:v>
      </x:c>
      <x:c r="Y28" s="26" t="str">
        <x:v>5.510517200879583e-07</x:v>
      </x:c>
      <x:c r="Z28" s="25" t="str">
        <x:v>2022</x:v>
      </x:c>
      <x:c r="AA28" s="25" t="str">
        <x:v>AVAILABLE</x:v>
      </x:c>
      <x:c r="AB28" s="25" t="str">
        <x:v>AVAILABLE</x:v>
      </x:c>
      <x:c r="AC28" s="27" t="str">
        <x:v>Climate/temperature-linked lexical frequency; still not evidence of reception, voice, or affect without passage review.</x:v>
      </x:c>
    </x:row>
    <x:row r="29" ht="19" customHeight="1">
      <x:c r="A29" s="23" t="str">
        <x:v>FT-Q-V01-028</x:v>
      </x:c>
      <x:c r="B29" s="24" t="str">
        <x:v>sky radiation</x:v>
      </x:c>
      <x:c r="C29" s="24" t="str">
        <x:v>historical climate / climatological condition</x:v>
      </x:c>
      <x:c r="D29" s="25" t="str">
        <x:v>climate</x:v>
      </x:c>
      <x:c r="E29" s="25" t="str">
        <x:v>B</x:v>
      </x:c>
      <x:c r="F29" s="25" t="str">
        <x:v>EXECUTABLE_NGRAM</x:v>
      </x:c>
      <x:c r="G29" s="25" t="str">
        <x:v>CONTEXT_REQUIRED</x:v>
      </x:c>
      <x:c r="H29" s="25" t="str">
        <x:v>eng</x:v>
      </x:c>
      <x:c r="I29" s="25" t="str">
        <x:v>current English corpus (July 2024 dataset; public shorthand eng; mutable current corpus)</x:v>
      </x:c>
      <x:c r="J29" s="25" t="str">
        <x:v>1842</x:v>
      </x:c>
      <x:c r="K29" s="25" t="str">
        <x:v>2022</x:v>
      </x:c>
      <x:c r="L29" s="25" t="str">
        <x:v>1843</x:v>
      </x:c>
      <x:c r="M29" s="25" t="str">
        <x:v>162</x:v>
      </x:c>
      <x:c r="N29" s="25" t="str">
        <x:v>1964</x:v>
      </x:c>
      <x:c r="O29" s="26" t="str">
        <x:v>1.207640569766966e-07</x:v>
      </x:c>
      <x:c r="P29" s="26" t="str">
        <x:v>8.007414870059293e-09</x:v>
      </x:c>
      <x:c r="Q29" s="26" t="str">
        <x:v>0</x:v>
      </x:c>
      <x:c r="R29" s="26" t="str">
        <x:v>7.016433356543672e-08</x:v>
      </x:c>
      <x:c r="S29" s="26" t="str">
        <x:v>3.519036362309436e-08</x:v>
      </x:c>
      <x:c r="T29" s="26" t="str">
        <x:v>1.011776039339107e-08</x:v>
      </x:c>
      <x:c r="U29" s="26" t="str">
        <x:v>1.097400473965005e-08</x:v>
      </x:c>
      <x:c r="V29" s="26" t="str">
        <x:v>1.054588256652056e-08</x:v>
      </x:c>
      <x:c r="W29" s="26" t="str">
        <x:v>7.612475511065142e-09</x:v>
      </x:c>
      <x:c r="X29" s="26" t="str">
        <x:v>8.007414870059293e-09</x:v>
      </x:c>
      <x:c r="Y29" s="26" t="str">
        <x:v>8.007414870059293e-09</x:v>
      </x:c>
      <x:c r="Z29" s="25" t="str">
        <x:v>2022</x:v>
      </x:c>
      <x:c r="AA29" s="25" t="str">
        <x:v>AVAILABLE</x:v>
      </x:c>
      <x:c r="AB29" s="25" t="str">
        <x:v>AVAILABLE</x:v>
      </x:c>
      <x:c r="AC29" s="27" t="str">
        <x:v>Climate/temperature-linked lexical frequency; still not evidence of reception, voice, or affect without passage review.</x:v>
      </x:c>
    </x:row>
    <x:row r="30" ht="19" customHeight="1">
      <x:c r="A30" s="23" t="str">
        <x:v>FT-Q-V01-029</x:v>
      </x:c>
      <x:c r="B30" s="24" t="str">
        <x:v>increase in mean temperature</x:v>
      </x:c>
      <x:c r="C30" s="24" t="str">
        <x:v>mean temperature</x:v>
      </x:c>
      <x:c r="D30" s="25" t="str">
        <x:v>temperature_threshold</x:v>
      </x:c>
      <x:c r="E30" s="25" t="str">
        <x:v>A</x:v>
      </x:c>
      <x:c r="F30" s="25" t="str">
        <x:v>EXECUTABLE_NGRAM</x:v>
      </x:c>
      <x:c r="G30" s="25" t="str">
        <x:v>CONTEXT_REQUIRED</x:v>
      </x:c>
      <x:c r="H30" s="25" t="str">
        <x:v>eng</x:v>
      </x:c>
      <x:c r="I30" s="25" t="str">
        <x:v>current English corpus (July 2024 dataset; public shorthand eng; mutable current corpus)</x:v>
      </x:c>
      <x:c r="J30" s="25" t="str">
        <x:v>1842</x:v>
      </x:c>
      <x:c r="K30" s="25" t="str">
        <x:v>2022</x:v>
      </x:c>
      <x:c r="L30" s="25" t="str">
        <x:v>1868</x:v>
      </x:c>
      <x:c r="M30" s="25" t="str">
        <x:v>120</x:v>
      </x:c>
      <x:c r="N30" s="25" t="str">
        <x:v>1868</x:v>
      </x:c>
      <x:c r="O30" s="26" t="str">
        <x:v>4.050583868320246e-09</x:v>
      </x:c>
      <x:c r="P30" s="26" t="str">
        <x:v>3.455194436119413e-09</x:v>
      </x:c>
      <x:c r="Q30" s="26" t="str">
        <x:v>0</x:v>
      </x:c>
      <x:c r="R30" s="26" t="str">
        <x:v>2.30258700995023e-09</x:v>
      </x:c>
      <x:c r="S30" s="26" t="str">
        <x:v>1.254889969715123e-09</x:v>
      </x:c>
      <x:c r="T30" s="26" t="str">
        <x:v>1.511421543476388e-09</x:v>
      </x:c>
      <x:c r="U30" s="26" t="str">
        <x:v>2.430605078318493e-09</x:v>
      </x:c>
      <x:c r="V30" s="26" t="str">
        <x:v>1.97101331089744e-09</x:v>
      </x:c>
      <x:c r="W30" s="26" t="str">
        <x:v>1.774355107286851e-09</x:v>
      </x:c>
      <x:c r="X30" s="26" t="str">
        <x:v>3.455194436119413e-09</x:v>
      </x:c>
      <x:c r="Y30" s="26" t="str">
        <x:v>3.455194436119413e-09</x:v>
      </x:c>
      <x:c r="Z30" s="25" t="str">
        <x:v>2022</x:v>
      </x:c>
      <x:c r="AA30" s="25" t="str">
        <x:v>AVAILABLE</x:v>
      </x:c>
      <x:c r="AB30" s="25" t="str">
        <x:v>AVAILABLE</x:v>
      </x:c>
      <x:c r="AC30" s="27" t="str">
        <x:v>Climate/temperature-linked lexical frequency; still not evidence of reception, voice, or affect without passage review.</x:v>
      </x:c>
    </x:row>
    <x:row r="31" ht="19" customHeight="1">
      <x:c r="A31" s="23" t="str">
        <x:v>FT-Q-V01-030</x:v>
      </x:c>
      <x:c r="B31" s="24" t="str">
        <x:v>mean temperature</x:v>
      </x:c>
      <x:c r="C31" s="24" t="str">
        <x:v>mean temperature</x:v>
      </x:c>
      <x:c r="D31" s="25" t="str">
        <x:v>temperature_threshold</x:v>
      </x:c>
      <x:c r="E31" s="25" t="str">
        <x:v>A</x:v>
      </x:c>
      <x:c r="F31" s="25" t="str">
        <x:v>EXECUTABLE_NGRAM</x:v>
      </x:c>
      <x:c r="G31" s="25" t="str">
        <x:v>CONTEXT_REQUIRED</x:v>
      </x:c>
      <x:c r="H31" s="25" t="str">
        <x:v>eng</x:v>
      </x:c>
      <x:c r="I31" s="25" t="str">
        <x:v>current English corpus (July 2024 dataset; public shorthand eng; mutable current corpus)</x:v>
      </x:c>
      <x:c r="J31" s="25" t="str">
        <x:v>1842</x:v>
      </x:c>
      <x:c r="K31" s="25" t="str">
        <x:v>2022</x:v>
      </x:c>
      <x:c r="L31" s="25" t="str">
        <x:v>1842</x:v>
      </x:c>
      <x:c r="M31" s="25" t="str">
        <x:v>181</x:v>
      </x:c>
      <x:c r="N31" s="25" t="str">
        <x:v>1858</x:v>
      </x:c>
      <x:c r="O31" s="26" t="str">
        <x:v>3.219442511692705e-06</x:v>
      </x:c>
      <x:c r="P31" s="26" t="str">
        <x:v>3.990877988080399e-07</x:v>
      </x:c>
      <x:c r="Q31" s="26" t="str">
        <x:v>2.365172290907935e-06</x:v>
      </x:c>
      <x:c r="R31" s="26" t="str">
        <x:v>1.06460447896195e-06</x:v>
      </x:c>
      <x:c r="S31" s="26" t="str">
        <x:v>5.396020415979197e-07</x:v>
      </x:c>
      <x:c r="T31" s="26" t="str">
        <x:v>4.059007448348195e-07</x:v>
      </x:c>
      <x:c r="U31" s="26" t="str">
        <x:v>4.200255244168893e-07</x:v>
      </x:c>
      <x:c r="V31" s="26" t="str">
        <x:v>4.129631346258544e-07</x:v>
      </x:c>
      <x:c r="W31" s="26" t="str">
        <x:v>3.047325316460348e-07</x:v>
      </x:c>
      <x:c r="X31" s="26" t="str">
        <x:v>3.990877988080399e-07</x:v>
      </x:c>
      <x:c r="Y31" s="26" t="str">
        <x:v>3.990877988080399e-07</x:v>
      </x:c>
      <x:c r="Z31" s="25" t="str">
        <x:v>2022</x:v>
      </x:c>
      <x:c r="AA31" s="25" t="str">
        <x:v>AVAILABLE</x:v>
      </x:c>
      <x:c r="AB31" s="25" t="str">
        <x:v>AVAILABLE</x:v>
      </x:c>
      <x:c r="AC31" s="27" t="str">
        <x:v>Climate/temperature-linked lexical frequency; still not evidence of reception, voice, or affect without passage review.</x:v>
      </x:c>
    </x:row>
    <x:row r="32" ht="19" customHeight="1">
      <x:c r="A32" s="23" t="str">
        <x:v>FT-Q-V01-031</x:v>
      </x:c>
      <x:c r="B32" s="24" t="str">
        <x:v>temperature observations</x:v>
      </x:c>
      <x:c r="C32" s="24" t="str">
        <x:v>local / instrumental temperature</x:v>
      </x:c>
      <x:c r="D32" s="25" t="str">
        <x:v>temperature_threshold</x:v>
      </x:c>
      <x:c r="E32" s="25" t="str">
        <x:v>A</x:v>
      </x:c>
      <x:c r="F32" s="25" t="str">
        <x:v>EXECUTABLE_NGRAM</x:v>
      </x:c>
      <x:c r="G32" s="25" t="str">
        <x:v>CONTEXT_REQUIRED</x:v>
      </x:c>
      <x:c r="H32" s="25" t="str">
        <x:v>eng</x:v>
      </x:c>
      <x:c r="I32" s="25" t="str">
        <x:v>current English corpus (July 2024 dataset; public shorthand eng; mutable current corpus)</x:v>
      </x:c>
      <x:c r="J32" s="25" t="str">
        <x:v>1842</x:v>
      </x:c>
      <x:c r="K32" s="25" t="str">
        <x:v>2022</x:v>
      </x:c>
      <x:c r="L32" s="25" t="str">
        <x:v>1843</x:v>
      </x:c>
      <x:c r="M32" s="25" t="str">
        <x:v>178</x:v>
      </x:c>
      <x:c r="N32" s="25" t="str">
        <x:v>1908</x:v>
      </x:c>
      <x:c r="O32" s="26" t="str">
        <x:v>1.812998174921532e-07</x:v>
      </x:c>
      <x:c r="P32" s="26" t="str">
        <x:v>1.079452616181698e-08</x:v>
      </x:c>
      <x:c r="Q32" s="26" t="str">
        <x:v>0</x:v>
      </x:c>
      <x:c r="R32" s="26" t="str">
        <x:v>3.630725631253995e-08</x:v>
      </x:c>
      <x:c r="S32" s="26" t="str">
        <x:v>4.333399722389331e-08</x:v>
      </x:c>
      <x:c r="T32" s="26" t="str">
        <x:v>1.327669915673901e-08</x:v>
      </x:c>
      <x:c r="U32" s="26" t="str">
        <x:v>1.196346471887821e-08</x:v>
      </x:c>
      <x:c r="V32" s="26" t="str">
        <x:v>1.262008193780861e-08</x:v>
      </x:c>
      <x:c r="W32" s="26" t="str">
        <x:v>8.032796372514639e-09</x:v>
      </x:c>
      <x:c r="X32" s="26" t="str">
        <x:v>1.079452616181698e-08</x:v>
      </x:c>
      <x:c r="Y32" s="26" t="str">
        <x:v>1.079452616181698e-08</x:v>
      </x:c>
      <x:c r="Z32" s="25" t="str">
        <x:v>2022</x:v>
      </x:c>
      <x:c r="AA32" s="25" t="str">
        <x:v>AVAILABLE</x:v>
      </x:c>
      <x:c r="AB32" s="25" t="str">
        <x:v>AVAILABLE</x:v>
      </x:c>
      <x:c r="AC32" s="27" t="str">
        <x:v>Climate/temperature-linked lexical frequency; still not evidence of reception, voice, or affect without passage review.</x:v>
      </x:c>
    </x:row>
    <x:row r="33" ht="19" customHeight="1">
      <x:c r="A33" s="23" t="str">
        <x:v>FT-Q-V01-032</x:v>
      </x:c>
      <x:c r="B33" s="24" t="str">
        <x:v>meteorological stations</x:v>
      </x:c>
      <x:c r="C33" s="24" t="str">
        <x:v>historical climate / climatological condition</x:v>
      </x:c>
      <x:c r="D33" s="25" t="str">
        <x:v>climate</x:v>
      </x:c>
      <x:c r="E33" s="25" t="str">
        <x:v>B</x:v>
      </x:c>
      <x:c r="F33" s="25" t="str">
        <x:v>EXECUTABLE_NGRAM</x:v>
      </x:c>
      <x:c r="G33" s="25" t="str">
        <x:v>CONTEXT_REQUIRED</x:v>
      </x:c>
      <x:c r="H33" s="25" t="str">
        <x:v>eng</x:v>
      </x:c>
      <x:c r="I33" s="25" t="str">
        <x:v>current English corpus (July 2024 dataset; public shorthand eng; mutable current corpus)</x:v>
      </x:c>
      <x:c r="J33" s="25" t="str">
        <x:v>1842</x:v>
      </x:c>
      <x:c r="K33" s="25" t="str">
        <x:v>2022</x:v>
      </x:c>
      <x:c r="L33" s="25" t="str">
        <x:v>1842</x:v>
      </x:c>
      <x:c r="M33" s="25" t="str">
        <x:v>180</x:v>
      </x:c>
      <x:c r="N33" s="25" t="str">
        <x:v>1965</x:v>
      </x:c>
      <x:c r="O33" s="26" t="str">
        <x:v>1.655199003414154e-07</x:v>
      </x:c>
      <x:c r="P33" s="26" t="str">
        <x:v>5.706942204919407e-08</x:v>
      </x:c>
      <x:c r="Q33" s="26" t="str">
        <x:v>6.449883405146295e-10</x:v>
      </x:c>
      <x:c r="R33" s="26" t="str">
        <x:v>9.076814153075041e-08</x:v>
      </x:c>
      <x:c r="S33" s="26" t="str">
        <x:v>9.47622730285147e-08</x:v>
      </x:c>
      <x:c r="T33" s="26" t="str">
        <x:v>6.752804135312651e-08</x:v>
      </x:c>
      <x:c r="U33" s="26" t="str">
        <x:v>5.707381896605246e-08</x:v>
      </x:c>
      <x:c r="V33" s="26" t="str">
        <x:v>6.230093015958948e-08</x:v>
      </x:c>
      <x:c r="W33" s="26" t="str">
        <x:v>4.119143208469733e-08</x:v>
      </x:c>
      <x:c r="X33" s="26" t="str">
        <x:v>5.706942204919407e-08</x:v>
      </x:c>
      <x:c r="Y33" s="26" t="str">
        <x:v>5.706942204919407e-08</x:v>
      </x:c>
      <x:c r="Z33" s="25" t="str">
        <x:v>2022</x:v>
      </x:c>
      <x:c r="AA33" s="25" t="str">
        <x:v>AVAILABLE</x:v>
      </x:c>
      <x:c r="AB33" s="25" t="str">
        <x:v>AVAILABLE</x:v>
      </x:c>
      <x:c r="AC33" s="27" t="str">
        <x:v>Climate/temperature-linked lexical frequency; still not evidence of reception, voice, or affect without passage review.</x:v>
      </x:c>
    </x:row>
    <x:row r="34" ht="19" customHeight="1">
      <x:c r="A34" s="23" t="str">
        <x:v>FT-Q-V01-033</x:v>
      </x:c>
      <x:c r="B34" s="24" t="str">
        <x:v>world temperatures</x:v>
      </x:c>
      <x:c r="C34" s="24" t="str">
        <x:v>global aggregate temperature</x:v>
      </x:c>
      <x:c r="D34" s="25" t="str">
        <x:v>temperature_threshold</x:v>
      </x:c>
      <x:c r="E34" s="25" t="str">
        <x:v>A</x:v>
      </x:c>
      <x:c r="F34" s="25" t="str">
        <x:v>EXECUTABLE_NGRAM</x:v>
      </x:c>
      <x:c r="G34" s="25" t="str">
        <x:v>CONTEXT_REQUIRED</x:v>
      </x:c>
      <x:c r="H34" s="25" t="str">
        <x:v>eng</x:v>
      </x:c>
      <x:c r="I34" s="25" t="str">
        <x:v>current English corpus (July 2024 dataset; public shorthand eng; mutable current corpus)</x:v>
      </x:c>
      <x:c r="J34" s="25" t="str">
        <x:v>1842</x:v>
      </x:c>
      <x:c r="K34" s="25" t="str">
        <x:v>2022</x:v>
      </x:c>
      <x:c r="L34" s="25" t="str">
        <x:v>1889</x:v>
      </x:c>
      <x:c r="M34" s="25" t="str">
        <x:v>112</x:v>
      </x:c>
      <x:c r="N34" s="25" t="str">
        <x:v>2007</x:v>
      </x:c>
      <x:c r="O34" s="26" t="str">
        <x:v>7.465921342958426e-09</x:v>
      </x:c>
      <x:c r="P34" s="26" t="str">
        <x:v>4.114307144975626e-09</x:v>
      </x:c>
      <x:c r="Q34" s="26" t="str">
        <x:v>0</x:v>
      </x:c>
      <x:c r="R34" s="26" t="str">
        <x:v>2.561554982016823e-09</x:v>
      </x:c>
      <x:c r="S34" s="26" t="str">
        <x:v>4.590047536501274e-09</x:v>
      </x:c>
      <x:c r="T34" s="26" t="str">
        <x:v>4.761299195188418e-09</x:v>
      </x:c>
      <x:c r="U34" s="26" t="str">
        <x:v>7.465921342958426e-09</x:v>
      </x:c>
      <x:c r="V34" s="26" t="str">
        <x:v>6.113610269073422e-09</x:v>
      </x:c>
      <x:c r="W34" s="26" t="str">
        <x:v>5.650978740501245e-09</x:v>
      </x:c>
      <x:c r="X34" s="26" t="str">
        <x:v>4.114307144975626e-09</x:v>
      </x:c>
      <x:c r="Y34" s="26" t="str">
        <x:v>4.114307144975626e-09</x:v>
      </x:c>
      <x:c r="Z34" s="25" t="str">
        <x:v>2022</x:v>
      </x:c>
      <x:c r="AA34" s="25" t="str">
        <x:v>AVAILABLE</x:v>
      </x:c>
      <x:c r="AB34" s="25" t="str">
        <x:v>AVAILABLE</x:v>
      </x:c>
      <x:c r="AC34" s="27" t="str">
        <x:v>Climate/temperature-linked lexical frequency; still not evidence of reception, voice, or affect without passage review.</x:v>
      </x:c>
    </x:row>
    <x:row r="35" ht="19" customHeight="1">
      <x:c r="A35" s="23" t="str">
        <x:v>FT-Q-V01-034</x:v>
      </x:c>
      <x:c r="B35" s="24" t="str">
        <x:v>actually increased</x:v>
      </x:c>
      <x:c r="C35" s="24" t="str">
        <x:v>temperature increase</x:v>
      </x:c>
      <x:c r="D35" s="25" t="str">
        <x:v>warming</x:v>
      </x:c>
      <x:c r="E35" s="25" t="str">
        <x:v>A</x:v>
      </x:c>
      <x:c r="F35" s="25" t="str">
        <x:v>EXECUTABLE_NGRAM</x:v>
      </x:c>
      <x:c r="G35" s="25" t="str">
        <x:v>CONTEXT_REQUIRED</x:v>
      </x:c>
      <x:c r="H35" s="25" t="str">
        <x:v>eng</x:v>
      </x:c>
      <x:c r="I35" s="25" t="str">
        <x:v>current English corpus (July 2024 dataset; public shorthand eng; mutable current corpus)</x:v>
      </x:c>
      <x:c r="J35" s="25" t="str">
        <x:v>1842</x:v>
      </x:c>
      <x:c r="K35" s="25" t="str">
        <x:v>2022</x:v>
      </x:c>
      <x:c r="L35" s="25" t="str">
        <x:v>1842</x:v>
      </x:c>
      <x:c r="M35" s="25" t="str">
        <x:v>181</x:v>
      </x:c>
      <x:c r="N35" s="25" t="str">
        <x:v>1933</x:v>
      </x:c>
      <x:c r="O35" s="26" t="str">
        <x:v>2.775292560763809e-07</x:v>
      </x:c>
      <x:c r="P35" s="26" t="str">
        <x:v>1.005129691700191e-07</x:v>
      </x:c>
      <x:c r="Q35" s="26" t="str">
        <x:v>5.611398634641773e-08</x:v>
      </x:c>
      <x:c r="R35" s="26" t="str">
        <x:v>1.804225649021385e-07</x:v>
      </x:c>
      <x:c r="S35" s="26" t="str">
        <x:v>2.214574481781972e-07</x:v>
      </x:c>
      <x:c r="T35" s="26" t="str">
        <x:v>2.003408214254487e-07</x:v>
      </x:c>
      <x:c r="U35" s="26" t="str">
        <x:v>2.006803638751609e-07</x:v>
      </x:c>
      <x:c r="V35" s="26" t="str">
        <x:v>2.005105926503048e-07</x:v>
      </x:c>
      <x:c r="W35" s="26" t="str">
        <x:v>1.679881892306667e-07</x:v>
      </x:c>
      <x:c r="X35" s="26" t="str">
        <x:v>1.005129691700191e-07</x:v>
      </x:c>
      <x:c r="Y35" s="26" t="str">
        <x:v>1.005129691700191e-07</x:v>
      </x:c>
      <x:c r="Z35" s="25" t="str">
        <x:v>2022</x:v>
      </x:c>
      <x:c r="AA35" s="25" t="str">
        <x:v>AVAILABLE</x:v>
      </x:c>
      <x:c r="AB35" s="25" t="str">
        <x:v>AVAILABLE</x:v>
      </x:c>
      <x:c r="AC35" s="27" t="str">
        <x:v>Climate/temperature-linked lexical frequency; still not evidence of reception, voice, or affect without passage review.</x:v>
      </x:c>
    </x:row>
    <x:row r="36" ht="19" customHeight="1">
      <x:c r="A36" s="23" t="str">
        <x:v>FT-Q-V01-035</x:v>
      </x:c>
      <x:c r="B36" s="24" t="str">
        <x:v>average rate</x:v>
      </x:c>
      <x:c r="C36" s="24" t="str">
        <x:v>local / instrumental temperature</x:v>
      </x:c>
      <x:c r="D36" s="25" t="str">
        <x:v>temperature_threshold</x:v>
      </x:c>
      <x:c r="E36" s="25" t="str">
        <x:v>A</x:v>
      </x:c>
      <x:c r="F36" s="25" t="str">
        <x:v>EXECUTABLE_NGRAM</x:v>
      </x:c>
      <x:c r="G36" s="25" t="str">
        <x:v>CONTEXT_REQUIRED</x:v>
      </x:c>
      <x:c r="H36" s="25" t="str">
        <x:v>eng</x:v>
      </x:c>
      <x:c r="I36" s="25" t="str">
        <x:v>current English corpus (July 2024 dataset; public shorthand eng; mutable current corpus)</x:v>
      </x:c>
      <x:c r="J36" s="25" t="str">
        <x:v>1842</x:v>
      </x:c>
      <x:c r="K36" s="25" t="str">
        <x:v>2022</x:v>
      </x:c>
      <x:c r="L36" s="25" t="str">
        <x:v>1842</x:v>
      </x:c>
      <x:c r="M36" s="25" t="str">
        <x:v>181</x:v>
      </x:c>
      <x:c r="N36" s="25" t="str">
        <x:v>1885</x:v>
      </x:c>
      <x:c r="O36" s="26" t="str">
        <x:v>4.938462941139754e-06</x:v>
      </x:c>
      <x:c r="P36" s="26" t="str">
        <x:v>5.522904276411555e-07</x:v>
      </x:c>
      <x:c r="Q36" s="26" t="str">
        <x:v>1.024886465750274e-06</x:v>
      </x:c>
      <x:c r="R36" s="26" t="str">
        <x:v>2.678272757100641e-06</x:v>
      </x:c>
      <x:c r="S36" s="26" t="str">
        <x:v>1.477254987107546e-06</x:v>
      </x:c>
      <x:c r="T36" s="26" t="str">
        <x:v>1.087956885408026e-06</x:v>
      </x:c>
      <x:c r="U36" s="26" t="str">
        <x:v>1.109498924400931e-06</x:v>
      </x:c>
      <x:c r="V36" s="26" t="str">
        <x:v>1.098727904904478e-06</x:v>
      </x:c>
      <x:c r="W36" s="26" t="str">
        <x:v>7.784807402877458e-07</x:v>
      </x:c>
      <x:c r="X36" s="26" t="str">
        <x:v>5.522904276411555e-07</x:v>
      </x:c>
      <x:c r="Y36" s="26" t="str">
        <x:v>5.522904276411555e-07</x:v>
      </x:c>
      <x:c r="Z36" s="25" t="str">
        <x:v>2022</x:v>
      </x:c>
      <x:c r="AA36" s="25" t="str">
        <x:v>AVAILABLE</x:v>
      </x:c>
      <x:c r="AB36" s="25" t="str">
        <x:v>AVAILABLE</x:v>
      </x:c>
      <x:c r="AC36" s="27" t="str">
        <x:v>Climate/temperature-linked lexical frequency; still not evidence of reception, voice, or affect without passage review.</x:v>
      </x:c>
    </x:row>
    <x:row r="37" ht="19" customHeight="1">
      <x:c r="A37" s="23" t="str">
        <x:v>FT-Q-V01-036</x:v>
      </x:c>
      <x:c r="B37" s="24" t="str">
        <x:v>small increases in mean temperature</x:v>
      </x:c>
      <x:c r="C37" s="24" t="str">
        <x:v>mean temperature</x:v>
      </x:c>
      <x:c r="D37" s="25" t="str">
        <x:v>temperature_threshold</x:v>
      </x:c>
      <x:c r="E37" s="25" t="str">
        <x:v>A</x:v>
      </x:c>
      <x:c r="F37" s="25" t="str">
        <x:v>EXECUTABLE_NGRAM</x:v>
      </x:c>
      <x:c r="G37" s="25" t="str">
        <x:v>CONTEXT_REQUIRED</x:v>
      </x:c>
      <x:c r="H37" s="25" t="str">
        <x:v>eng</x:v>
      </x:c>
      <x:c r="I37" s="25" t="str">
        <x:v>current English corpus (July 2024 dataset; public shorthand eng; mutable current corpus)</x:v>
      </x:c>
      <x:c r="J37" s="25" t="str">
        <x:v>1842</x:v>
      </x:c>
      <x:c r="K37" s="25" t="str">
        <x:v>2022</x:v>
      </x:c>
      <x:c r="L37" s="25" t="str"/>
      <x:c r="M37" s="25" t="str">
        <x:v>0</x:v>
      </x:c>
      <x:c r="N37" s="25" t="str"/>
      <x:c r="O37" s="26" t="str"/>
      <x:c r="P37" s="26" t="str"/>
      <x:c r="Q37" s="26" t="str"/>
      <x:c r="R37" s="26" t="str"/>
      <x:c r="S37" s="26" t="str"/>
      <x:c r="T37" s="26" t="str"/>
      <x:c r="U37" s="26" t="str"/>
      <x:c r="V37" s="26" t="str"/>
      <x:c r="W37" s="26" t="str"/>
      <x:c r="X37" s="26" t="str"/>
      <x:c r="Y37" s="26" t="str"/>
      <x:c r="Z37" s="25" t="str">
        <x:v>2022</x:v>
      </x:c>
      <x:c r="AA37" s="25" t="str">
        <x:v>NO_SERIES</x:v>
      </x:c>
      <x:c r="AB37" s="25" t="str">
        <x:v>NOT_AVAILABLE</x:v>
      </x:c>
      <x:c r="AC37" s="27" t="str">
        <x:v>Climate/temperature-linked lexical frequency; still not evidence of reception, voice, or affect without passage review.</x:v>
      </x:c>
    </x:row>
    <x:row r="38" ht="19" customHeight="1">
      <x:c r="A38" s="23" t="str">
        <x:v>FT-Q-V01-037</x:v>
      </x:c>
      <x:c r="B38" s="24" t="str">
        <x:v>deadly glaciers</x:v>
      </x:c>
      <x:c r="C38" s="24" t="str">
        <x:v>institutional climate threat</x:v>
      </x:c>
      <x:c r="D38" s="25" t="str">
        <x:v>danger_threat</x:v>
      </x:c>
      <x:c r="E38" s="25" t="str">
        <x:v>D</x:v>
      </x:c>
      <x:c r="F38" s="25" t="str">
        <x:v>EXECUTABLE_NGRAM</x:v>
      </x:c>
      <x:c r="G38" s="25" t="str">
        <x:v>CONTEXT_REQUIRED</x:v>
      </x:c>
      <x:c r="H38" s="25" t="str">
        <x:v>eng</x:v>
      </x:c>
      <x:c r="I38" s="25" t="str">
        <x:v>current English corpus (July 2024 dataset; public shorthand eng; mutable current corpus)</x:v>
      </x:c>
      <x:c r="J38" s="25" t="str">
        <x:v>1842</x:v>
      </x:c>
      <x:c r="K38" s="25" t="str">
        <x:v>2022</x:v>
      </x:c>
      <x:c r="L38" s="25" t="str">
        <x:v>1845</x:v>
      </x:c>
      <x:c r="M38" s="25" t="str">
        <x:v>92</x:v>
      </x:c>
      <x:c r="N38" s="25" t="str">
        <x:v>1845</x:v>
      </x:c>
      <x:c r="O38" s="26" t="str">
        <x:v>1.502518109930406e-09</x:v>
      </x:c>
      <x:c r="P38" s="26" t="str">
        <x:v>2.211993088696573e-10</x:v>
      </x:c>
      <x:c r="Q38" s="26" t="str">
        <x:v>0</x:v>
      </x:c>
      <x:c r="R38" s="26" t="str">
        <x:v>1.113719533263335e-10</x:v>
      </x:c>
      <x:c r="S38" s="26" t="str">
        <x:v>4.9355349668323e-11</x:v>
      </x:c>
      <x:c r="T38" s="26" t="str">
        <x:v>9.156344432659225e-11</x:v>
      </x:c>
      <x:c r="U38" s="26" t="str">
        <x:v>4.497542963055601e-11</x:v>
      </x:c>
      <x:c r="V38" s="26" t="str">
        <x:v>6.826943697857413e-11</x:v>
      </x:c>
      <x:c r="W38" s="26" t="str">
        <x:v>3.269161330532455e-10</x:v>
      </x:c>
      <x:c r="X38" s="26" t="str">
        <x:v>2.211993088696573e-10</x:v>
      </x:c>
      <x:c r="Y38" s="26" t="str">
        <x:v>2.211993088696573e-10</x:v>
      </x:c>
      <x:c r="Z38" s="25" t="str">
        <x:v>2022</x:v>
      </x:c>
      <x:c r="AA38" s="25" t="str">
        <x:v>AVAILABLE</x:v>
      </x:c>
      <x:c r="AB38" s="25" t="str">
        <x:v>AVAILABLE</x:v>
      </x:c>
      <x:c r="AC38" s="27" t="str">
        <x:v>Climate/temperature-linked lexical frequency; still not evidence of reception, voice, or affect without passage review.</x:v>
      </x:c>
    </x:row>
    <x:row r="39" ht="19" customHeight="1">
      <x:c r="A39" s="23" t="str">
        <x:v>FT-Q-V01-038</x:v>
      </x:c>
      <x:c r="B39" s="24" t="str">
        <x:v>rather a coincidence</x:v>
      </x:c>
      <x:c r="C39" s="24" t="str">
        <x:v>personal concern</x:v>
      </x:c>
      <x:c r="D39" s="25" t="str">
        <x:v>concern_alarm</x:v>
      </x:c>
      <x:c r="E39" s="25" t="str">
        <x:v>C</x:v>
      </x:c>
      <x:c r="F39" s="25" t="str">
        <x:v>EXECUTABLE_NGRAM</x:v>
      </x:c>
      <x:c r="G39" s="25" t="str">
        <x:v>CONTEXT_REQUIRED</x:v>
      </x:c>
      <x:c r="H39" s="25" t="str">
        <x:v>eng</x:v>
      </x:c>
      <x:c r="I39" s="25" t="str">
        <x:v>current English corpus (July 2024 dataset; public shorthand eng; mutable current corpus)</x:v>
      </x:c>
      <x:c r="J39" s="25" t="str">
        <x:v>1842</x:v>
      </x:c>
      <x:c r="K39" s="25" t="str">
        <x:v>2022</x:v>
      </x:c>
      <x:c r="L39" s="25" t="str">
        <x:v>1842</x:v>
      </x:c>
      <x:c r="M39" s="25" t="str">
        <x:v>175</x:v>
      </x:c>
      <x:c r="N39" s="25" t="str">
        <x:v>1934</x:v>
      </x:c>
      <x:c r="O39" s="26" t="str">
        <x:v>1.141847061347789e-08</x:v>
      </x:c>
      <x:c r="P39" s="26" t="str">
        <x:v>3.216303917641383e-09</x:v>
      </x:c>
      <x:c r="Q39" s="26" t="str">
        <x:v>1.372755464856823e-09</x:v>
      </x:c>
      <x:c r="R39" s="26" t="str">
        <x:v>4.644931106412287e-09</x:v>
      </x:c>
      <x:c r="S39" s="26" t="str">
        <x:v>7.027831511186022e-10</x:v>
      </x:c>
      <x:c r="T39" s="26" t="str">
        <x:v>9.413307355821132e-10</x:v>
      </x:c>
      <x:c r="U39" s="26" t="str">
        <x:v>8.746421087391099e-10</x:v>
      </x:c>
      <x:c r="V39" s="26" t="str">
        <x:v>9.079864221606115e-10</x:v>
      </x:c>
      <x:c r="W39" s="26" t="str">
        <x:v>2.049460878783549e-09</x:v>
      </x:c>
      <x:c r="X39" s="26" t="str">
        <x:v>3.216303917641383e-09</x:v>
      </x:c>
      <x:c r="Y39" s="26" t="str">
        <x:v>3.216303917641383e-09</x:v>
      </x:c>
      <x:c r="Z39" s="25" t="str">
        <x:v>2022</x:v>
      </x:c>
      <x:c r="AA39" s="25" t="str">
        <x:v>AVAILABLE</x:v>
      </x:c>
      <x:c r="AB39" s="25" t="str">
        <x:v>AVAILABLE</x:v>
      </x:c>
      <x:c r="AC39" s="27" t="str">
        <x:v>Climate/temperature-linked lexical frequency; still not evidence of reception, voice, or affect without passage review.</x:v>
      </x:c>
    </x:row>
    <x:row r="40" ht="19" customHeight="1">
      <x:c r="A40" s="23" t="str">
        <x:v>FT-Q-V01-039</x:v>
      </x:c>
      <x:c r="B40" s="24" t="str">
        <x:v>Hottest Day for Ten Years</x:v>
      </x:c>
      <x:c r="C40" s="24" t="str">
        <x:v>heatwave / weather event</x:v>
      </x:c>
      <x:c r="D40" s="25" t="str">
        <x:v>heat</x:v>
      </x:c>
      <x:c r="E40" s="25" t="str">
        <x:v>A</x:v>
      </x:c>
      <x:c r="F40" s="25" t="str">
        <x:v>EXECUTABLE_NGRAM</x:v>
      </x:c>
      <x:c r="G40" s="25" t="str">
        <x:v>CONTEXT_REQUIRED</x:v>
      </x:c>
      <x:c r="H40" s="25" t="str">
        <x:v>eng</x:v>
      </x:c>
      <x:c r="I40" s="25" t="str">
        <x:v>current English corpus (July 2024 dataset; public shorthand eng; mutable current corpus)</x:v>
      </x:c>
      <x:c r="J40" s="25" t="str">
        <x:v>1842</x:v>
      </x:c>
      <x:c r="K40" s="25" t="str">
        <x:v>2022</x:v>
      </x:c>
      <x:c r="L40" s="25" t="str"/>
      <x:c r="M40" s="25" t="str">
        <x:v>0</x:v>
      </x:c>
      <x:c r="N40" s="25" t="str"/>
      <x:c r="O40" s="26" t="str"/>
      <x:c r="P40" s="26" t="str"/>
      <x:c r="Q40" s="26" t="str"/>
      <x:c r="R40" s="26" t="str"/>
      <x:c r="S40" s="26" t="str"/>
      <x:c r="T40" s="26" t="str"/>
      <x:c r="U40" s="26" t="str"/>
      <x:c r="V40" s="26" t="str"/>
      <x:c r="W40" s="26" t="str"/>
      <x:c r="X40" s="26" t="str"/>
      <x:c r="Y40" s="26" t="str"/>
      <x:c r="Z40" s="25" t="str">
        <x:v>2022</x:v>
      </x:c>
      <x:c r="AA40" s="25" t="str">
        <x:v>NO_SERIES</x:v>
      </x:c>
      <x:c r="AB40" s="25" t="str">
        <x:v>NOT_AVAILABLE</x:v>
      </x:c>
      <x:c r="AC40" s="27" t="str">
        <x:v>Climate/temperature-linked lexical frequency; still not evidence of reception, voice, or affect without passage review.</x:v>
      </x:c>
    </x:row>
    <x:row r="41" ht="19" customHeight="1">
      <x:c r="A41" s="23" t="str">
        <x:v>FT-Q-V01-040</x:v>
      </x:c>
      <x:c r="B41" s="24" t="str">
        <x:v>Heat Wave Over Queensland</x:v>
      </x:c>
      <x:c r="C41" s="24" t="str">
        <x:v>heatwave / weather event</x:v>
      </x:c>
      <x:c r="D41" s="25" t="str">
        <x:v>heat</x:v>
      </x:c>
      <x:c r="E41" s="25" t="str">
        <x:v>A</x:v>
      </x:c>
      <x:c r="F41" s="25" t="str">
        <x:v>EXECUTABLE_NGRAM</x:v>
      </x:c>
      <x:c r="G41" s="25" t="str">
        <x:v>CONTEXT_REQUIRED</x:v>
      </x:c>
      <x:c r="H41" s="25" t="str">
        <x:v>eng</x:v>
      </x:c>
      <x:c r="I41" s="25" t="str">
        <x:v>current English corpus (July 2024 dataset; public shorthand eng; mutable current corpus)</x:v>
      </x:c>
      <x:c r="J41" s="25" t="str">
        <x:v>1842</x:v>
      </x:c>
      <x:c r="K41" s="25" t="str">
        <x:v>2022</x:v>
      </x:c>
      <x:c r="L41" s="25" t="str"/>
      <x:c r="M41" s="25" t="str">
        <x:v>0</x:v>
      </x:c>
      <x:c r="N41" s="25" t="str"/>
      <x:c r="O41" s="26" t="str"/>
      <x:c r="P41" s="26" t="str"/>
      <x:c r="Q41" s="26" t="str"/>
      <x:c r="R41" s="26" t="str"/>
      <x:c r="S41" s="26" t="str"/>
      <x:c r="T41" s="26" t="str"/>
      <x:c r="U41" s="26" t="str"/>
      <x:c r="V41" s="26" t="str"/>
      <x:c r="W41" s="26" t="str"/>
      <x:c r="X41" s="26" t="str"/>
      <x:c r="Y41" s="26" t="str"/>
      <x:c r="Z41" s="25" t="str">
        <x:v>2022</x:v>
      </x:c>
      <x:c r="AA41" s="25" t="str">
        <x:v>NO_SERIES</x:v>
      </x:c>
      <x:c r="AB41" s="25" t="str">
        <x:v>NOT_AVAILABLE</x:v>
      </x:c>
      <x:c r="AC41" s="27" t="str">
        <x:v>Climate/temperature-linked lexical frequency; still not evidence of reception, voice, or affect without passage review.</x:v>
      </x:c>
    </x:row>
    <x:row r="42" ht="19" customHeight="1">
      <x:c r="A42" s="23" t="str">
        <x:v>FT-Q-V01-041</x:v>
      </x:c>
      <x:c r="B42" s="24" t="str">
        <x:v>greenhouse effect</x:v>
      </x:c>
      <x:c r="C42" s="24" t="str">
        <x:v>greenhouse mechanism</x:v>
      </x:c>
      <x:c r="D42" s="25" t="str">
        <x:v>carbon_greenhouse</x:v>
      </x:c>
      <x:c r="E42" s="25" t="str">
        <x:v>B</x:v>
      </x:c>
      <x:c r="F42" s="25" t="str">
        <x:v>EXECUTABLE_NGRAM</x:v>
      </x:c>
      <x:c r="G42" s="25" t="str">
        <x:v>CLIMATE_SPECIFIC</x:v>
      </x:c>
      <x:c r="H42" s="25" t="str">
        <x:v>eng</x:v>
      </x:c>
      <x:c r="I42" s="25" t="str">
        <x:v>current English corpus (July 2024 dataset; public shorthand eng; mutable current corpus)</x:v>
      </x:c>
      <x:c r="J42" s="25" t="str">
        <x:v>1842</x:v>
      </x:c>
      <x:c r="K42" s="25" t="str">
        <x:v>2022</x:v>
      </x:c>
      <x:c r="L42" s="25" t="str">
        <x:v>1843</x:v>
      </x:c>
      <x:c r="M42" s="25" t="str">
        <x:v>133</x:v>
      </x:c>
      <x:c r="N42" s="25" t="str">
        <x:v>1990</x:v>
      </x:c>
      <x:c r="O42" s="26" t="str">
        <x:v>1.960720042576414e-06</x:v>
      </x:c>
      <x:c r="P42" s="26" t="str">
        <x:v>4.531046594036248e-07</x:v>
      </x:c>
      <x:c r="Q42" s="26" t="str">
        <x:v>0</x:v>
      </x:c>
      <x:c r="R42" s="26" t="str">
        <x:v>9.689360203068986e-09</x:v>
      </x:c>
      <x:c r="S42" s="26" t="str">
        <x:v>1.086015104533045e-06</x:v>
      </x:c>
      <x:c r="T42" s="26" t="str">
        <x:v>4.812116740637862e-07</x:v>
      </x:c>
      <x:c r="U42" s="26" t="str">
        <x:v>5.082223493886595e-07</x:v>
      </x:c>
      <x:c r="V42" s="26" t="str">
        <x:v>4.947170117262228e-07</x:v>
      </x:c>
      <x:c r="W42" s="26" t="str">
        <x:v>4.161642502796548e-07</x:v>
      </x:c>
      <x:c r="X42" s="26" t="str">
        <x:v>4.531046594036248e-07</x:v>
      </x:c>
      <x:c r="Y42" s="26" t="str">
        <x:v>4.531046594036248e-07</x:v>
      </x:c>
      <x:c r="Z42" s="25" t="str">
        <x:v>2022</x:v>
      </x:c>
      <x:c r="AA42" s="25" t="str">
        <x:v>AVAILABLE</x:v>
      </x:c>
      <x:c r="AB42" s="25" t="str">
        <x:v>AVAILABLE</x:v>
      </x:c>
      <x:c r="AC42" s="27" t="str">
        <x:v>Climate/temperature-linked lexical frequency; still not evidence of reception, voice, or affect without passage review.</x:v>
      </x:c>
    </x:row>
    <x:row r="43" ht="19" customHeight="1">
      <x:c r="A43" s="23" t="str">
        <x:v>FT-Q-V01-042</x:v>
      </x:c>
      <x:c r="B43" s="24" t="str">
        <x:v>global warming</x:v>
      </x:c>
      <x:c r="C43" s="24" t="str">
        <x:v>global warming as issue label</x:v>
      </x:c>
      <x:c r="D43" s="25" t="str">
        <x:v>warming</x:v>
      </x:c>
      <x:c r="E43" s="25" t="str">
        <x:v>A</x:v>
      </x:c>
      <x:c r="F43" s="25" t="str">
        <x:v>EXECUTABLE_NGRAM</x:v>
      </x:c>
      <x:c r="G43" s="25" t="str">
        <x:v>CLIMATE_SPECIFIC</x:v>
      </x:c>
      <x:c r="H43" s="25" t="str">
        <x:v>eng</x:v>
      </x:c>
      <x:c r="I43" s="25" t="str">
        <x:v>current English corpus (July 2024 dataset; public shorthand eng; mutable current corpus)</x:v>
      </x:c>
      <x:c r="J43" s="25" t="str">
        <x:v>1842</x:v>
      </x:c>
      <x:c r="K43" s="25" t="str">
        <x:v>2022</x:v>
      </x:c>
      <x:c r="L43" s="25" t="str">
        <x:v>1843</x:v>
      </x:c>
      <x:c r="M43" s="25" t="str">
        <x:v>138</x:v>
      </x:c>
      <x:c r="N43" s="25" t="str">
        <x:v>2009</x:v>
      </x:c>
      <x:c r="O43" s="26" t="str">
        <x:v>5.445639571555194e-06</x:v>
      </x:c>
      <x:c r="P43" s="26" t="str">
        <x:v>3.963670369644401e-06</x:v>
      </x:c>
      <x:c r="Q43" s="26" t="str">
        <x:v>0</x:v>
      </x:c>
      <x:c r="R43" s="26" t="str">
        <x:v>2.00469511824064e-09</x:v>
      </x:c>
      <x:c r="S43" s="26" t="str">
        <x:v>6.400895369296222e-07</x:v>
      </x:c>
      <x:c r="T43" s="26" t="str">
        <x:v>3.39393631278162e-06</x:v>
      </x:c>
      <x:c r="U43" s="26" t="str">
        <x:v>4.96164442403968e-06</x:v>
      </x:c>
      <x:c r="V43" s="26" t="str">
        <x:v>4.17779036841065e-06</x:v>
      </x:c>
      <x:c r="W43" s="26" t="str">
        <x:v>3.293586607857474e-06</x:v>
      </x:c>
      <x:c r="X43" s="26" t="str">
        <x:v>3.963670369644401e-06</x:v>
      </x:c>
      <x:c r="Y43" s="26" t="str">
        <x:v>3.963670369644401e-06</x:v>
      </x:c>
      <x:c r="Z43" s="25" t="str">
        <x:v>2022</x:v>
      </x:c>
      <x:c r="AA43" s="25" t="str">
        <x:v>AVAILABLE</x:v>
      </x:c>
      <x:c r="AB43" s="25" t="str">
        <x:v>AVAILABLE</x:v>
      </x:c>
      <x:c r="AC43" s="27" t="str">
        <x:v>Climate/temperature-linked lexical frequency; still not evidence of reception, voice, or affect without passage review.</x:v>
      </x:c>
    </x:row>
    <x:row r="44" ht="19" customHeight="1">
      <x:c r="A44" s="23" t="str">
        <x:v>FT-Q-V01-043</x:v>
      </x:c>
      <x:c r="B44" s="24" t="str">
        <x:v>earth is warmer</x:v>
      </x:c>
      <x:c r="C44" s="24" t="str">
        <x:v>temperature increase</x:v>
      </x:c>
      <x:c r="D44" s="25" t="str">
        <x:v>warming</x:v>
      </x:c>
      <x:c r="E44" s="25" t="str">
        <x:v>A</x:v>
      </x:c>
      <x:c r="F44" s="25" t="str">
        <x:v>EXECUTABLE_NGRAM</x:v>
      </x:c>
      <x:c r="G44" s="25" t="str">
        <x:v>CONTEXT_REQUIRED</x:v>
      </x:c>
      <x:c r="H44" s="25" t="str">
        <x:v>eng</x:v>
      </x:c>
      <x:c r="I44" s="25" t="str">
        <x:v>current English corpus (July 2024 dataset; public shorthand eng; mutable current corpus)</x:v>
      </x:c>
      <x:c r="J44" s="25" t="str">
        <x:v>1842</x:v>
      </x:c>
      <x:c r="K44" s="25" t="str">
        <x:v>2022</x:v>
      </x:c>
      <x:c r="L44" s="25" t="str">
        <x:v>1844</x:v>
      </x:c>
      <x:c r="M44" s="25" t="str">
        <x:v>168</x:v>
      </x:c>
      <x:c r="N44" s="25" t="str">
        <x:v>1857</x:v>
      </x:c>
      <x:c r="O44" s="26" t="str">
        <x:v>1.443707464687805e-08</x:v>
      </x:c>
      <x:c r="P44" s="26" t="str">
        <x:v>1.702749219401056e-09</x:v>
      </x:c>
      <x:c r="Q44" s="26" t="str">
        <x:v>0</x:v>
      </x:c>
      <x:c r="R44" s="26" t="str">
        <x:v>2.444700553105861e-10</x:v>
      </x:c>
      <x:c r="S44" s="26" t="str">
        <x:v>1.243385561178201e-09</x:v>
      </x:c>
      <x:c r="T44" s="26" t="str">
        <x:v>1.04041819604106e-09</x:v>
      </x:c>
      <x:c r="U44" s="26" t="str">
        <x:v>2.235196472355483e-09</x:v>
      </x:c>
      <x:c r="V44" s="26" t="str">
        <x:v>1.637807334198271e-09</x:v>
      </x:c>
      <x:c r="W44" s="26" t="str">
        <x:v>1.249671310876721e-09</x:v>
      </x:c>
      <x:c r="X44" s="26" t="str">
        <x:v>1.702749219401056e-09</x:v>
      </x:c>
      <x:c r="Y44" s="26" t="str">
        <x:v>1.702749219401056e-09</x:v>
      </x:c>
      <x:c r="Z44" s="25" t="str">
        <x:v>2022</x:v>
      </x:c>
      <x:c r="AA44" s="25" t="str">
        <x:v>AVAILABLE</x:v>
      </x:c>
      <x:c r="AB44" s="25" t="str">
        <x:v>AVAILABLE</x:v>
      </x:c>
      <x:c r="AC44" s="27" t="str">
        <x:v>Climate/temperature-linked lexical frequency; still not evidence of reception, voice, or affect without passage review.</x:v>
      </x:c>
    </x:row>
    <x:row r="45" ht="19" customHeight="1">
      <x:c r="A45" s="23" t="str">
        <x:v>FT-Q-V01-044</x:v>
      </x:c>
      <x:c r="B45" s="24" t="str">
        <x:v>instrumental measurements</x:v>
      </x:c>
      <x:c r="C45" s="24" t="str">
        <x:v>historical climate / climatological condition</x:v>
      </x:c>
      <x:c r="D45" s="25" t="str">
        <x:v>climate</x:v>
      </x:c>
      <x:c r="E45" s="25" t="str">
        <x:v>B</x:v>
      </x:c>
      <x:c r="F45" s="25" t="str">
        <x:v>EXECUTABLE_NGRAM</x:v>
      </x:c>
      <x:c r="G45" s="25" t="str">
        <x:v>CONTEXT_REQUIRED</x:v>
      </x:c>
      <x:c r="H45" s="25" t="str">
        <x:v>eng</x:v>
      </x:c>
      <x:c r="I45" s="25" t="str">
        <x:v>current English corpus (July 2024 dataset; public shorthand eng; mutable current corpus)</x:v>
      </x:c>
      <x:c r="J45" s="25" t="str">
        <x:v>1842</x:v>
      </x:c>
      <x:c r="K45" s="25" t="str">
        <x:v>2022</x:v>
      </x:c>
      <x:c r="L45" s="25" t="str">
        <x:v>1844</x:v>
      </x:c>
      <x:c r="M45" s="25" t="str">
        <x:v>176</x:v>
      </x:c>
      <x:c r="N45" s="25" t="str">
        <x:v>1974</x:v>
      </x:c>
      <x:c r="O45" s="26" t="str">
        <x:v>1.862049187062453e-08</x:v>
      </x:c>
      <x:c r="P45" s="26" t="str">
        <x:v>8.892212299826951e-09</x:v>
      </x:c>
      <x:c r="Q45" s="26" t="str">
        <x:v>0</x:v>
      </x:c>
      <x:c r="R45" s="26" t="str">
        <x:v>4.343506249115947e-09</x:v>
      </x:c>
      <x:c r="S45" s="26" t="str">
        <x:v>6.959104164455665e-09</x:v>
      </x:c>
      <x:c r="T45" s="26" t="str">
        <x:v>9.659943039919128e-09</x:v>
      </x:c>
      <x:c r="U45" s="26" t="str">
        <x:v>1.155868578628372e-08</x:v>
      </x:c>
      <x:c r="V45" s="26" t="str">
        <x:v>1.060931441310142e-08</x:v>
      </x:c>
      <x:c r="W45" s="26" t="str">
        <x:v>7.752582603659519e-09</x:v>
      </x:c>
      <x:c r="X45" s="26" t="str">
        <x:v>8.892212299826951e-09</x:v>
      </x:c>
      <x:c r="Y45" s="26" t="str">
        <x:v>8.892212299826951e-09</x:v>
      </x:c>
      <x:c r="Z45" s="25" t="str">
        <x:v>2022</x:v>
      </x:c>
      <x:c r="AA45" s="25" t="str">
        <x:v>AVAILABLE</x:v>
      </x:c>
      <x:c r="AB45" s="25" t="str">
        <x:v>AVAILABLE</x:v>
      </x:c>
      <x:c r="AC45" s="27" t="str">
        <x:v>Climate/temperature-linked lexical frequency; still not evidence of reception, voice, or affect without passage review.</x:v>
      </x:c>
    </x:row>
    <x:row r="46" ht="19" customHeight="1">
      <x:c r="A46" s="23" t="str">
        <x:v>FT-Q-V01-045</x:v>
      </x:c>
      <x:c r="B46" s="24" t="str">
        <x:v>cause-and-effect relationship</x:v>
      </x:c>
      <x:c r="C46" s="24" t="str">
        <x:v>generic damage</x:v>
      </x:c>
      <x:c r="D46" s="25" t="str">
        <x:v>harm_loss_consequences</x:v>
      </x:c>
      <x:c r="E46" s="25" t="str">
        <x:v>B</x:v>
      </x:c>
      <x:c r="F46" s="25" t="str">
        <x:v>EXECUTABLE_NGRAM</x:v>
      </x:c>
      <x:c r="G46" s="25" t="str">
        <x:v>CONTEXT_REQUIRED</x:v>
      </x:c>
      <x:c r="H46" s="25" t="str">
        <x:v>eng</x:v>
      </x:c>
      <x:c r="I46" s="25" t="str">
        <x:v>current English corpus (July 2024 dataset; public shorthand eng; mutable current corpus)</x:v>
      </x:c>
      <x:c r="J46" s="25" t="str">
        <x:v>1842</x:v>
      </x:c>
      <x:c r="K46" s="25" t="str">
        <x:v>2022</x:v>
      </x:c>
      <x:c r="L46" s="25" t="str">
        <x:v>1870</x:v>
      </x:c>
      <x:c r="M46" s="25" t="str">
        <x:v>127</x:v>
      </x:c>
      <x:c r="N46" s="25" t="str">
        <x:v>2011</x:v>
      </x:c>
      <x:c r="O46" s="26" t="str">
        <x:v>1.395570624618259e-07</x:v>
      </x:c>
      <x:c r="P46" s="26" t="str">
        <x:v>1.046778577290519e-07</x:v>
      </x:c>
      <x:c r="Q46" s="26" t="str">
        <x:v>0</x:v>
      </x:c>
      <x:c r="R46" s="26" t="str">
        <x:v>1.153081288784996e-08</x:v>
      </x:c>
      <x:c r="S46" s="26" t="str">
        <x:v>1.040740936764095e-07</x:v>
      </x:c>
      <x:c r="T46" s="26" t="str">
        <x:v>1.102150947035474e-07</x:v>
      </x:c>
      <x:c r="U46" s="26" t="str">
        <x:v>1.140745307104396e-07</x:v>
      </x:c>
      <x:c r="V46" s="26" t="str">
        <x:v>1.121448127069935e-07</x:v>
      </x:c>
      <x:c r="W46" s="26" t="str">
        <x:v>1.375002782744161e-07</x:v>
      </x:c>
      <x:c r="X46" s="26" t="str">
        <x:v>1.046778577290519e-07</x:v>
      </x:c>
      <x:c r="Y46" s="26" t="str">
        <x:v>1.046778577290519e-07</x:v>
      </x:c>
      <x:c r="Z46" s="25" t="str">
        <x:v>2022</x:v>
      </x:c>
      <x:c r="AA46" s="25" t="str">
        <x:v>AVAILABLE</x:v>
      </x:c>
      <x:c r="AB46" s="25" t="str">
        <x:v>AVAILABLE</x:v>
      </x:c>
      <x:c r="AC46" s="27" t="str">
        <x:v>Climate/temperature-linked lexical frequency; still not evidence of reception, voice, or affect without passage review.</x:v>
      </x:c>
    </x:row>
    <x:row r="47" ht="19" customHeight="1">
      <x:c r="A47" s="23" t="str">
        <x:v>FT-Q-V01-046</x:v>
      </x:c>
      <x:c r="B47" s="24" t="str">
        <x:v>global temperature</x:v>
      </x:c>
      <x:c r="C47" s="24" t="str">
        <x:v>global aggregate temperature</x:v>
      </x:c>
      <x:c r="D47" s="25" t="str">
        <x:v>temperature_threshold</x:v>
      </x:c>
      <x:c r="E47" s="25" t="str">
        <x:v>A</x:v>
      </x:c>
      <x:c r="F47" s="25" t="str">
        <x:v>EXECUTABLE_NGRAM</x:v>
      </x:c>
      <x:c r="G47" s="25" t="str">
        <x:v>CONTEXT_REQUIRED</x:v>
      </x:c>
      <x:c r="H47" s="25" t="str">
        <x:v>eng</x:v>
      </x:c>
      <x:c r="I47" s="25" t="str">
        <x:v>current English corpus (July 2024 dataset; public shorthand eng; mutable current corpus)</x:v>
      </x:c>
      <x:c r="J47" s="25" t="str">
        <x:v>1842</x:v>
      </x:c>
      <x:c r="K47" s="25" t="str">
        <x:v>2022</x:v>
      </x:c>
      <x:c r="L47" s="25" t="str">
        <x:v>1843</x:v>
      </x:c>
      <x:c r="M47" s="25" t="str">
        <x:v>101</x:v>
      </x:c>
      <x:c r="N47" s="25" t="str">
        <x:v>2022</x:v>
      </x:c>
      <x:c r="O47" s="26" t="str">
        <x:v>3.140587651051518e-07</x:v>
      </x:c>
      <x:c r="P47" s="26" t="str">
        <x:v>3.140587651051518e-07</x:v>
      </x:c>
      <x:c r="Q47" s="26" t="str">
        <x:v>0</x:v>
      </x:c>
      <x:c r="R47" s="26" t="str">
        <x:v>0</x:v>
      </x:c>
      <x:c r="S47" s="26" t="str">
        <x:v>1.101611393217183e-07</x:v>
      </x:c>
      <x:c r="T47" s="26" t="str">
        <x:v>1.36521097881398e-07</x:v>
      </x:c>
      <x:c r="U47" s="26" t="str">
        <x:v>1.52331783999371e-07</x:v>
      </x:c>
      <x:c r="V47" s="26" t="str">
        <x:v>1.444264409403845e-07</x:v>
      </x:c>
      <x:c r="W47" s="26" t="str">
        <x:v>1.917596575834457e-07</x:v>
      </x:c>
      <x:c r="X47" s="26" t="str">
        <x:v>3.140587651051518e-07</x:v>
      </x:c>
      <x:c r="Y47" s="26" t="str">
        <x:v>3.140587651051518e-07</x:v>
      </x:c>
      <x:c r="Z47" s="25" t="str">
        <x:v>2022</x:v>
      </x:c>
      <x:c r="AA47" s="25" t="str">
        <x:v>AVAILABLE</x:v>
      </x:c>
      <x:c r="AB47" s="25" t="str">
        <x:v>AVAILABLE</x:v>
      </x:c>
      <x:c r="AC47" s="27" t="str">
        <x:v>Climate/temperature-linked lexical frequency; still not evidence of reception, voice, or affect without passage review.</x:v>
      </x:c>
    </x:row>
    <x:row r="48" ht="19" customHeight="1">
      <x:c r="A48" s="23" t="str">
        <x:v>FT-Q-V01-047</x:v>
      </x:c>
      <x:c r="B48" s="24" t="str">
        <x:v>regional heat waves</x:v>
      </x:c>
      <x:c r="C48" s="24" t="str">
        <x:v>heatwave / weather event</x:v>
      </x:c>
      <x:c r="D48" s="25" t="str">
        <x:v>heat</x:v>
      </x:c>
      <x:c r="E48" s="25" t="str">
        <x:v>A</x:v>
      </x:c>
      <x:c r="F48" s="25" t="str">
        <x:v>EXECUTABLE_NGRAM</x:v>
      </x:c>
      <x:c r="G48" s="25" t="str">
        <x:v>CONTEXT_REQUIRED</x:v>
      </x:c>
      <x:c r="H48" s="25" t="str">
        <x:v>eng</x:v>
      </x:c>
      <x:c r="I48" s="25" t="str">
        <x:v>current English corpus (July 2024 dataset; public shorthand eng; mutable current corpus)</x:v>
      </x:c>
      <x:c r="J48" s="25" t="str">
        <x:v>1842</x:v>
      </x:c>
      <x:c r="K48" s="25" t="str">
        <x:v>2022</x:v>
      </x:c>
      <x:c r="L48" s="25" t="str">
        <x:v>1954</x:v>
      </x:c>
      <x:c r="M48" s="25" t="str">
        <x:v>39</x:v>
      </x:c>
      <x:c r="N48" s="25" t="str">
        <x:v>1990</x:v>
      </x:c>
      <x:c r="O48" s="26" t="str">
        <x:v>2.84109114012665e-09</x:v>
      </x:c>
      <x:c r="P48" s="26" t="str">
        <x:v>4.729858865681891e-11</x:v>
      </x:c>
      <x:c r="Q48" s="26" t="str">
        <x:v>0</x:v>
      </x:c>
      <x:c r="R48" s="26" t="str">
        <x:v>0</x:v>
      </x:c>
      <x:c r="S48" s="26" t="str">
        <x:v>7.0278316499639e-10</x:v>
      </x:c>
      <x:c r="T48" s="26" t="str">
        <x:v>4.954372329057932e-11</x:v>
      </x:c>
      <x:c r="U48" s="26" t="str">
        <x:v>9.718245652656776e-11</x:v>
      </x:c>
      <x:c r="V48" s="26" t="str">
        <x:v>7.336308990857354e-11</x:v>
      </x:c>
      <x:c r="W48" s="26" t="str">
        <x:v>3.499079706537067e-10</x:v>
      </x:c>
      <x:c r="X48" s="26" t="str">
        <x:v>4.729858865681891e-11</x:v>
      </x:c>
      <x:c r="Y48" s="26" t="str">
        <x:v>4.729858865681891e-11</x:v>
      </x:c>
      <x:c r="Z48" s="25" t="str">
        <x:v>2022</x:v>
      </x:c>
      <x:c r="AA48" s="25" t="str">
        <x:v>AVAILABLE</x:v>
      </x:c>
      <x:c r="AB48" s="25" t="str">
        <x:v>AVAILABLE</x:v>
      </x:c>
      <x:c r="AC48" s="27" t="str">
        <x:v>Climate/temperature-linked lexical frequency; still not evidence of reception, voice, or affect without passage review.</x:v>
      </x:c>
    </x:row>
    <x:row r="49" ht="19" customHeight="1">
      <x:c r="A49" s="23" t="str">
        <x:v>FT-Q-V01-048</x:v>
      </x:c>
      <x:c r="B49" s="24" t="str">
        <x:v>heat wave</x:v>
      </x:c>
      <x:c r="C49" s="24" t="str">
        <x:v>heatwave / weather event</x:v>
      </x:c>
      <x:c r="D49" s="25" t="str">
        <x:v>heat</x:v>
      </x:c>
      <x:c r="E49" s="25" t="str">
        <x:v>A</x:v>
      </x:c>
      <x:c r="F49" s="25" t="str">
        <x:v>EXECUTABLE_NGRAM</x:v>
      </x:c>
      <x:c r="G49" s="25" t="str">
        <x:v>CLIMATE_SPECIFIC</x:v>
      </x:c>
      <x:c r="H49" s="25" t="str">
        <x:v>eng</x:v>
      </x:c>
      <x:c r="I49" s="25" t="str">
        <x:v>current English corpus (July 2024 dataset; public shorthand eng; mutable current corpus)</x:v>
      </x:c>
      <x:c r="J49" s="25" t="str">
        <x:v>1842</x:v>
      </x:c>
      <x:c r="K49" s="25" t="str">
        <x:v>2022</x:v>
      </x:c>
      <x:c r="L49" s="25" t="str">
        <x:v>1842</x:v>
      </x:c>
      <x:c r="M49" s="25" t="str">
        <x:v>169</x:v>
      </x:c>
      <x:c r="N49" s="25" t="str">
        <x:v>2020</x:v>
      </x:c>
      <x:c r="O49" s="26" t="str">
        <x:v>3.703185072062576e-07</x:v>
      </x:c>
      <x:c r="P49" s="26" t="str">
        <x:v>3.006541136052476e-07</x:v>
      </x:c>
      <x:c r="Q49" s="26" t="str">
        <x:v>4.514918217068953e-09</x:v>
      </x:c>
      <x:c r="R49" s="26" t="str">
        <x:v>1.921166252749629e-07</x:v>
      </x:c>
      <x:c r="S49" s="26" t="str">
        <x:v>1.718059701449892e-07</x:v>
      </x:c>
      <x:c r="T49" s="26" t="str">
        <x:v>2.572474944173564e-07</x:v>
      </x:c>
      <x:c r="U49" s="26" t="str">
        <x:v>2.559551631371726e-07</x:v>
      </x:c>
      <x:c r="V49" s="26" t="str">
        <x:v>2.566013287772645e-07</x:v>
      </x:c>
      <x:c r="W49" s="26" t="str">
        <x:v>3.528359153667782e-07</x:v>
      </x:c>
      <x:c r="X49" s="26" t="str">
        <x:v>3.006541136052476e-07</x:v>
      </x:c>
      <x:c r="Y49" s="26" t="str">
        <x:v>3.006541136052476e-07</x:v>
      </x:c>
      <x:c r="Z49" s="25" t="str">
        <x:v>2022</x:v>
      </x:c>
      <x:c r="AA49" s="25" t="str">
        <x:v>AVAILABLE</x:v>
      </x:c>
      <x:c r="AB49" s="25" t="str">
        <x:v>AVAILABLE</x:v>
      </x:c>
      <x:c r="AC49" s="27" t="str">
        <x:v>Climate/temperature-linked lexical frequency; still not evidence of reception, voice, or affect without passage review.</x:v>
      </x:c>
    </x:row>
    <x:row r="50" ht="19" customHeight="1">
      <x:c r="A50" s="23" t="str">
        <x:v>FT-Q-V01-049</x:v>
      </x:c>
      <x:c r="B50" s="24" t="str">
        <x:v>drought</x:v>
      </x:c>
      <x:c r="C50" s="24" t="str">
        <x:v>generic damage</x:v>
      </x:c>
      <x:c r="D50" s="25" t="str">
        <x:v>harm_loss_consequences</x:v>
      </x:c>
      <x:c r="E50" s="25" t="str">
        <x:v>D</x:v>
      </x:c>
      <x:c r="F50" s="25" t="str">
        <x:v>BACKGROUND_AMBIGUOUS</x:v>
      </x:c>
      <x:c r="G50" s="25" t="str">
        <x:v>BACKGROUND_AMBIGUOUS</x:v>
      </x:c>
      <x:c r="H50" s="25" t="str">
        <x:v>eng</x:v>
      </x:c>
      <x:c r="I50" s="25" t="str">
        <x:v>current English corpus (July 2024 dataset; public shorthand eng; mutable current corpus)</x:v>
      </x:c>
      <x:c r="J50" s="25" t="str">
        <x:v>1842</x:v>
      </x:c>
      <x:c r="K50" s="25" t="str">
        <x:v>2022</x:v>
      </x:c>
      <x:c r="L50" s="25" t="str">
        <x:v>1842</x:v>
      </x:c>
      <x:c r="M50" s="25" t="str">
        <x:v>181</x:v>
      </x:c>
      <x:c r="N50" s="25" t="str">
        <x:v>1934</x:v>
      </x:c>
      <x:c r="O50" s="26" t="str">
        <x:v>1.414249288700375e-05</x:v>
      </x:c>
      <x:c r="P50" s="26" t="str">
        <x:v>8.803938708723535e-06</x:v>
      </x:c>
      <x:c r="Q50" s="26" t="str">
        <x:v>3.115138760279024e-06</x:v>
      </x:c>
      <x:c r="R50" s="26" t="str">
        <x:v>9.374461029665326e-06</x:v>
      </x:c>
      <x:c r="S50" s="26" t="str">
        <x:v>1.090940310177757e-05</x:v>
      </x:c>
      <x:c r="T50" s="26" t="str">
        <x:v>6.629869545804468e-06</x:v>
      </x:c>
      <x:c r="U50" s="26" t="str">
        <x:v>6.241732602774164e-06</x:v>
      </x:c>
      <x:c r="V50" s="26" t="str">
        <x:v>6.435801074289316e-06</x:v>
      </x:c>
      <x:c r="W50" s="26" t="str">
        <x:v>5.762521983143643e-06</x:v>
      </x:c>
      <x:c r="X50" s="26" t="str">
        <x:v>8.803938708723535e-06</x:v>
      </x:c>
      <x:c r="Y50" s="26" t="str">
        <x:v>8.803938708723535e-06</x:v>
      </x:c>
      <x:c r="Z50" s="25" t="str">
        <x:v>2022</x:v>
      </x:c>
      <x:c r="AA50" s="25" t="str">
        <x:v>AVAILABLE</x:v>
      </x:c>
      <x:c r="AB50" s="25" t="str">
        <x:v>AVAILABLE</x:v>
      </x:c>
      <x:c r="AC50" s="27" t="str">
        <x:v>Generic corpus string frequency; not climate-specific semantic frequency.</x:v>
      </x:c>
    </x:row>
    <x:row r="51" ht="19" customHeight="1">
      <x:c r="A51" s="23" t="str">
        <x:v>FT-Q-V01-050</x:v>
      </x:c>
      <x:c r="B51" s="24" t="str">
        <x:v>heat wave/drought occurrences</x:v>
      </x:c>
      <x:c r="C51" s="24" t="str">
        <x:v>heatwave / weather event</x:v>
      </x:c>
      <x:c r="D51" s="25" t="str">
        <x:v>heat</x:v>
      </x:c>
      <x:c r="E51" s="25" t="str">
        <x:v>D</x:v>
      </x:c>
      <x:c r="F51" s="25" t="str">
        <x:v>EXECUTABLE_CORPUS_ONLY</x:v>
      </x:c>
      <x:c r="G51" s="25" t="str">
        <x:v>CONTEXT_REQUIRED</x:v>
      </x:c>
      <x:c r="H51" s="25" t="str">
        <x:v>eng</x:v>
      </x:c>
      <x:c r="I51" s="25" t="str">
        <x:v>current English corpus (July 2024 dataset; public shorthand eng; mutable current corpus)</x:v>
      </x:c>
      <x:c r="J51" s="25" t="str">
        <x:v>1842</x:v>
      </x:c>
      <x:c r="K51" s="25" t="str">
        <x:v>2022</x:v>
      </x:c>
      <x:c r="L51" s="25" t="str"/>
      <x:c r="M51" s="25" t="str">
        <x:v>0</x:v>
      </x:c>
      <x:c r="N51" s="25" t="str"/>
      <x:c r="O51" s="26" t="str"/>
      <x:c r="P51" s="26" t="str"/>
      <x:c r="Q51" s="26" t="str"/>
      <x:c r="R51" s="26" t="str"/>
      <x:c r="S51" s="26" t="str"/>
      <x:c r="T51" s="26" t="str"/>
      <x:c r="U51" s="26" t="str"/>
      <x:c r="V51" s="26" t="str"/>
      <x:c r="W51" s="26" t="str"/>
      <x:c r="X51" s="26" t="str"/>
      <x:c r="Y51" s="26" t="str"/>
      <x:c r="Z51" s="25" t="str">
        <x:v>2022</x:v>
      </x:c>
      <x:c r="AA51" s="25" t="str">
        <x:v>NO_SERIES</x:v>
      </x:c>
      <x:c r="AB51" s="25" t="str">
        <x:v>NOT_AVAILABLE</x:v>
      </x:c>
      <x:c r="AC51" s="27" t="str">
        <x:v>Climate/temperature-linked lexical frequency; still not evidence of reception, voice, or affect without passage review.</x:v>
      </x:c>
    </x:row>
    <x:row r="52" ht="19" customHeight="1">
      <x:c r="A52" s="23" t="str">
        <x:v>FT-Q-V01-051</x:v>
      </x:c>
      <x:c r="B52" s="24" t="str">
        <x:v>extreme events</x:v>
      </x:c>
      <x:c r="C52" s="24" t="str">
        <x:v>generic damage</x:v>
      </x:c>
      <x:c r="D52" s="25" t="str">
        <x:v>harm_loss_consequences</x:v>
      </x:c>
      <x:c r="E52" s="25" t="str">
        <x:v>D</x:v>
      </x:c>
      <x:c r="F52" s="25" t="str">
        <x:v>EXECUTABLE_NGRAM</x:v>
      </x:c>
      <x:c r="G52" s="25" t="str">
        <x:v>CONTEXT_REQUIRED</x:v>
      </x:c>
      <x:c r="H52" s="25" t="str">
        <x:v>eng</x:v>
      </x:c>
      <x:c r="I52" s="25" t="str">
        <x:v>current English corpus (July 2024 dataset; public shorthand eng; mutable current corpus)</x:v>
      </x:c>
      <x:c r="J52" s="25" t="str">
        <x:v>1842</x:v>
      </x:c>
      <x:c r="K52" s="25" t="str">
        <x:v>2022</x:v>
      </x:c>
      <x:c r="L52" s="25" t="str">
        <x:v>1843</x:v>
      </x:c>
      <x:c r="M52" s="25" t="str">
        <x:v>154</x:v>
      </x:c>
      <x:c r="N52" s="25" t="str">
        <x:v>2022</x:v>
      </x:c>
      <x:c r="O52" s="26" t="str">
        <x:v>4.590328079867589e-07</x:v>
      </x:c>
      <x:c r="P52" s="26" t="str">
        <x:v>4.590328079867589e-07</x:v>
      </x:c>
      <x:c r="Q52" s="26" t="str">
        <x:v>0</x:v>
      </x:c>
      <x:c r="R52" s="26" t="str">
        <x:v>3.341158599790006e-10</x:v>
      </x:c>
      <x:c r="S52" s="26" t="str">
        <x:v>5.5376702223775e-08</x:v>
      </x:c>
      <x:c r="T52" s="26" t="str">
        <x:v>2.56927021435871e-07</x:v>
      </x:c>
      <x:c r="U52" s="26" t="str">
        <x:v>2.204695532803669e-07</x:v>
      </x:c>
      <x:c r="V52" s="26" t="str">
        <x:v>2.386982873581189e-07</x:v>
      </x:c>
      <x:c r="W52" s="26" t="str">
        <x:v>3.062737106152014e-07</x:v>
      </x:c>
      <x:c r="X52" s="26" t="str">
        <x:v>4.590328079867589e-07</x:v>
      </x:c>
      <x:c r="Y52" s="26" t="str">
        <x:v>4.590328079867589e-07</x:v>
      </x:c>
      <x:c r="Z52" s="25" t="str">
        <x:v>2022</x:v>
      </x:c>
      <x:c r="AA52" s="25" t="str">
        <x:v>AVAILABLE</x:v>
      </x:c>
      <x:c r="AB52" s="25" t="str">
        <x:v>AVAILABLE</x:v>
      </x:c>
      <x:c r="AC52" s="27" t="str">
        <x:v>Climate/temperature-linked lexical frequency; still not evidence of reception, voice, or affect without passage review.</x:v>
      </x:c>
    </x:row>
    <x:row r="53" ht="19" customHeight="1">
      <x:c r="A53" s="23" t="str">
        <x:v>FT-Q-V01-052</x:v>
      </x:c>
      <x:c r="B53" s="24" t="str">
        <x:v>global climate models</x:v>
      </x:c>
      <x:c r="C53" s="24" t="str">
        <x:v>climate system</x:v>
      </x:c>
      <x:c r="D53" s="25" t="str">
        <x:v>climate</x:v>
      </x:c>
      <x:c r="E53" s="25" t="str">
        <x:v>B</x:v>
      </x:c>
      <x:c r="F53" s="25" t="str">
        <x:v>EXECUTABLE_NGRAM</x:v>
      </x:c>
      <x:c r="G53" s="25" t="str">
        <x:v>CONTEXT_REQUIRED</x:v>
      </x:c>
      <x:c r="H53" s="25" t="str">
        <x:v>eng</x:v>
      </x:c>
      <x:c r="I53" s="25" t="str">
        <x:v>current English corpus (July 2024 dataset; public shorthand eng; mutable current corpus)</x:v>
      </x:c>
      <x:c r="J53" s="25" t="str">
        <x:v>1842</x:v>
      </x:c>
      <x:c r="K53" s="25" t="str">
        <x:v>2022</x:v>
      </x:c>
      <x:c r="L53" s="25" t="str">
        <x:v>1869</x:v>
      </x:c>
      <x:c r="M53" s="25" t="str">
        <x:v>75</x:v>
      </x:c>
      <x:c r="N53" s="25" t="str">
        <x:v>1994</x:v>
      </x:c>
      <x:c r="O53" s="26" t="str">
        <x:v>5.645689804545384e-08</x:v>
      </x:c>
      <x:c r="P53" s="26" t="str">
        <x:v>4.237953538099859e-08</x:v>
      </x:c>
      <x:c r="Q53" s="26" t="str">
        <x:v>0</x:v>
      </x:c>
      <x:c r="R53" s="26" t="str">
        <x:v>0</x:v>
      </x:c>
      <x:c r="S53" s="26" t="str">
        <x:v>1.378536206020353e-08</x:v>
      </x:c>
      <x:c r="T53" s="26" t="str">
        <x:v>3.141072137807788e-08</x:v>
      </x:c>
      <x:c r="U53" s="26" t="str">
        <x:v>3.527723113627701e-08</x:v>
      </x:c>
      <x:c r="V53" s="26" t="str">
        <x:v>3.334397625717744e-08</x:v>
      </x:c>
      <x:c r="W53" s="26" t="str">
        <x:v>3.734017823067703e-08</x:v>
      </x:c>
      <x:c r="X53" s="26" t="str">
        <x:v>4.237953538099859e-08</x:v>
      </x:c>
      <x:c r="Y53" s="26" t="str">
        <x:v>4.237953538099859e-08</x:v>
      </x:c>
      <x:c r="Z53" s="25" t="str">
        <x:v>2022</x:v>
      </x:c>
      <x:c r="AA53" s="25" t="str">
        <x:v>AVAILABLE</x:v>
      </x:c>
      <x:c r="AB53" s="25" t="str">
        <x:v>AVAILABLE</x:v>
      </x:c>
      <x:c r="AC53" s="27" t="str">
        <x:v>Climate/temperature-linked lexical frequency; still not evidence of reception, voice, or affect without passage review.</x:v>
      </x:c>
    </x:row>
    <x:row r="54" ht="19" customHeight="1">
      <x:c r="A54" s="23" t="str">
        <x:v>FT-Q-V01-053</x:v>
      </x:c>
      <x:c r="B54" s="24" t="str">
        <x:v>global observations</x:v>
      </x:c>
      <x:c r="C54" s="24" t="str">
        <x:v>historical climate / climatological condition</x:v>
      </x:c>
      <x:c r="D54" s="25" t="str">
        <x:v>climate</x:v>
      </x:c>
      <x:c r="E54" s="25" t="str">
        <x:v>B</x:v>
      </x:c>
      <x:c r="F54" s="25" t="str">
        <x:v>EXECUTABLE_NGRAM</x:v>
      </x:c>
      <x:c r="G54" s="25" t="str">
        <x:v>CONTEXT_REQUIRED</x:v>
      </x:c>
      <x:c r="H54" s="25" t="str">
        <x:v>eng</x:v>
      </x:c>
      <x:c r="I54" s="25" t="str">
        <x:v>current English corpus (July 2024 dataset; public shorthand eng; mutable current corpus)</x:v>
      </x:c>
      <x:c r="J54" s="25" t="str">
        <x:v>1842</x:v>
      </x:c>
      <x:c r="K54" s="25" t="str">
        <x:v>2022</x:v>
      </x:c>
      <x:c r="L54" s="25" t="str">
        <x:v>1869</x:v>
      </x:c>
      <x:c r="M54" s="25" t="str">
        <x:v>82</x:v>
      </x:c>
      <x:c r="N54" s="25" t="str">
        <x:v>1984</x:v>
      </x:c>
      <x:c r="O54" s="26" t="str">
        <x:v>2.193620524115758e-08</x:v>
      </x:c>
      <x:c r="P54" s="26" t="str">
        <x:v>1.190052256738738e-08</x:v>
      </x:c>
      <x:c r="Q54" s="26" t="str">
        <x:v>0</x:v>
      </x:c>
      <x:c r="R54" s="26" t="str">
        <x:v>0</x:v>
      </x:c>
      <x:c r="S54" s="26" t="str">
        <x:v>1.599113318151435e-08</x:v>
      </x:c>
      <x:c r="T54" s="26" t="str">
        <x:v>1.16285575613162e-08</x:v>
      </x:c>
      <x:c r="U54" s="26" t="str">
        <x:v>1.421223546141381e-08</x:v>
      </x:c>
      <x:c r="V54" s="26" t="str">
        <x:v>1.292039651136501e-08</x:v>
      </x:c>
      <x:c r="W54" s="26" t="str">
        <x:v>8.17290351715072e-09</x:v>
      </x:c>
      <x:c r="X54" s="26" t="str">
        <x:v>1.190052256738738e-08</x:v>
      </x:c>
      <x:c r="Y54" s="26" t="str">
        <x:v>1.190052256738738e-08</x:v>
      </x:c>
      <x:c r="Z54" s="25" t="str">
        <x:v>2022</x:v>
      </x:c>
      <x:c r="AA54" s="25" t="str">
        <x:v>AVAILABLE</x:v>
      </x:c>
      <x:c r="AB54" s="25" t="str">
        <x:v>AVAILABLE</x:v>
      </x:c>
      <x:c r="AC54" s="27" t="str">
        <x:v>Climate/temperature-linked lexical frequency; still not evidence of reception, voice, or affect without passage review.</x:v>
      </x:c>
    </x:row>
    <x:row r="55" ht="19" customHeight="1">
      <x:c r="A55" s="23" t="str">
        <x:v>FT-Q-V01-054</x:v>
      </x:c>
      <x:c r="B55" s="24" t="str">
        <x:v>warm air</x:v>
      </x:c>
      <x:c r="C55" s="24" t="str">
        <x:v>local / instrumental temperature</x:v>
      </x:c>
      <x:c r="D55" s="25" t="str">
        <x:v>temperature_threshold</x:v>
      </x:c>
      <x:c r="E55" s="25" t="str">
        <x:v>A</x:v>
      </x:c>
      <x:c r="F55" s="25" t="str">
        <x:v>EXECUTABLE_NGRAM</x:v>
      </x:c>
      <x:c r="G55" s="25" t="str">
        <x:v>CONTEXT_REQUIRED</x:v>
      </x:c>
      <x:c r="H55" s="25" t="str">
        <x:v>eng</x:v>
      </x:c>
      <x:c r="I55" s="25" t="str">
        <x:v>current English corpus (July 2024 dataset; public shorthand eng; mutable current corpus)</x:v>
      </x:c>
      <x:c r="J55" s="25" t="str">
        <x:v>1842</x:v>
      </x:c>
      <x:c r="K55" s="25" t="str">
        <x:v>2022</x:v>
      </x:c>
      <x:c r="L55" s="25" t="str">
        <x:v>1842</x:v>
      </x:c>
      <x:c r="M55" s="25" t="str">
        <x:v>181</x:v>
      </x:c>
      <x:c r="N55" s="25" t="str">
        <x:v>1916</x:v>
      </x:c>
      <x:c r="O55" s="26" t="str">
        <x:v>2.910558041517575e-06</x:v>
      </x:c>
      <x:c r="P55" s="26" t="str">
        <x:v>5.92194779214239e-07</x:v>
      </x:c>
      <x:c r="Q55" s="26" t="str">
        <x:v>4.637466225476672e-07</x:v>
      </x:c>
      <x:c r="R55" s="26" t="str">
        <x:v>1.56020963704151e-06</x:v>
      </x:c>
      <x:c r="S55" s="26" t="str">
        <x:v>4.812640085269382e-07</x:v>
      </x:c>
      <x:c r="T55" s="26" t="str">
        <x:v>5.327618970638048e-07</x:v>
      </x:c>
      <x:c r="U55" s="26" t="str">
        <x:v>5.737065812000397e-07</x:v>
      </x:c>
      <x:c r="V55" s="26" t="str">
        <x:v>5.532342391319223e-07</x:v>
      </x:c>
      <x:c r="W55" s="26" t="str">
        <x:v>6.757823330823254e-07</x:v>
      </x:c>
      <x:c r="X55" s="26" t="str">
        <x:v>5.92194779214239e-07</x:v>
      </x:c>
      <x:c r="Y55" s="26" t="str">
        <x:v>5.92194779214239e-07</x:v>
      </x:c>
      <x:c r="Z55" s="25" t="str">
        <x:v>2022</x:v>
      </x:c>
      <x:c r="AA55" s="25" t="str">
        <x:v>AVAILABLE</x:v>
      </x:c>
      <x:c r="AB55" s="25" t="str">
        <x:v>AVAILABLE</x:v>
      </x:c>
      <x:c r="AC55" s="27" t="str">
        <x:v>Climate/temperature-linked lexical frequency; still not evidence of reception, voice, or affect without passage review.</x:v>
      </x:c>
    </x:row>
    <x:row r="56" ht="19" customHeight="1">
      <x:c r="A56" s="23" t="str">
        <x:v>FT-Q-V01-055</x:v>
      </x:c>
      <x:c r="B56" s="24" t="str">
        <x:v>changing atmosphere</x:v>
      </x:c>
      <x:c r="C56" s="24" t="str">
        <x:v>changing atmosphere</x:v>
      </x:c>
      <x:c r="D56" s="25" t="str">
        <x:v>climate</x:v>
      </x:c>
      <x:c r="E56" s="25" t="str">
        <x:v>B</x:v>
      </x:c>
      <x:c r="F56" s="25" t="str">
        <x:v>EXECUTABLE_NGRAM</x:v>
      </x:c>
      <x:c r="G56" s="25" t="str">
        <x:v>CLIMATE_SPECIFIC</x:v>
      </x:c>
      <x:c r="H56" s="25" t="str">
        <x:v>eng</x:v>
      </x:c>
      <x:c r="I56" s="25" t="str">
        <x:v>current English corpus (July 2024 dataset; public shorthand eng; mutable current corpus)</x:v>
      </x:c>
      <x:c r="J56" s="25" t="str">
        <x:v>1842</x:v>
      </x:c>
      <x:c r="K56" s="25" t="str">
        <x:v>2022</x:v>
      </x:c>
      <x:c r="L56" s="25" t="str">
        <x:v>1842</x:v>
      </x:c>
      <x:c r="M56" s="25" t="str">
        <x:v>181</x:v>
      </x:c>
      <x:c r="N56" s="25" t="str">
        <x:v>1989</x:v>
      </x:c>
      <x:c r="O56" s="26" t="str">
        <x:v>6.209157343839422e-08</x:v>
      </x:c>
      <x:c r="P56" s="26" t="str">
        <x:v>1.070604704889178e-08</x:v>
      </x:c>
      <x:c r="Q56" s="26" t="str">
        <x:v>1.93496507705504e-09</x:v>
      </x:c>
      <x:c r="R56" s="26" t="str">
        <x:v>2.450182945423762e-09</x:v>
      </x:c>
      <x:c r="S56" s="26" t="str">
        <x:v>3.622682637205443e-08</x:v>
      </x:c>
      <x:c r="T56" s="26" t="str">
        <x:v>9.110562668862565e-09</x:v>
      </x:c>
      <x:c r="U56" s="26" t="str">
        <x:v>9.534791317600266e-09</x:v>
      </x:c>
      <x:c r="V56" s="26" t="str">
        <x:v>9.322676993231416e-09</x:v>
      </x:c>
      <x:c r="W56" s="26" t="str">
        <x:v>8.266307967991215e-09</x:v>
      </x:c>
      <x:c r="X56" s="26" t="str">
        <x:v>1.070604704889178e-08</x:v>
      </x:c>
      <x:c r="Y56" s="26" t="str">
        <x:v>1.070604704889178e-08</x:v>
      </x:c>
      <x:c r="Z56" s="25" t="str">
        <x:v>2022</x:v>
      </x:c>
      <x:c r="AA56" s="25" t="str">
        <x:v>AVAILABLE</x:v>
      </x:c>
      <x:c r="AB56" s="25" t="str">
        <x:v>AVAILABLE</x:v>
      </x:c>
      <x:c r="AC56" s="27" t="str">
        <x:v>Climate/temperature-linked lexical frequency; still not evidence of reception, voice, or affect without passage review.</x:v>
      </x:c>
    </x:row>
    <x:row r="57" ht="19" customHeight="1">
      <x:c r="A57" s="23" t="str">
        <x:v>FT-Q-V01-056</x:v>
      </x:c>
      <x:c r="B57" s="24" t="str">
        <x:v>global security</x:v>
      </x:c>
      <x:c r="C57" s="24" t="str">
        <x:v>global security frame</x:v>
      </x:c>
      <x:c r="D57" s="25" t="str">
        <x:v>danger_threat</x:v>
      </x:c>
      <x:c r="E57" s="25" t="str">
        <x:v>D</x:v>
      </x:c>
      <x:c r="F57" s="25" t="str">
        <x:v>EXECUTABLE_NGRAM</x:v>
      </x:c>
      <x:c r="G57" s="25" t="str">
        <x:v>CONTEXT_REQUIRED</x:v>
      </x:c>
      <x:c r="H57" s="25" t="str">
        <x:v>eng</x:v>
      </x:c>
      <x:c r="I57" s="25" t="str">
        <x:v>current English corpus (July 2024 dataset; public shorthand eng; mutable current corpus)</x:v>
      </x:c>
      <x:c r="J57" s="25" t="str">
        <x:v>1842</x:v>
      </x:c>
      <x:c r="K57" s="25" t="str">
        <x:v>2022</x:v>
      </x:c>
      <x:c r="L57" s="25" t="str">
        <x:v>1843</x:v>
      </x:c>
      <x:c r="M57" s="25" t="str">
        <x:v>109</x:v>
      </x:c>
      <x:c r="N57" s="25" t="str">
        <x:v>2009</x:v>
      </x:c>
      <x:c r="O57" s="26" t="str">
        <x:v>4.395556607306172e-07</x:v>
      </x:c>
      <x:c r="P57" s="26" t="str">
        <x:v>2.638022949807972e-07</x:v>
      </x:c>
      <x:c r="Q57" s="26" t="str">
        <x:v>0</x:v>
      </x:c>
      <x:c r="R57" s="26" t="str">
        <x:v>0</x:v>
      </x:c>
      <x:c r="S57" s="26" t="str">
        <x:v>1.697824010271631e-07</x:v>
      </x:c>
      <x:c r="T57" s="26" t="str">
        <x:v>3.610804458209493e-07</x:v>
      </x:c>
      <x:c r="U57" s="26" t="str">
        <x:v>3.68618609414284e-07</x:v>
      </x:c>
      <x:c r="V57" s="26" t="str">
        <x:v>3.648495276176167e-07</x:v>
      </x:c>
      <x:c r="W57" s="26" t="str">
        <x:v>2.910487669725847e-07</x:v>
      </x:c>
      <x:c r="X57" s="26" t="str">
        <x:v>2.638022949807972e-07</x:v>
      </x:c>
      <x:c r="Y57" s="26" t="str">
        <x:v>2.638022949807972e-07</x:v>
      </x:c>
      <x:c r="Z57" s="25" t="str">
        <x:v>2022</x:v>
      </x:c>
      <x:c r="AA57" s="25" t="str">
        <x:v>AVAILABLE</x:v>
      </x:c>
      <x:c r="AB57" s="25" t="str">
        <x:v>AVAILABLE</x:v>
      </x:c>
      <x:c r="AC57" s="27" t="str">
        <x:v>Climate/temperature-linked lexical frequency; still not evidence of reception, voice, or affect without passage review.</x:v>
      </x:c>
    </x:row>
    <x:row r="58" ht="19" customHeight="1">
      <x:c r="A58" s="23" t="str">
        <x:v>FT-Q-V01-057</x:v>
      </x:c>
      <x:c r="B58" s="24" t="str">
        <x:v>climate warming</x:v>
      </x:c>
      <x:c r="C58" s="24" t="str">
        <x:v>climate-system warming</x:v>
      </x:c>
      <x:c r="D58" s="25" t="str">
        <x:v>warming</x:v>
      </x:c>
      <x:c r="E58" s="25" t="str">
        <x:v>A</x:v>
      </x:c>
      <x:c r="F58" s="25" t="str">
        <x:v>EXECUTABLE_NGRAM</x:v>
      </x:c>
      <x:c r="G58" s="25" t="str">
        <x:v>CONTEXT_REQUIRED</x:v>
      </x:c>
      <x:c r="H58" s="25" t="str">
        <x:v>eng</x:v>
      </x:c>
      <x:c r="I58" s="25" t="str">
        <x:v>current English corpus (July 2024 dataset; public shorthand eng; mutable current corpus)</x:v>
      </x:c>
      <x:c r="J58" s="25" t="str">
        <x:v>1842</x:v>
      </x:c>
      <x:c r="K58" s="25" t="str">
        <x:v>2022</x:v>
      </x:c>
      <x:c r="L58" s="25" t="str">
        <x:v>1865</x:v>
      </x:c>
      <x:c r="M58" s="25" t="str">
        <x:v>89</x:v>
      </x:c>
      <x:c r="N58" s="25" t="str">
        <x:v>2022</x:v>
      </x:c>
      <x:c r="O58" s="26" t="str">
        <x:v>1.583787058723196e-07</x:v>
      </x:c>
      <x:c r="P58" s="26" t="str">
        <x:v>1.583787058723196e-07</x:v>
      </x:c>
      <x:c r="Q58" s="26" t="str">
        <x:v>0</x:v>
      </x:c>
      <x:c r="R58" s="26" t="str">
        <x:v>0</x:v>
      </x:c>
      <x:c r="S58" s="26" t="str">
        <x:v>3.632553680077422e-08</x:v>
      </x:c>
      <x:c r="T58" s="26" t="str">
        <x:v>9.815601531570906e-08</x:v>
      </x:c>
      <x:c r="U58" s="26" t="str">
        <x:v>9.899091737985977e-08</x:v>
      </x:c>
      <x:c r="V58" s="26" t="str">
        <x:v>9.857346634778441e-08</x:v>
      </x:c>
      <x:c r="W58" s="26" t="str">
        <x:v>8.350372171506137e-08</x:v>
      </x:c>
      <x:c r="X58" s="26" t="str">
        <x:v>1.583787058723196e-07</x:v>
      </x:c>
      <x:c r="Y58" s="26" t="str">
        <x:v>1.583787058723196e-07</x:v>
      </x:c>
      <x:c r="Z58" s="25" t="str">
        <x:v>2022</x:v>
      </x:c>
      <x:c r="AA58" s="25" t="str">
        <x:v>AVAILABLE</x:v>
      </x:c>
      <x:c r="AB58" s="25" t="str">
        <x:v>AVAILABLE</x:v>
      </x:c>
      <x:c r="AC58" s="27" t="str">
        <x:v>Climate/temperature-linked lexical frequency; still not evidence of reception, voice, or affect without passage review.</x:v>
      </x:c>
    </x:row>
    <x:row r="59" ht="19" customHeight="1">
      <x:c r="A59" s="23" t="str">
        <x:v>FT-Q-V01-058</x:v>
      </x:c>
      <x:c r="B59" s="24" t="str">
        <x:v>changed climatic extremes</x:v>
      </x:c>
      <x:c r="C59" s="24" t="str">
        <x:v>generic damage</x:v>
      </x:c>
      <x:c r="D59" s="25" t="str">
        <x:v>harm_loss_consequences</x:v>
      </x:c>
      <x:c r="E59" s="25" t="str">
        <x:v>D</x:v>
      </x:c>
      <x:c r="F59" s="25" t="str">
        <x:v>EXECUTABLE_NGRAM</x:v>
      </x:c>
      <x:c r="G59" s="25" t="str">
        <x:v>CONTEXT_REQUIRED</x:v>
      </x:c>
      <x:c r="H59" s="25" t="str">
        <x:v>eng</x:v>
      </x:c>
      <x:c r="I59" s="25" t="str">
        <x:v>current English corpus (July 2024 dataset; public shorthand eng; mutable current corpus)</x:v>
      </x:c>
      <x:c r="J59" s="25" t="str">
        <x:v>1842</x:v>
      </x:c>
      <x:c r="K59" s="25" t="str">
        <x:v>2022</x:v>
      </x:c>
      <x:c r="L59" s="25" t="str"/>
      <x:c r="M59" s="25" t="str">
        <x:v>0</x:v>
      </x:c>
      <x:c r="N59" s="25" t="str"/>
      <x:c r="O59" s="26" t="str"/>
      <x:c r="P59" s="26" t="str"/>
      <x:c r="Q59" s="26" t="str"/>
      <x:c r="R59" s="26" t="str"/>
      <x:c r="S59" s="26" t="str"/>
      <x:c r="T59" s="26" t="str"/>
      <x:c r="U59" s="26" t="str"/>
      <x:c r="V59" s="26" t="str"/>
      <x:c r="W59" s="26" t="str"/>
      <x:c r="X59" s="26" t="str"/>
      <x:c r="Y59" s="26" t="str"/>
      <x:c r="Z59" s="25" t="str">
        <x:v>2022</x:v>
      </x:c>
      <x:c r="AA59" s="25" t="str">
        <x:v>NO_SERIES</x:v>
      </x:c>
      <x:c r="AB59" s="25" t="str">
        <x:v>NOT_AVAILABLE</x:v>
      </x:c>
      <x:c r="AC59" s="27" t="str">
        <x:v>Climate/temperature-linked lexical frequency; still not evidence of reception, voice, or affect without passage review.</x:v>
      </x:c>
    </x:row>
    <x:row r="60" ht="19" customHeight="1">
      <x:c r="A60" s="23" t="str">
        <x:v>FT-Q-V01-059</x:v>
      </x:c>
      <x:c r="B60" s="24" t="str">
        <x:v>major threat</x:v>
      </x:c>
      <x:c r="C60" s="24" t="str">
        <x:v>institutional climate threat</x:v>
      </x:c>
      <x:c r="D60" s="25" t="str">
        <x:v>danger_threat</x:v>
      </x:c>
      <x:c r="E60" s="25" t="str">
        <x:v>D</x:v>
      </x:c>
      <x:c r="F60" s="25" t="str">
        <x:v>EXECUTABLE_NGRAM</x:v>
      </x:c>
      <x:c r="G60" s="25" t="str">
        <x:v>CONTEXT_REQUIRED</x:v>
      </x:c>
      <x:c r="H60" s="25" t="str">
        <x:v>eng</x:v>
      </x:c>
      <x:c r="I60" s="25" t="str">
        <x:v>current English corpus (July 2024 dataset; public shorthand eng; mutable current corpus)</x:v>
      </x:c>
      <x:c r="J60" s="25" t="str">
        <x:v>1842</x:v>
      </x:c>
      <x:c r="K60" s="25" t="str">
        <x:v>2022</x:v>
      </x:c>
      <x:c r="L60" s="25" t="str">
        <x:v>1844</x:v>
      </x:c>
      <x:c r="M60" s="25" t="str">
        <x:v>136</x:v>
      </x:c>
      <x:c r="N60" s="25" t="str">
        <x:v>2021</x:v>
      </x:c>
      <x:c r="O60" s="26" t="str">
        <x:v>2.630044870777226e-07</x:v>
      </x:c>
      <x:c r="P60" s="26" t="str">
        <x:v>2.351791106303125e-07</x:v>
      </x:c>
      <x:c r="Q60" s="26" t="str">
        <x:v>0</x:v>
      </x:c>
      <x:c r="R60" s="26" t="str">
        <x:v>1.403286584156227e-08</x:v>
      </x:c>
      <x:c r="S60" s="26" t="str">
        <x:v>2.255045952748169e-07</x:v>
      </x:c>
      <x:c r="T60" s="26" t="str">
        <x:v>2.440623619870408e-07</x:v>
      </x:c>
      <x:c r="U60" s="26" t="str">
        <x:v>2.354463725096068e-07</x:v>
      </x:c>
      <x:c r="V60" s="26" t="str">
        <x:v>2.397543672483238e-07</x:v>
      </x:c>
      <x:c r="W60" s="26" t="str">
        <x:v>2.18847005184486e-07</x:v>
      </x:c>
      <x:c r="X60" s="26" t="str">
        <x:v>2.351791106303125e-07</x:v>
      </x:c>
      <x:c r="Y60" s="26" t="str">
        <x:v>2.351791106303125e-07</x:v>
      </x:c>
      <x:c r="Z60" s="25" t="str">
        <x:v>2022</x:v>
      </x:c>
      <x:c r="AA60" s="25" t="str">
        <x:v>AVAILABLE</x:v>
      </x:c>
      <x:c r="AB60" s="25" t="str">
        <x:v>AVAILABLE</x:v>
      </x:c>
      <x:c r="AC60" s="27" t="str">
        <x:v>Climate/temperature-linked lexical frequency; still not evidence of reception, voice, or affect without passage review.</x:v>
      </x:c>
    </x:row>
    <x:row r="61" ht="19" customHeight="1">
      <x:c r="A61" s="23" t="str">
        <x:v>FT-Q-V01-060</x:v>
      </x:c>
      <x:c r="B61" s="24" t="str">
        <x:v>harmful consequences</x:v>
      </x:c>
      <x:c r="C61" s="24" t="str">
        <x:v>generic damage</x:v>
      </x:c>
      <x:c r="D61" s="25" t="str">
        <x:v>harm_loss_consequences</x:v>
      </x:c>
      <x:c r="E61" s="25" t="str">
        <x:v>D</x:v>
      </x:c>
      <x:c r="F61" s="25" t="str">
        <x:v>EXECUTABLE_NGRAM</x:v>
      </x:c>
      <x:c r="G61" s="25" t="str">
        <x:v>CONTEXT_REQUIRED</x:v>
      </x:c>
      <x:c r="H61" s="25" t="str">
        <x:v>eng</x:v>
      </x:c>
      <x:c r="I61" s="25" t="str">
        <x:v>current English corpus (July 2024 dataset; public shorthand eng; mutable current corpus)</x:v>
      </x:c>
      <x:c r="J61" s="25" t="str">
        <x:v>1842</x:v>
      </x:c>
      <x:c r="K61" s="25" t="str">
        <x:v>2022</x:v>
      </x:c>
      <x:c r="L61" s="25" t="str">
        <x:v>1844</x:v>
      </x:c>
      <x:c r="M61" s="25" t="str">
        <x:v>172</x:v>
      </x:c>
      <x:c r="N61" s="25" t="str">
        <x:v>2022</x:v>
      </x:c>
      <x:c r="O61" s="26" t="str">
        <x:v>1.412578776172069e-07</x:v>
      </x:c>
      <x:c r="P61" s="26" t="str">
        <x:v>1.412578776172069e-07</x:v>
      </x:c>
      <x:c r="Q61" s="26" t="str">
        <x:v>0</x:v>
      </x:c>
      <x:c r="R61" s="26" t="str">
        <x:v>2.706338442237666e-08</x:v>
      </x:c>
      <x:c r="S61" s="26" t="str">
        <x:v>8.069599446991482e-08</x:v>
      </x:c>
      <x:c r="T61" s="26" t="str">
        <x:v>1.050232736748979e-07</x:v>
      </x:c>
      <x:c r="U61" s="26" t="str">
        <x:v>1.079860063382676e-07</x:v>
      </x:c>
      <x:c r="V61" s="26" t="str">
        <x:v>1.065046400065828e-07</x:v>
      </x:c>
      <x:c r="W61" s="26" t="str">
        <x:v>1.12132235940976e-07</x:v>
      </x:c>
      <x:c r="X61" s="26" t="str">
        <x:v>1.412578776172069e-07</x:v>
      </x:c>
      <x:c r="Y61" s="26" t="str">
        <x:v>1.412578776172069e-07</x:v>
      </x:c>
      <x:c r="Z61" s="25" t="str">
        <x:v>2022</x:v>
      </x:c>
      <x:c r="AA61" s="25" t="str">
        <x:v>AVAILABLE</x:v>
      </x:c>
      <x:c r="AB61" s="25" t="str">
        <x:v>AVAILABLE</x:v>
      </x:c>
      <x:c r="AC61" s="27" t="str">
        <x:v>Climate/temperature-linked lexical frequency; still not evidence of reception, voice, or affect without passage review.</x:v>
      </x:c>
    </x:row>
    <x:row r="62" ht="19" customHeight="1">
      <x:c r="A62" s="23" t="str">
        <x:v>FT-Q-V01-061</x:v>
      </x:c>
      <x:c r="B62" s="24" t="str">
        <x:v>warming of the climate system</x:v>
      </x:c>
      <x:c r="C62" s="24" t="str">
        <x:v>climate-system warming</x:v>
      </x:c>
      <x:c r="D62" s="25" t="str">
        <x:v>warming</x:v>
      </x:c>
      <x:c r="E62" s="25" t="str">
        <x:v>A</x:v>
      </x:c>
      <x:c r="F62" s="25" t="str">
        <x:v>EXECUTABLE_NGRAM</x:v>
      </x:c>
      <x:c r="G62" s="25" t="str">
        <x:v>CONTEXT_REQUIRED</x:v>
      </x:c>
      <x:c r="H62" s="25" t="str">
        <x:v>eng</x:v>
      </x:c>
      <x:c r="I62" s="25" t="str">
        <x:v>current English corpus (July 2024 dataset; public shorthand eng; mutable current corpus)</x:v>
      </x:c>
      <x:c r="J62" s="25" t="str">
        <x:v>1842</x:v>
      </x:c>
      <x:c r="K62" s="25" t="str">
        <x:v>2022</x:v>
      </x:c>
      <x:c r="L62" s="25" t="str">
        <x:v>1949</x:v>
      </x:c>
      <x:c r="M62" s="25" t="str">
        <x:v>40</x:v>
      </x:c>
      <x:c r="N62" s="25" t="str">
        <x:v>2008</x:v>
      </x:c>
      <x:c r="O62" s="26" t="str">
        <x:v>1.728648246768216e-08</x:v>
      </x:c>
      <x:c r="P62" s="26" t="str">
        <x:v>4.892822147439801e-09</x:v>
      </x:c>
      <x:c r="Q62" s="26" t="str">
        <x:v>0</x:v>
      </x:c>
      <x:c r="R62" s="26" t="str">
        <x:v>0</x:v>
      </x:c>
      <x:c r="S62" s="26" t="str">
        <x:v>1.303340213532067e-10</x:v>
      </x:c>
      <x:c r="T62" s="26" t="str">
        <x:v>1.048117204138777e-09</x:v>
      </x:c>
      <x:c r="U62" s="26" t="str">
        <x:v>7.173159843887333e-09</x:v>
      </x:c>
      <x:c r="V62" s="26" t="str">
        <x:v>4.110638524013055e-09</x:v>
      </x:c>
      <x:c r="W62" s="26" t="str">
        <x:v>1.336047139588459e-08</x:v>
      </x:c>
      <x:c r="X62" s="26" t="str">
        <x:v>4.892822147439801e-09</x:v>
      </x:c>
      <x:c r="Y62" s="26" t="str">
        <x:v>4.892822147439801e-09</x:v>
      </x:c>
      <x:c r="Z62" s="25" t="str">
        <x:v>2022</x:v>
      </x:c>
      <x:c r="AA62" s="25" t="str">
        <x:v>AVAILABLE</x:v>
      </x:c>
      <x:c r="AB62" s="25" t="str">
        <x:v>AVAILABLE</x:v>
      </x:c>
      <x:c r="AC62" s="27" t="str">
        <x:v>Climate/temperature-linked lexical frequency; still not evidence of reception, voice, or affect without passage review.</x:v>
      </x:c>
    </x:row>
    <x:row r="63" ht="19" customHeight="1">
      <x:c r="A63" s="23" t="str">
        <x:v>FT-Q-V01-062</x:v>
      </x:c>
      <x:c r="B63" s="24" t="str">
        <x:v>unequivocal</x:v>
      </x:c>
      <x:c r="C63" s="24" t="str">
        <x:v>historical climate / climatological condition</x:v>
      </x:c>
      <x:c r="D63" s="25" t="str">
        <x:v>climate</x:v>
      </x:c>
      <x:c r="E63" s="25" t="str">
        <x:v>B</x:v>
      </x:c>
      <x:c r="F63" s="25" t="str">
        <x:v>EXECUTABLE_NGRAM</x:v>
      </x:c>
      <x:c r="G63" s="25" t="str">
        <x:v>CONTEXT_REQUIRED</x:v>
      </x:c>
      <x:c r="H63" s="25" t="str">
        <x:v>eng</x:v>
      </x:c>
      <x:c r="I63" s="25" t="str">
        <x:v>current English corpus (July 2024 dataset; public shorthand eng; mutable current corpus)</x:v>
      </x:c>
      <x:c r="J63" s="25" t="str">
        <x:v>1842</x:v>
      </x:c>
      <x:c r="K63" s="25" t="str">
        <x:v>2022</x:v>
      </x:c>
      <x:c r="L63" s="25" t="str">
        <x:v>1842</x:v>
      </x:c>
      <x:c r="M63" s="25" t="str">
        <x:v>181</x:v>
      </x:c>
      <x:c r="N63" s="25" t="str">
        <x:v>1844</x:v>
      </x:c>
      <x:c r="O63" s="26" t="str">
        <x:v>2.493547962445497e-06</x:v>
      </x:c>
      <x:c r="P63" s="26" t="str">
        <x:v>9.735799887389263e-07</x:v>
      </x:c>
      <x:c r="Q63" s="26" t="str">
        <x:v>2.489191224697151e-06</x:v>
      </x:c>
      <x:c r="R63" s="26" t="str">
        <x:v>6.214660617231971e-07</x:v>
      </x:c>
      <x:c r="S63" s="26" t="str">
        <x:v>1.265813166506646e-06</x:v>
      </x:c>
      <x:c r="T63" s="26" t="str">
        <x:v>1.163251503566443e-06</x:v>
      </x:c>
      <x:c r="U63" s="26" t="str">
        <x:v>1.199470233470556e-06</x:v>
      </x:c>
      <x:c r="V63" s="26" t="str">
        <x:v>1.1813608685185e-06</x:v>
      </x:c>
      <x:c r="W63" s="26" t="str">
        <x:v>1.04477917728385e-06</x:v>
      </x:c>
      <x:c r="X63" s="26" t="str">
        <x:v>9.735799887389263e-07</x:v>
      </x:c>
      <x:c r="Y63" s="26" t="str">
        <x:v>9.735799887389263e-07</x:v>
      </x:c>
      <x:c r="Z63" s="25" t="str">
        <x:v>2022</x:v>
      </x:c>
      <x:c r="AA63" s="25" t="str">
        <x:v>AVAILABLE</x:v>
      </x:c>
      <x:c r="AB63" s="25" t="str">
        <x:v>AVAILABLE</x:v>
      </x:c>
      <x:c r="AC63" s="27" t="str">
        <x:v>Climate/temperature-linked lexical frequency; still not evidence of reception, voice, or affect without passage review.</x:v>
      </x:c>
    </x:row>
    <x:row r="64" ht="19" customHeight="1">
      <x:c r="A64" s="23" t="str">
        <x:v>FT-Q-V01-063</x:v>
      </x:c>
      <x:c r="B64" s="24" t="str">
        <x:v>global average air and ocean temperatures</x:v>
      </x:c>
      <x:c r="C64" s="24" t="str">
        <x:v>global aggregate temperature</x:v>
      </x:c>
      <x:c r="D64" s="25" t="str">
        <x:v>temperature_threshold</x:v>
      </x:c>
      <x:c r="E64" s="25" t="str">
        <x:v>A</x:v>
      </x:c>
      <x:c r="F64" s="25" t="str">
        <x:v>EXECUTABLE_NGRAM</x:v>
      </x:c>
      <x:c r="G64" s="25" t="str">
        <x:v>CONTEXT_REQUIRED</x:v>
      </x:c>
      <x:c r="H64" s="25" t="str">
        <x:v>eng</x:v>
      </x:c>
      <x:c r="I64" s="25" t="str">
        <x:v>current English corpus (July 2024 dataset; public shorthand eng; mutable current corpus)</x:v>
      </x:c>
      <x:c r="J64" s="25" t="str">
        <x:v>1842</x:v>
      </x:c>
      <x:c r="K64" s="25" t="str">
        <x:v>2022</x:v>
      </x:c>
      <x:c r="L64" s="25" t="str">
        <x:v>1949</x:v>
      </x:c>
      <x:c r="M64" s="25" t="str">
        <x:v>28</x:v>
      </x:c>
      <x:c r="N64" s="25" t="str">
        <x:v>2010</x:v>
      </x:c>
      <x:c r="O64" s="26" t="str">
        <x:v>9.683230217660821e-09</x:v>
      </x:c>
      <x:c r="P64" s="26" t="str">
        <x:v>9.299532255369058e-10</x:v>
      </x:c>
      <x:c r="Q64" s="26" t="str">
        <x:v>0</x:v>
      </x:c>
      <x:c r="R64" s="26" t="str">
        <x:v>0</x:v>
      </x:c>
      <x:c r="S64" s="26" t="str">
        <x:v>0</x:v>
      </x:c>
      <x:c r="T64" s="26" t="str">
        <x:v>1.877599464794599e-10</x:v>
      </x:c>
      <x:c r="U64" s="26" t="str">
        <x:v>3.851390761866469e-09</x:v>
      </x:c>
      <x:c r="V64" s="26" t="str">
        <x:v>2.019575354172964e-09</x:v>
      </x:c>
      <x:c r="W64" s="26" t="str">
        <x:v>2.896688888753829e-09</x:v>
      </x:c>
      <x:c r="X64" s="26" t="str">
        <x:v>9.299532255369058e-10</x:v>
      </x:c>
      <x:c r="Y64" s="26" t="str">
        <x:v>9.299532255369058e-10</x:v>
      </x:c>
      <x:c r="Z64" s="25" t="str">
        <x:v>2022</x:v>
      </x:c>
      <x:c r="AA64" s="25" t="str">
        <x:v>AVAILABLE</x:v>
      </x:c>
      <x:c r="AB64" s="25" t="str">
        <x:v>AVAILABLE</x:v>
      </x:c>
      <x:c r="AC64" s="27" t="str">
        <x:v>Climate/temperature-linked lexical frequency; still not evidence of reception, voice, or affect without passage review.</x:v>
      </x:c>
    </x:row>
    <x:row r="65" ht="19" customHeight="1">
      <x:c r="A65" s="23" t="str">
        <x:v>FT-Q-V01-064</x:v>
      </x:c>
      <x:c r="B65" s="24" t="str">
        <x:v>global surface temperature</x:v>
      </x:c>
      <x:c r="C65" s="24" t="str">
        <x:v>global aggregate temperature</x:v>
      </x:c>
      <x:c r="D65" s="25" t="str">
        <x:v>temperature_threshold</x:v>
      </x:c>
      <x:c r="E65" s="25" t="str">
        <x:v>A</x:v>
      </x:c>
      <x:c r="F65" s="25" t="str">
        <x:v>EXECUTABLE_NGRAM</x:v>
      </x:c>
      <x:c r="G65" s="25" t="str">
        <x:v>CONTEXT_REQUIRED</x:v>
      </x:c>
      <x:c r="H65" s="25" t="str">
        <x:v>eng</x:v>
      </x:c>
      <x:c r="I65" s="25" t="str">
        <x:v>current English corpus (July 2024 dataset; public shorthand eng; mutable current corpus)</x:v>
      </x:c>
      <x:c r="J65" s="25" t="str">
        <x:v>1842</x:v>
      </x:c>
      <x:c r="K65" s="25" t="str">
        <x:v>2022</x:v>
      </x:c>
      <x:c r="L65" s="25" t="str">
        <x:v>1869</x:v>
      </x:c>
      <x:c r="M65" s="25" t="str">
        <x:v>72</x:v>
      </x:c>
      <x:c r="N65" s="25" t="str">
        <x:v>2022</x:v>
      </x:c>
      <x:c r="O65" s="26" t="str">
        <x:v>3.419688007766375e-08</x:v>
      </x:c>
      <x:c r="P65" s="26" t="str">
        <x:v>3.419688007766375e-08</x:v>
      </x:c>
      <x:c r="Q65" s="26" t="str">
        <x:v>0</x:v>
      </x:c>
      <x:c r="R65" s="26" t="str">
        <x:v>0</x:v>
      </x:c>
      <x:c r="S65" s="26" t="str">
        <x:v>7.406253152431042e-09</x:v>
      </x:c>
      <x:c r="T65" s="26" t="str">
        <x:v>1.441722324857508e-08</x:v>
      </x:c>
      <x:c r="U65" s="26" t="str">
        <x:v>1.423723021420908e-08</x:v>
      </x:c>
      <x:c r="V65" s="26" t="str">
        <x:v>1.432722673139208e-08</x:v>
      </x:c>
      <x:c r="W65" s="26" t="str">
        <x:v>2.654301840820938e-08</x:v>
      </x:c>
      <x:c r="X65" s="26" t="str">
        <x:v>3.419688007766375e-08</x:v>
      </x:c>
      <x:c r="Y65" s="26" t="str">
        <x:v>3.419688007766375e-08</x:v>
      </x:c>
      <x:c r="Z65" s="25" t="str">
        <x:v>2022</x:v>
      </x:c>
      <x:c r="AA65" s="25" t="str">
        <x:v>AVAILABLE</x:v>
      </x:c>
      <x:c r="AB65" s="25" t="str">
        <x:v>AVAILABLE</x:v>
      </x:c>
      <x:c r="AC65" s="27" t="str">
        <x:v>Climate/temperature-linked lexical frequency; still not evidence of reception, voice, or affect without passage review.</x:v>
      </x:c>
    </x:row>
    <x:row r="66" ht="19" customHeight="1">
      <x:c r="A66" s="23" t="str">
        <x:v>FT-Q-V01-065</x:v>
      </x:c>
      <x:c r="B66" s="24" t="str">
        <x:v>temperature increase</x:v>
      </x:c>
      <x:c r="C66" s="24" t="str">
        <x:v>temperature increase</x:v>
      </x:c>
      <x:c r="D66" s="25" t="str">
        <x:v>warming</x:v>
      </x:c>
      <x:c r="E66" s="25" t="str">
        <x:v>A</x:v>
      </x:c>
      <x:c r="F66" s="25" t="str">
        <x:v>EXECUTABLE_NGRAM</x:v>
      </x:c>
      <x:c r="G66" s="25" t="str">
        <x:v>CLIMATE_SPECIFIC</x:v>
      </x:c>
      <x:c r="H66" s="25" t="str">
        <x:v>eng</x:v>
      </x:c>
      <x:c r="I66" s="25" t="str">
        <x:v>current English corpus (July 2024 dataset; public shorthand eng; mutable current corpus)</x:v>
      </x:c>
      <x:c r="J66" s="25" t="str">
        <x:v>1842</x:v>
      </x:c>
      <x:c r="K66" s="25" t="str">
        <x:v>2022</x:v>
      </x:c>
      <x:c r="L66" s="25" t="str">
        <x:v>1842</x:v>
      </x:c>
      <x:c r="M66" s="25" t="str">
        <x:v>180</x:v>
      </x:c>
      <x:c r="N66" s="25" t="str">
        <x:v>2012</x:v>
      </x:c>
      <x:c r="O66" s="26" t="str">
        <x:v>4.587313097714762e-07</x:v>
      </x:c>
      <x:c r="P66" s="26" t="str">
        <x:v>3.553787956689369e-07</x:v>
      </x:c>
      <x:c r="Q66" s="26" t="str">
        <x:v>2.579953362058518e-09</x:v>
      </x:c>
      <x:c r="R66" s="26" t="str">
        <x:v>7.439646565465807e-08</x:v>
      </x:c>
      <x:c r="S66" s="26" t="str">
        <x:v>2.921836819713697e-07</x:v>
      </x:c>
      <x:c r="T66" s="26" t="str">
        <x:v>3.161227772885411e-07</x:v>
      </x:c>
      <x:c r="U66" s="26" t="str">
        <x:v>3.19865252479401e-07</x:v>
      </x:c>
      <x:c r="V66" s="26" t="str">
        <x:v>3.179940148839711e-07</x:v>
      </x:c>
      <x:c r="W66" s="26" t="str">
        <x:v>3.016501993191589e-07</x:v>
      </x:c>
      <x:c r="X66" s="26" t="str">
        <x:v>3.553787956689369e-07</x:v>
      </x:c>
      <x:c r="Y66" s="26" t="str">
        <x:v>3.553787956689369e-07</x:v>
      </x:c>
      <x:c r="Z66" s="25" t="str">
        <x:v>2022</x:v>
      </x:c>
      <x:c r="AA66" s="25" t="str">
        <x:v>AVAILABLE</x:v>
      </x:c>
      <x:c r="AB66" s="25" t="str">
        <x:v>AVAILABLE</x:v>
      </x:c>
      <x:c r="AC66" s="27" t="str">
        <x:v>Climate/temperature-linked lexical frequency; still not evidence of reception, voice, or affect without passage review.</x:v>
      </x:c>
    </x:row>
    <x:row r="67" ht="19" customHeight="1">
      <x:c r="A67" s="23" t="str">
        <x:v>FT-Q-V01-066</x:v>
      </x:c>
      <x:c r="B67" s="24" t="str">
        <x:v>rising global average sea level</x:v>
      </x:c>
      <x:c r="C67" s="24" t="str">
        <x:v>generic damage</x:v>
      </x:c>
      <x:c r="D67" s="25" t="str">
        <x:v>harm_loss_consequences</x:v>
      </x:c>
      <x:c r="E67" s="25" t="str">
        <x:v>D</x:v>
      </x:c>
      <x:c r="F67" s="25" t="str">
        <x:v>EXECUTABLE_NGRAM</x:v>
      </x:c>
      <x:c r="G67" s="25" t="str">
        <x:v>CONTEXT_REQUIRED</x:v>
      </x:c>
      <x:c r="H67" s="25" t="str">
        <x:v>eng</x:v>
      </x:c>
      <x:c r="I67" s="25" t="str">
        <x:v>current English corpus (July 2024 dataset; public shorthand eng; mutable current corpus)</x:v>
      </x:c>
      <x:c r="J67" s="25" t="str">
        <x:v>1842</x:v>
      </x:c>
      <x:c r="K67" s="25" t="str">
        <x:v>2022</x:v>
      </x:c>
      <x:c r="L67" s="25" t="str">
        <x:v>1953</x:v>
      </x:c>
      <x:c r="M67" s="25" t="str">
        <x:v>25</x:v>
      </x:c>
      <x:c r="N67" s="25" t="str">
        <x:v>2008</x:v>
      </x:c>
      <x:c r="O67" s="26" t="str">
        <x:v>6.8787042728502e-09</x:v>
      </x:c>
      <x:c r="P67" s="26" t="str">
        <x:v>6.523762641208464e-10</x:v>
      </x:c>
      <x:c r="Q67" s="26" t="str">
        <x:v>0</x:v>
      </x:c>
      <x:c r="R67" s="26" t="str">
        <x:v>0</x:v>
      </x:c>
      <x:c r="S67" s="26" t="str">
        <x:v>0</x:v>
      </x:c>
      <x:c r="T67" s="26" t="str">
        <x:v>0</x:v>
      </x:c>
      <x:c r="U67" s="26" t="str">
        <x:v>2.22026375062967e-09</x:v>
      </x:c>
      <x:c r="V67" s="26" t="str">
        <x:v>1.110131875314835e-09</x:v>
      </x:c>
      <x:c r="W67" s="26" t="str">
        <x:v>2.130764897856352e-09</x:v>
      </x:c>
      <x:c r="X67" s="26" t="str">
        <x:v>6.523762641208464e-10</x:v>
      </x:c>
      <x:c r="Y67" s="26" t="str">
        <x:v>6.523762641208464e-10</x:v>
      </x:c>
      <x:c r="Z67" s="25" t="str">
        <x:v>2022</x:v>
      </x:c>
      <x:c r="AA67" s="25" t="str">
        <x:v>AVAILABLE</x:v>
      </x:c>
      <x:c r="AB67" s="25" t="str">
        <x:v>AVAILABLE</x:v>
      </x:c>
      <x:c r="AC67" s="27" t="str">
        <x:v>Climate/temperature-linked lexical frequency; still not evidence of reception, voice, or affect without passage review.</x:v>
      </x:c>
    </x:row>
    <x:row r="68" ht="19" customHeight="1">
      <x:c r="A68" s="23" t="str">
        <x:v>FT-Q-V01-067</x:v>
      </x:c>
      <x:c r="B68" s="24" t="str">
        <x:v>widespread melting of snow and ice</x:v>
      </x:c>
      <x:c r="C68" s="24" t="str">
        <x:v>generic damage</x:v>
      </x:c>
      <x:c r="D68" s="25" t="str">
        <x:v>harm_loss_consequences</x:v>
      </x:c>
      <x:c r="E68" s="25" t="str">
        <x:v>D</x:v>
      </x:c>
      <x:c r="F68" s="25" t="str">
        <x:v>EXECUTABLE_NGRAM</x:v>
      </x:c>
      <x:c r="G68" s="25" t="str">
        <x:v>CONTEXT_REQUIRED</x:v>
      </x:c>
      <x:c r="H68" s="25" t="str">
        <x:v>eng</x:v>
      </x:c>
      <x:c r="I68" s="25" t="str">
        <x:v>current English corpus (July 2024 dataset; public shorthand eng; mutable current corpus)</x:v>
      </x:c>
      <x:c r="J68" s="25" t="str">
        <x:v>1842</x:v>
      </x:c>
      <x:c r="K68" s="25" t="str">
        <x:v>2022</x:v>
      </x:c>
      <x:c r="L68" s="25" t="str">
        <x:v>1949</x:v>
      </x:c>
      <x:c r="M68" s="25" t="str">
        <x:v>30</x:v>
      </x:c>
      <x:c r="N68" s="25" t="str">
        <x:v>2008</x:v>
      </x:c>
      <x:c r="O68" s="26" t="str">
        <x:v>1.122799098141058e-08</x:v>
      </x:c>
      <x:c r="P68" s="26" t="str">
        <x:v>1.104319413691712e-09</x:v>
      </x:c>
      <x:c r="Q68" s="26" t="str">
        <x:v>0</x:v>
      </x:c>
      <x:c r="R68" s="26" t="str">
        <x:v>0</x:v>
      </x:c>
      <x:c r="S68" s="26" t="str">
        <x:v>0</x:v>
      </x:c>
      <x:c r="T68" s="26" t="str">
        <x:v>2.503466045578051e-10</x:v>
      </x:c>
      <x:c r="U68" s="26" t="str">
        <x:v>5.074054509890402e-09</x:v>
      </x:c>
      <x:c r="V68" s="26" t="str">
        <x:v>2.662200557224104e-09</x:v>
      </x:c>
      <x:c r="W68" s="26" t="str">
        <x:v>3.451374075424951e-09</x:v>
      </x:c>
      <x:c r="X68" s="26" t="str">
        <x:v>1.104319413691712e-09</x:v>
      </x:c>
      <x:c r="Y68" s="26" t="str">
        <x:v>1.104319413691712e-09</x:v>
      </x:c>
      <x:c r="Z68" s="25" t="str">
        <x:v>2022</x:v>
      </x:c>
      <x:c r="AA68" s="25" t="str">
        <x:v>AVAILABLE</x:v>
      </x:c>
      <x:c r="AB68" s="25" t="str">
        <x:v>AVAILABLE</x:v>
      </x:c>
      <x:c r="AC68" s="27" t="str">
        <x:v>Climate/temperature-linked lexical frequency; still not evidence of reception, voice, or affect without passage review.</x:v>
      </x:c>
    </x:row>
    <x:row r="69" ht="19" customHeight="1">
      <x:c r="A69" s="23" t="str">
        <x:v>FT-Q-V01-068</x:v>
      </x:c>
      <x:c r="B69" s="24" t="str">
        <x:v>anthropogenic CO₂</x:v>
      </x:c>
      <x:c r="C69" s="24" t="str">
        <x:v>anthropogenic carbon-dioxide production</x:v>
      </x:c>
      <x:c r="D69" s="25" t="str">
        <x:v>carbon_greenhouse</x:v>
      </x:c>
      <x:c r="E69" s="25" t="str">
        <x:v>B</x:v>
      </x:c>
      <x:c r="F69" s="25" t="str">
        <x:v>EXECUTABLE_CORPUS_ONLY</x:v>
      </x:c>
      <x:c r="G69" s="25" t="str">
        <x:v>CONTEXT_REQUIRED</x:v>
      </x:c>
      <x:c r="H69" s="25" t="str">
        <x:v>eng</x:v>
      </x:c>
      <x:c r="I69" s="25" t="str">
        <x:v>current English corpus (July 2024 dataset; public shorthand eng; mutable current corpus)</x:v>
      </x:c>
      <x:c r="J69" s="25" t="str">
        <x:v>1842</x:v>
      </x:c>
      <x:c r="K69" s="25" t="str">
        <x:v>2022</x:v>
      </x:c>
      <x:c r="L69" s="25" t="str"/>
      <x:c r="M69" s="25" t="str">
        <x:v>0</x:v>
      </x:c>
      <x:c r="N69" s="25" t="str"/>
      <x:c r="O69" s="26" t="str"/>
      <x:c r="P69" s="26" t="str"/>
      <x:c r="Q69" s="26" t="str"/>
      <x:c r="R69" s="26" t="str"/>
      <x:c r="S69" s="26" t="str"/>
      <x:c r="T69" s="26" t="str"/>
      <x:c r="U69" s="26" t="str"/>
      <x:c r="V69" s="26" t="str"/>
      <x:c r="W69" s="26" t="str"/>
      <x:c r="X69" s="26" t="str"/>
      <x:c r="Y69" s="26" t="str"/>
      <x:c r="Z69" s="25" t="str">
        <x:v>2022</x:v>
      </x:c>
      <x:c r="AA69" s="25" t="str">
        <x:v>NO_SERIES</x:v>
      </x:c>
      <x:c r="AB69" s="25" t="str">
        <x:v>NOT_AVAILABLE</x:v>
      </x:c>
      <x:c r="AC69" s="27" t="str">
        <x:v>Climate/temperature-linked lexical frequency; still not evidence of reception, voice, or affect without passage review.</x:v>
      </x:c>
    </x:row>
    <x:row r="70" ht="19" customHeight="1">
      <x:c r="A70" s="23" t="str">
        <x:v>FT-Q-V01-069</x:v>
      </x:c>
      <x:c r="B70" s="24" t="str">
        <x:v>anthropogenic GHG emissions</x:v>
      </x:c>
      <x:c r="C70" s="24" t="str">
        <x:v>anthropogenic greenhouse-gas emissions</x:v>
      </x:c>
      <x:c r="D70" s="25" t="str">
        <x:v>carbon_greenhouse</x:v>
      </x:c>
      <x:c r="E70" s="25" t="str">
        <x:v>B</x:v>
      </x:c>
      <x:c r="F70" s="25" t="str">
        <x:v>EXECUTABLE_NGRAM</x:v>
      </x:c>
      <x:c r="G70" s="25" t="str">
        <x:v>CONTEXT_REQUIRED</x:v>
      </x:c>
      <x:c r="H70" s="25" t="str">
        <x:v>eng</x:v>
      </x:c>
      <x:c r="I70" s="25" t="str">
        <x:v>current English corpus (July 2024 dataset; public shorthand eng; mutable current corpus)</x:v>
      </x:c>
      <x:c r="J70" s="25" t="str">
        <x:v>1842</x:v>
      </x:c>
      <x:c r="K70" s="25" t="str">
        <x:v>2022</x:v>
      </x:c>
      <x:c r="L70" s="25" t="str">
        <x:v>1901</x:v>
      </x:c>
      <x:c r="M70" s="25" t="str">
        <x:v>36</x:v>
      </x:c>
      <x:c r="N70" s="25" t="str">
        <x:v>2022</x:v>
      </x:c>
      <x:c r="O70" s="26" t="str">
        <x:v>1.622341538887184e-08</x:v>
      </x:c>
      <x:c r="P70" s="26" t="str">
        <x:v>1.622341538887184e-08</x:v>
      </x:c>
      <x:c r="Q70" s="26" t="str">
        <x:v>0</x:v>
      </x:c>
      <x:c r="R70" s="26" t="str">
        <x:v>0</x:v>
      </x:c>
      <x:c r="S70" s="26" t="str">
        <x:v>0</x:v>
      </x:c>
      <x:c r="T70" s="26" t="str">
        <x:v>1.585399145298538e-09</x:v>
      </x:c>
      <x:c r="U70" s="26" t="str">
        <x:v>2.915473612530306e-09</x:v>
      </x:c>
      <x:c r="V70" s="26" t="str">
        <x:v>2.250436378914422e-09</x:v>
      </x:c>
      <x:c r="W70" s="26" t="str">
        <x:v>1.43962131382569e-08</x:v>
      </x:c>
      <x:c r="X70" s="26" t="str">
        <x:v>1.622341538887184e-08</x:v>
      </x:c>
      <x:c r="Y70" s="26" t="str">
        <x:v>1.622341538887184e-08</x:v>
      </x:c>
      <x:c r="Z70" s="25" t="str">
        <x:v>2022</x:v>
      </x:c>
      <x:c r="AA70" s="25" t="str">
        <x:v>AVAILABLE</x:v>
      </x:c>
      <x:c r="AB70" s="25" t="str">
        <x:v>AVAILABLE</x:v>
      </x:c>
      <x:c r="AC70" s="27" t="str">
        <x:v>Climate/temperature-linked lexical frequency; still not evidence of reception, voice, or affect without passage review.</x:v>
      </x:c>
    </x:row>
    <x:row r="71" ht="19" customHeight="1">
      <x:c r="A71" s="23" t="str">
        <x:v>FT-Q-V01-070</x:v>
      </x:c>
      <x:c r="B71" s="24" t="str">
        <x:v>climate change</x:v>
      </x:c>
      <x:c r="C71" s="24" t="str">
        <x:v>modern climate change</x:v>
      </x:c>
      <x:c r="D71" s="25" t="str">
        <x:v>climate</x:v>
      </x:c>
      <x:c r="E71" s="25" t="str">
        <x:v>B</x:v>
      </x:c>
      <x:c r="F71" s="25" t="str">
        <x:v>EXECUTABLE_NGRAM</x:v>
      </x:c>
      <x:c r="G71" s="25" t="str">
        <x:v>CLIMATE_SPECIFIC</x:v>
      </x:c>
      <x:c r="H71" s="25" t="str">
        <x:v>eng</x:v>
      </x:c>
      <x:c r="I71" s="25" t="str">
        <x:v>current English corpus (July 2024 dataset; public shorthand eng; mutable current corpus)</x:v>
      </x:c>
      <x:c r="J71" s="25" t="str">
        <x:v>1842</x:v>
      </x:c>
      <x:c r="K71" s="25" t="str">
        <x:v>2022</x:v>
      </x:c>
      <x:c r="L71" s="25" t="str">
        <x:v>1842</x:v>
      </x:c>
      <x:c r="M71" s="25" t="str">
        <x:v>180</x:v>
      </x:c>
      <x:c r="N71" s="25" t="str">
        <x:v>2022</x:v>
      </x:c>
      <x:c r="O71" s="26" t="str">
        <x:v>2.890008815206735e-05</x:v>
      </x:c>
      <x:c r="P71" s="26" t="str">
        <x:v>2.890008815206735e-05</x:v>
      </x:c>
      <x:c r="Q71" s="26" t="str">
        <x:v>5.159906557583582e-09</x:v>
      </x:c>
      <x:c r="R71" s="26" t="str">
        <x:v>2.561554912627884e-09</x:v>
      </x:c>
      <x:c r="S71" s="26" t="str">
        <x:v>1.240793510930149e-06</x:v>
      </x:c>
      <x:c r="T71" s="26" t="str">
        <x:v>8.716473492563492e-06</x:v>
      </x:c>
      <x:c r="U71" s="26" t="str">
        <x:v>1.319138383155949e-05</x:v>
      </x:c>
      <x:c r="V71" s="26" t="str">
        <x:v>1.095392866206149e-05</x:v>
      </x:c>
      <x:c r="W71" s="26" t="str">
        <x:v>1.967096413684616e-05</x:v>
      </x:c>
      <x:c r="X71" s="26" t="str">
        <x:v>2.890008815206735e-05</x:v>
      </x:c>
      <x:c r="Y71" s="26" t="str">
        <x:v>2.890008815206735e-05</x:v>
      </x:c>
      <x:c r="Z71" s="25" t="str">
        <x:v>2022</x:v>
      </x:c>
      <x:c r="AA71" s="25" t="str">
        <x:v>AVAILABLE</x:v>
      </x:c>
      <x:c r="AB71" s="25" t="str">
        <x:v>AVAILABLE</x:v>
      </x:c>
      <x:c r="AC71" s="27" t="str">
        <x:v>Climate/temperature-linked lexical frequency; still not evidence of reception, voice, or affect without passage review.</x:v>
      </x:c>
    </x:row>
    <x:row r="72" ht="19" customHeight="1">
      <x:c r="A72" s="23" t="str">
        <x:v>FT-Q-V01-071</x:v>
      </x:c>
      <x:c r="B72" s="24" t="str">
        <x:v>global warming</x:v>
      </x:c>
      <x:c r="C72" s="24" t="str">
        <x:v>global warming as issue label</x:v>
      </x:c>
      <x:c r="D72" s="25" t="str">
        <x:v>warming</x:v>
      </x:c>
      <x:c r="E72" s="25" t="str">
        <x:v>A</x:v>
      </x:c>
      <x:c r="F72" s="25" t="str">
        <x:v>EXECUTABLE_NGRAM</x:v>
      </x:c>
      <x:c r="G72" s="25" t="str">
        <x:v>CLIMATE_SPECIFIC</x:v>
      </x:c>
      <x:c r="H72" s="25" t="str">
        <x:v>eng</x:v>
      </x:c>
      <x:c r="I72" s="25" t="str">
        <x:v>current English corpus (July 2024 dataset; public shorthand eng; mutable current corpus)</x:v>
      </x:c>
      <x:c r="J72" s="25" t="str">
        <x:v>1842</x:v>
      </x:c>
      <x:c r="K72" s="25" t="str">
        <x:v>2022</x:v>
      </x:c>
      <x:c r="L72" s="25" t="str">
        <x:v>1843</x:v>
      </x:c>
      <x:c r="M72" s="25" t="str">
        <x:v>138</x:v>
      </x:c>
      <x:c r="N72" s="25" t="str">
        <x:v>2009</x:v>
      </x:c>
      <x:c r="O72" s="26" t="str">
        <x:v>5.445639571555194e-06</x:v>
      </x:c>
      <x:c r="P72" s="26" t="str">
        <x:v>3.963670369644401e-06</x:v>
      </x:c>
      <x:c r="Q72" s="26" t="str">
        <x:v>0</x:v>
      </x:c>
      <x:c r="R72" s="26" t="str">
        <x:v>2.00469511824064e-09</x:v>
      </x:c>
      <x:c r="S72" s="26" t="str">
        <x:v>6.400895369296222e-07</x:v>
      </x:c>
      <x:c r="T72" s="26" t="str">
        <x:v>3.39393631278162e-06</x:v>
      </x:c>
      <x:c r="U72" s="26" t="str">
        <x:v>4.96164442403968e-06</x:v>
      </x:c>
      <x:c r="V72" s="26" t="str">
        <x:v>4.17779036841065e-06</x:v>
      </x:c>
      <x:c r="W72" s="26" t="str">
        <x:v>3.293586607857474e-06</x:v>
      </x:c>
      <x:c r="X72" s="26" t="str">
        <x:v>3.963670369644401e-06</x:v>
      </x:c>
      <x:c r="Y72" s="26" t="str">
        <x:v>3.963670369644401e-06</x:v>
      </x:c>
      <x:c r="Z72" s="25" t="str">
        <x:v>2022</x:v>
      </x:c>
      <x:c r="AA72" s="25" t="str">
        <x:v>AVAILABLE</x:v>
      </x:c>
      <x:c r="AB72" s="25" t="str">
        <x:v>AVAILABLE</x:v>
      </x:c>
      <x:c r="AC72" s="27" t="str">
        <x:v>Climate/temperature-linked lexical frequency; still not evidence of reception, voice, or affect without passage review.</x:v>
      </x:c>
    </x:row>
    <x:row r="73" ht="19" customHeight="1">
      <x:c r="A73" s="23" t="str">
        <x:v>FT-Q-V01-072</x:v>
      </x:c>
      <x:c r="B73" s="24" t="str">
        <x:v>serious global threat</x:v>
      </x:c>
      <x:c r="C73" s="24" t="str">
        <x:v>institutional climate threat</x:v>
      </x:c>
      <x:c r="D73" s="25" t="str">
        <x:v>danger_threat</x:v>
      </x:c>
      <x:c r="E73" s="25" t="str">
        <x:v>D</x:v>
      </x:c>
      <x:c r="F73" s="25" t="str">
        <x:v>EXECUTABLE_NGRAM</x:v>
      </x:c>
      <x:c r="G73" s="25" t="str">
        <x:v>CONTEXT_REQUIRED</x:v>
      </x:c>
      <x:c r="H73" s="25" t="str">
        <x:v>eng</x:v>
      </x:c>
      <x:c r="I73" s="25" t="str">
        <x:v>current English corpus (July 2024 dataset; public shorthand eng; mutable current corpus)</x:v>
      </x:c>
      <x:c r="J73" s="25" t="str">
        <x:v>1842</x:v>
      </x:c>
      <x:c r="K73" s="25" t="str">
        <x:v>2022</x:v>
      </x:c>
      <x:c r="L73" s="25" t="str">
        <x:v>1946</x:v>
      </x:c>
      <x:c r="M73" s="25" t="str">
        <x:v>51</x:v>
      </x:c>
      <x:c r="N73" s="25" t="str">
        <x:v>2022</x:v>
      </x:c>
      <x:c r="O73" s="26" t="str">
        <x:v>2.317630753978506e-09</x:v>
      </x:c>
      <x:c r="P73" s="26" t="str">
        <x:v>2.317630753978506e-09</x:v>
      </x:c>
      <x:c r="Q73" s="26" t="str">
        <x:v>0</x:v>
      </x:c>
      <x:c r="R73" s="26" t="str">
        <x:v>0</x:v>
      </x:c>
      <x:c r="S73" s="26" t="str">
        <x:v>7.568433657567653e-10</x:v>
      </x:c>
      <x:c r="T73" s="26" t="str">
        <x:v>8.422432751231668e-10</x:v>
      </x:c>
      <x:c r="U73" s="26" t="str">
        <x:v>1.749284272989371e-09</x:v>
      </x:c>
      <x:c r="V73" s="26" t="str">
        <x:v>1.295763774056269e-09</x:v>
      </x:c>
      <x:c r="W73" s="26" t="str">
        <x:v>6.498290794354489e-10</x:v>
      </x:c>
      <x:c r="X73" s="26" t="str">
        <x:v>2.317630753978506e-09</x:v>
      </x:c>
      <x:c r="Y73" s="26" t="str">
        <x:v>2.317630753978506e-09</x:v>
      </x:c>
      <x:c r="Z73" s="25" t="str">
        <x:v>2022</x:v>
      </x:c>
      <x:c r="AA73" s="25" t="str">
        <x:v>AVAILABLE</x:v>
      </x:c>
      <x:c r="AB73" s="25" t="str">
        <x:v>AVAILABLE</x:v>
      </x:c>
      <x:c r="AC73" s="27" t="str">
        <x:v>Climate/temperature-linked lexical frequency; still not evidence of reception, voice, or affect without passage review.</x:v>
      </x:c>
    </x:row>
    <x:row r="74" ht="19" customHeight="1">
      <x:c r="A74" s="23" t="str">
        <x:v>FT-Q-V01-073</x:v>
      </x:c>
      <x:c r="B74" s="24" t="str">
        <x:v>urgent global response</x:v>
      </x:c>
      <x:c r="C74" s="24" t="str">
        <x:v>generic damage</x:v>
      </x:c>
      <x:c r="D74" s="25" t="str">
        <x:v>harm_loss_consequences</x:v>
      </x:c>
      <x:c r="E74" s="25" t="str">
        <x:v>D</x:v>
      </x:c>
      <x:c r="F74" s="25" t="str">
        <x:v>EXECUTABLE_NGRAM</x:v>
      </x:c>
      <x:c r="G74" s="25" t="str">
        <x:v>CONTEXT_REQUIRED</x:v>
      </x:c>
      <x:c r="H74" s="25" t="str">
        <x:v>eng</x:v>
      </x:c>
      <x:c r="I74" s="25" t="str">
        <x:v>current English corpus (July 2024 dataset; public shorthand eng; mutable current corpus)</x:v>
      </x:c>
      <x:c r="J74" s="25" t="str">
        <x:v>1842</x:v>
      </x:c>
      <x:c r="K74" s="25" t="str">
        <x:v>2022</x:v>
      </x:c>
      <x:c r="L74" s="25" t="str">
        <x:v>1946</x:v>
      </x:c>
      <x:c r="M74" s="25" t="str">
        <x:v>34</x:v>
      </x:c>
      <x:c r="N74" s="25" t="str">
        <x:v>2007</x:v>
      </x:c>
      <x:c r="O74" s="26" t="str">
        <x:v>1.652101788707228e-09</x:v>
      </x:c>
      <x:c r="P74" s="26" t="str">
        <x:v>3.783887092545513e-10</x:v>
      </x:c>
      <x:c r="Q74" s="26" t="str">
        <x:v>0</x:v>
      </x:c>
      <x:c r="R74" s="26" t="str">
        <x:v>0</x:v>
      </x:c>
      <x:c r="S74" s="26" t="str">
        <x:v>5.406024239373863e-11</x:v>
      </x:c>
      <x:c r="T74" s="26" t="str">
        <x:v>6.440684097164251e-10</x:v>
      </x:c>
      <x:c r="U74" s="26" t="str">
        <x:v>1.652101788707228e-09</x:v>
      </x:c>
      <x:c r="V74" s="26" t="str">
        <x:v>1.148085099211826e-09</x:v>
      </x:c>
      <x:c r="W74" s="26" t="str">
        <x:v>7.997896234179791e-10</x:v>
      </x:c>
      <x:c r="X74" s="26" t="str">
        <x:v>3.783887092545513e-10</x:v>
      </x:c>
      <x:c r="Y74" s="26" t="str">
        <x:v>3.783887092545513e-10</x:v>
      </x:c>
      <x:c r="Z74" s="25" t="str">
        <x:v>2022</x:v>
      </x:c>
      <x:c r="AA74" s="25" t="str">
        <x:v>AVAILABLE</x:v>
      </x:c>
      <x:c r="AB74" s="25" t="str">
        <x:v>AVAILABLE</x:v>
      </x:c>
      <x:c r="AC74" s="27" t="str">
        <x:v>Climate/temperature-linked lexical frequency; still not evidence of reception, voice, or affect without passage review.</x:v>
      </x:c>
    </x:row>
    <x:row r="75" ht="19" customHeight="1">
      <x:c r="A75" s="23" t="str">
        <x:v>FT-Q-V01-074</x:v>
      </x:c>
      <x:c r="B75" s="24" t="str">
        <x:v>costs and risks of climate change</x:v>
      </x:c>
      <x:c r="C75" s="24" t="str">
        <x:v>modern climate change</x:v>
      </x:c>
      <x:c r="D75" s="25" t="str">
        <x:v>climate</x:v>
      </x:c>
      <x:c r="E75" s="25" t="str">
        <x:v>D</x:v>
      </x:c>
      <x:c r="F75" s="25" t="str">
        <x:v>EXECUTABLE_NGRAM</x:v>
      </x:c>
      <x:c r="G75" s="25" t="str">
        <x:v>CONTEXT_REQUIRED</x:v>
      </x:c>
      <x:c r="H75" s="25" t="str">
        <x:v>eng</x:v>
      </x:c>
      <x:c r="I75" s="25" t="str">
        <x:v>current English corpus (July 2024 dataset; public shorthand eng; mutable current corpus)</x:v>
      </x:c>
      <x:c r="J75" s="25" t="str">
        <x:v>1842</x:v>
      </x:c>
      <x:c r="K75" s="25" t="str">
        <x:v>2022</x:v>
      </x:c>
      <x:c r="L75" s="25" t="str">
        <x:v>1986</x:v>
      </x:c>
      <x:c r="M75" s="25" t="str">
        <x:v>22</x:v>
      </x:c>
      <x:c r="N75" s="25" t="str">
        <x:v>2009</x:v>
      </x:c>
      <x:c r="O75" s="26" t="str">
        <x:v>2.4810227206018e-09</x:v>
      </x:c>
      <x:c r="P75" s="26" t="str">
        <x:v>8.137091001003682e-10</x:v>
      </x:c>
      <x:c r="Q75" s="26" t="str">
        <x:v>0</x:v>
      </x:c>
      <x:c r="R75" s="26" t="str">
        <x:v>0</x:v>
      </x:c>
      <x:c r="S75" s="26" t="str">
        <x:v>7.065451002041812e-11</x:v>
      </x:c>
      <x:c r="T75" s="26" t="str">
        <x:v>7.510397859178397e-10</x:v>
      </x:c>
      <x:c r="U75" s="26" t="str">
        <x:v>1.650596104241231e-09</x:v>
      </x:c>
      <x:c r="V75" s="26" t="str">
        <x:v>1.200817945079535e-09</x:v>
      </x:c>
      <x:c r="W75" s="26" t="str">
        <x:v>4.930534314162571e-10</x:v>
      </x:c>
      <x:c r="X75" s="26" t="str">
        <x:v>8.137091001003682e-10</x:v>
      </x:c>
      <x:c r="Y75" s="26" t="str">
        <x:v>8.137091001003682e-10</x:v>
      </x:c>
      <x:c r="Z75" s="25" t="str">
        <x:v>2022</x:v>
      </x:c>
      <x:c r="AA75" s="25" t="str">
        <x:v>AVAILABLE</x:v>
      </x:c>
      <x:c r="AB75" s="25" t="str">
        <x:v>AVAILABLE</x:v>
      </x:c>
      <x:c r="AC75" s="27" t="str">
        <x:v>Climate/temperature-linked lexical frequency; still not evidence of reception, voice, or affect without passage review.</x:v>
      </x:c>
    </x:row>
    <x:row r="76" ht="19" customHeight="1">
      <x:c r="A76" s="23" t="str">
        <x:v>FT-Q-V01-075</x:v>
      </x:c>
      <x:c r="B76" s="24" t="str">
        <x:v>impacts of climate change</x:v>
      </x:c>
      <x:c r="C76" s="24" t="str">
        <x:v>modern climate change</x:v>
      </x:c>
      <x:c r="D76" s="25" t="str">
        <x:v>climate</x:v>
      </x:c>
      <x:c r="E76" s="25" t="str">
        <x:v>D</x:v>
      </x:c>
      <x:c r="F76" s="25" t="str">
        <x:v>EXECUTABLE_NGRAM</x:v>
      </x:c>
      <x:c r="G76" s="25" t="str">
        <x:v>CONTEXT_REQUIRED</x:v>
      </x:c>
      <x:c r="H76" s="25" t="str">
        <x:v>eng</x:v>
      </x:c>
      <x:c r="I76" s="25" t="str">
        <x:v>current English corpus (July 2024 dataset; public shorthand eng; mutable current corpus)</x:v>
      </x:c>
      <x:c r="J76" s="25" t="str">
        <x:v>1842</x:v>
      </x:c>
      <x:c r="K76" s="25" t="str">
        <x:v>2022</x:v>
      </x:c>
      <x:c r="L76" s="25" t="str">
        <x:v>1881</x:v>
      </x:c>
      <x:c r="M76" s="25" t="str">
        <x:v>87</x:v>
      </x:c>
      <x:c r="N76" s="25" t="str">
        <x:v>2022</x:v>
      </x:c>
      <x:c r="O76" s="26" t="str">
        <x:v>7.144630615740777e-07</x:v>
      </x:c>
      <x:c r="P76" s="26" t="str">
        <x:v>7.144630615740777e-07</x:v>
      </x:c>
      <x:c r="Q76" s="26" t="str">
        <x:v>0</x:v>
      </x:c>
      <x:c r="R76" s="26" t="str">
        <x:v>0</x:v>
      </x:c>
      <x:c r="S76" s="26" t="str">
        <x:v>4.559433364192955e-08</x:v>
      </x:c>
      <x:c r="T76" s="26" t="str">
        <x:v>2.229886647206469e-07</x:v>
      </x:c>
      <x:c r="U76" s="26" t="str">
        <x:v>3.110645994466865e-07</x:v>
      </x:c>
      <x:c r="V76" s="26" t="str">
        <x:v>2.670266320836667e-07</x:v>
      </x:c>
      <x:c r="W76" s="26" t="str">
        <x:v>5.157996520455121e-07</x:v>
      </x:c>
      <x:c r="X76" s="26" t="str">
        <x:v>7.144630615740777e-07</x:v>
      </x:c>
      <x:c r="Y76" s="26" t="str">
        <x:v>7.144630615740777e-07</x:v>
      </x:c>
      <x:c r="Z76" s="25" t="str">
        <x:v>2022</x:v>
      </x:c>
      <x:c r="AA76" s="25" t="str">
        <x:v>AVAILABLE</x:v>
      </x:c>
      <x:c r="AB76" s="25" t="str">
        <x:v>AVAILABLE</x:v>
      </x:c>
      <x:c r="AC76" s="27" t="str">
        <x:v>Climate/temperature-linked lexical frequency; still not evidence of reception, voice, or affect without passage review.</x:v>
      </x:c>
    </x:row>
    <x:row r="77" ht="19" customHeight="1">
      <x:c r="A77" s="23" t="str">
        <x:v>FT-Q-V01-076</x:v>
      </x:c>
      <x:c r="B77" s="24" t="str">
        <x:v>damage</x:v>
      </x:c>
      <x:c r="C77" s="24" t="str">
        <x:v>generic damage</x:v>
      </x:c>
      <x:c r="D77" s="25" t="str">
        <x:v>harm_loss_consequences</x:v>
      </x:c>
      <x:c r="E77" s="25" t="str">
        <x:v>D</x:v>
      </x:c>
      <x:c r="F77" s="25" t="str">
        <x:v>BACKGROUND_AMBIGUOUS</x:v>
      </x:c>
      <x:c r="G77" s="25" t="str">
        <x:v>BACKGROUND_AMBIGUOUS</x:v>
      </x:c>
      <x:c r="H77" s="25" t="str">
        <x:v>eng</x:v>
      </x:c>
      <x:c r="I77" s="25" t="str">
        <x:v>current English corpus (July 2024 dataset; public shorthand eng; mutable current corpus)</x:v>
      </x:c>
      <x:c r="J77" s="25" t="str">
        <x:v>1842</x:v>
      </x:c>
      <x:c r="K77" s="25" t="str">
        <x:v>2022</x:v>
      </x:c>
      <x:c r="L77" s="25" t="str">
        <x:v>1842</x:v>
      </x:c>
      <x:c r="M77" s="25" t="str">
        <x:v>181</x:v>
      </x:c>
      <x:c r="N77" s="25" t="str">
        <x:v>1986</x:v>
      </x:c>
      <x:c r="O77" s="26" t="str">
        <x:v>5.759856095523264e-05</x:v>
      </x:c>
      <x:c r="P77" s="26" t="str">
        <x:v>4.813777670335459e-05</x:v>
      </x:c>
      <x:c r="Q77" s="26" t="str">
        <x:v>1.40214699513308e-05</x:v>
      </x:c>
      <x:c r="R77" s="26" t="str">
        <x:v>4.59952369169514e-05</x:v>
      </x:c>
      <x:c r="S77" s="26" t="str">
        <x:v>5.460717676498972e-05</x:v>
      </x:c>
      <x:c r="T77" s="26" t="str">
        <x:v>4.860308943087019e-05</x:v>
      </x:c>
      <x:c r="U77" s="26" t="str">
        <x:v>4.797855570867759e-05</x:v>
      </x:c>
      <x:c r="V77" s="26" t="str">
        <x:v>4.829082256977389e-05</x:v>
      </x:c>
      <x:c r="W77" s="26" t="str">
        <x:v>4.768336144450602e-05</x:v>
      </x:c>
      <x:c r="X77" s="26" t="str">
        <x:v>4.813777670335459e-05</x:v>
      </x:c>
      <x:c r="Y77" s="26" t="str">
        <x:v>4.813777670335459e-05</x:v>
      </x:c>
      <x:c r="Z77" s="25" t="str">
        <x:v>2022</x:v>
      </x:c>
      <x:c r="AA77" s="25" t="str">
        <x:v>AVAILABLE</x:v>
      </x:c>
      <x:c r="AB77" s="25" t="str">
        <x:v>AVAILABLE</x:v>
      </x:c>
      <x:c r="AC77" s="27" t="str">
        <x:v>Generic corpus string frequency; not climate-specific semantic frequency.</x:v>
      </x:c>
    </x:row>
    <x:row r="78" ht="19" customHeight="1">
      <x:c r="A78" s="23" t="str">
        <x:v>FT-Q-V01-077</x:v>
      </x:c>
      <x:c r="B78" s="24" t="str">
        <x:v>hunger</x:v>
      </x:c>
      <x:c r="C78" s="24" t="str">
        <x:v>generic damage</x:v>
      </x:c>
      <x:c r="D78" s="25" t="str">
        <x:v>harm_loss_consequences</x:v>
      </x:c>
      <x:c r="E78" s="25" t="str">
        <x:v>D</x:v>
      </x:c>
      <x:c r="F78" s="25" t="str">
        <x:v>EXECUTABLE_NGRAM</x:v>
      </x:c>
      <x:c r="G78" s="25" t="str">
        <x:v>CONTEXT_REQUIRED</x:v>
      </x:c>
      <x:c r="H78" s="25" t="str">
        <x:v>eng</x:v>
      </x:c>
      <x:c r="I78" s="25" t="str">
        <x:v>current English corpus (July 2024 dataset; public shorthand eng; mutable current corpus)</x:v>
      </x:c>
      <x:c r="J78" s="25" t="str">
        <x:v>1842</x:v>
      </x:c>
      <x:c r="K78" s="25" t="str">
        <x:v>2022</x:v>
      </x:c>
      <x:c r="L78" s="25" t="str">
        <x:v>1842</x:v>
      </x:c>
      <x:c r="M78" s="25" t="str">
        <x:v>181</x:v>
      </x:c>
      <x:c r="N78" s="25" t="str">
        <x:v>2015</x:v>
      </x:c>
      <x:c r="O78" s="26" t="str">
        <x:v>1.191392740906849e-05</x:v>
      </x:c>
      <x:c r="P78" s="26" t="str">
        <x:v>1.147104043752734e-05</x:v>
      </x:c>
      <x:c r="Q78" s="26" t="str">
        <x:v>8.491353739259466e-06</x:v>
      </x:c>
      <x:c r="R78" s="26" t="str">
        <x:v>3.766231525759167e-06</x:v>
      </x:c>
      <x:c r="S78" s="26" t="str">
        <x:v>6.137961449326212e-06</x:v>
      </x:c>
      <x:c r="T78" s="26" t="str">
        <x:v>7.45067320195858e-06</x:v>
      </x:c>
      <x:c r="U78" s="26" t="str">
        <x:v>8.010337945583978e-06</x:v>
      </x:c>
      <x:c r="V78" s="26" t="str">
        <x:v>7.730505573771279e-06</x:v>
      </x:c>
      <x:c r="W78" s="26" t="str">
        <x:v>1.191392740906849e-05</x:v>
      </x:c>
      <x:c r="X78" s="26" t="str">
        <x:v>1.147104043752734e-05</x:v>
      </x:c>
      <x:c r="Y78" s="26" t="str">
        <x:v>1.147104043752734e-05</x:v>
      </x:c>
      <x:c r="Z78" s="25" t="str">
        <x:v>2022</x:v>
      </x:c>
      <x:c r="AA78" s="25" t="str">
        <x:v>AVAILABLE</x:v>
      </x:c>
      <x:c r="AB78" s="25" t="str">
        <x:v>AVAILABLE</x:v>
      </x:c>
      <x:c r="AC78" s="27" t="str">
        <x:v>Climate/temperature-linked lexical frequency; still not evidence of reception, voice, or affect without passage review.</x:v>
      </x:c>
    </x:row>
    <x:row r="79" ht="19" customHeight="1">
      <x:c r="A79" s="23" t="str">
        <x:v>FT-Q-V01-078</x:v>
      </x:c>
      <x:c r="B79" s="24" t="str">
        <x:v>water shortages</x:v>
      </x:c>
      <x:c r="C79" s="24" t="str">
        <x:v>generic damage</x:v>
      </x:c>
      <x:c r="D79" s="25" t="str">
        <x:v>harm_loss_consequences</x:v>
      </x:c>
      <x:c r="E79" s="25" t="str">
        <x:v>D</x:v>
      </x:c>
      <x:c r="F79" s="25" t="str">
        <x:v>EXECUTABLE_NGRAM</x:v>
      </x:c>
      <x:c r="G79" s="25" t="str">
        <x:v>CONTEXT_REQUIRED</x:v>
      </x:c>
      <x:c r="H79" s="25" t="str">
        <x:v>eng</x:v>
      </x:c>
      <x:c r="I79" s="25" t="str">
        <x:v>current English corpus (July 2024 dataset; public shorthand eng; mutable current corpus)</x:v>
      </x:c>
      <x:c r="J79" s="25" t="str">
        <x:v>1842</x:v>
      </x:c>
      <x:c r="K79" s="25" t="str">
        <x:v>2022</x:v>
      </x:c>
      <x:c r="L79" s="25" t="str">
        <x:v>1843</x:v>
      </x:c>
      <x:c r="M79" s="25" t="str">
        <x:v>143</x:v>
      </x:c>
      <x:c r="N79" s="25" t="str">
        <x:v>2009</x:v>
      </x:c>
      <x:c r="O79" s="26" t="str">
        <x:v>2.626209802403245e-07</x:v>
      </x:c>
      <x:c r="P79" s="26" t="str">
        <x:v>1.740838606878459e-07</x:v>
      </x:c>
      <x:c r="Q79" s="26" t="str">
        <x:v>0</x:v>
      </x:c>
      <x:c r="R79" s="26" t="str">
        <x:v>4.131899500325886e-08</x:v>
      </x:c>
      <x:c r="S79" s="26" t="str">
        <x:v>1.448085923394515e-07</x:v>
      </x:c>
      <x:c r="T79" s="26" t="str">
        <x:v>2.040491388077825e-07</x:v>
      </x:c>
      <x:c r="U79" s="26" t="str">
        <x:v>2.140380712667422e-07</x:v>
      </x:c>
      <x:c r="V79" s="26" t="str">
        <x:v>2.090436050372624e-07</x:v>
      </x:c>
      <x:c r="W79" s="26" t="str">
        <x:v>1.87883369612285e-07</x:v>
      </x:c>
      <x:c r="X79" s="26" t="str">
        <x:v>1.740838606878459e-07</x:v>
      </x:c>
      <x:c r="Y79" s="26" t="str">
        <x:v>1.740838606878459e-07</x:v>
      </x:c>
      <x:c r="Z79" s="25" t="str">
        <x:v>2022</x:v>
      </x:c>
      <x:c r="AA79" s="25" t="str">
        <x:v>AVAILABLE</x:v>
      </x:c>
      <x:c r="AB79" s="25" t="str">
        <x:v>AVAILABLE</x:v>
      </x:c>
      <x:c r="AC79" s="27" t="str">
        <x:v>Climate/temperature-linked lexical frequency; still not evidence of reception, voice, or affect without passage review.</x:v>
      </x:c>
    </x:row>
    <x:row r="80" ht="19" customHeight="1">
      <x:c r="A80" s="23" t="str">
        <x:v>FT-Q-V01-079</x:v>
      </x:c>
      <x:c r="B80" s="24" t="str">
        <x:v>coastal flooding</x:v>
      </x:c>
      <x:c r="C80" s="24" t="str">
        <x:v>generic damage</x:v>
      </x:c>
      <x:c r="D80" s="25" t="str">
        <x:v>harm_loss_consequences</x:v>
      </x:c>
      <x:c r="E80" s="25" t="str">
        <x:v>D</x:v>
      </x:c>
      <x:c r="F80" s="25" t="str">
        <x:v>EXECUTABLE_NGRAM</x:v>
      </x:c>
      <x:c r="G80" s="25" t="str">
        <x:v>CONTEXT_REQUIRED</x:v>
      </x:c>
      <x:c r="H80" s="25" t="str">
        <x:v>eng</x:v>
      </x:c>
      <x:c r="I80" s="25" t="str">
        <x:v>current English corpus (July 2024 dataset; public shorthand eng; mutable current corpus)</x:v>
      </x:c>
      <x:c r="J80" s="25" t="str">
        <x:v>1842</x:v>
      </x:c>
      <x:c r="K80" s="25" t="str">
        <x:v>2022</x:v>
      </x:c>
      <x:c r="L80" s="25" t="str">
        <x:v>1843</x:v>
      </x:c>
      <x:c r="M80" s="25" t="str">
        <x:v>92</x:v>
      </x:c>
      <x:c r="N80" s="25" t="str">
        <x:v>2022</x:v>
      </x:c>
      <x:c r="O80" s="26" t="str">
        <x:v>1.034327956617176e-07</x:v>
      </x:c>
      <x:c r="P80" s="26" t="str">
        <x:v>1.034327956617176e-07</x:v>
      </x:c>
      <x:c r="Q80" s="26" t="str">
        <x:v>0</x:v>
      </x:c>
      <x:c r="R80" s="26" t="str">
        <x:v>4.454877994275463e-10</x:v>
      </x:c>
      <x:c r="S80" s="26" t="str">
        <x:v>2.620769057326555e-08</x:v>
      </x:c>
      <x:c r="T80" s="26" t="str">
        <x:v>4.335529258867044e-08</x:v>
      </x:c>
      <x:c r="U80" s="26" t="str">
        <x:v>5.518485168831688e-08</x:v>
      </x:c>
      <x:c r="V80" s="26" t="str">
        <x:v>4.927007213849366e-08</x:v>
      </x:c>
      <x:c r="W80" s="26" t="str">
        <x:v>5.272690167812399e-08</x:v>
      </x:c>
      <x:c r="X80" s="26" t="str">
        <x:v>1.034327956617176e-07</x:v>
      </x:c>
      <x:c r="Y80" s="26" t="str">
        <x:v>1.034327956617176e-07</x:v>
      </x:c>
      <x:c r="Z80" s="25" t="str">
        <x:v>2022</x:v>
      </x:c>
      <x:c r="AA80" s="25" t="str">
        <x:v>AVAILABLE</x:v>
      </x:c>
      <x:c r="AB80" s="25" t="str">
        <x:v>AVAILABLE</x:v>
      </x:c>
      <x:c r="AC80" s="27" t="str">
        <x:v>Climate/temperature-linked lexical frequency; still not evidence of reception, voice, or affect without passage review.</x:v>
      </x:c>
    </x:row>
    <x:row r="81" ht="19" customHeight="1">
      <x:c r="A81" s="23" t="str">
        <x:v>FT-Q-V01-080</x:v>
      </x:c>
      <x:c r="B81" s="24" t="str">
        <x:v>worst impacts</x:v>
      </x:c>
      <x:c r="C81" s="24" t="str">
        <x:v>generic damage</x:v>
      </x:c>
      <x:c r="D81" s="25" t="str">
        <x:v>harm_loss_consequences</x:v>
      </x:c>
      <x:c r="E81" s="25" t="str">
        <x:v>D</x:v>
      </x:c>
      <x:c r="F81" s="25" t="str">
        <x:v>EXECUTABLE_NGRAM</x:v>
      </x:c>
      <x:c r="G81" s="25" t="str">
        <x:v>CONTEXT_REQUIRED</x:v>
      </x:c>
      <x:c r="H81" s="25" t="str">
        <x:v>eng</x:v>
      </x:c>
      <x:c r="I81" s="25" t="str">
        <x:v>current English corpus (July 2024 dataset; public shorthand eng; mutable current corpus)</x:v>
      </x:c>
      <x:c r="J81" s="25" t="str">
        <x:v>1842</x:v>
      </x:c>
      <x:c r="K81" s="25" t="str">
        <x:v>2022</x:v>
      </x:c>
      <x:c r="L81" s="25" t="str">
        <x:v>1906</x:v>
      </x:c>
      <x:c r="M81" s="25" t="str">
        <x:v>80</x:v>
      </x:c>
      <x:c r="N81" s="25" t="str">
        <x:v>2022</x:v>
      </x:c>
      <x:c r="O81" s="26" t="str">
        <x:v>1.9288579872212e-08</x:v>
      </x:c>
      <x:c r="P81" s="26" t="str">
        <x:v>1.9288579872212e-08</x:v>
      </x:c>
      <x:c r="Q81" s="26" t="str">
        <x:v>0</x:v>
      </x:c>
      <x:c r="R81" s="26" t="str">
        <x:v>1.113719533263335e-10</x:v>
      </x:c>
      <x:c r="S81" s="26" t="str">
        <x:v>1.332594479208637e-09</x:v>
      </x:c>
      <x:c r="T81" s="26" t="str">
        <x:v>7.691329351189324e-09</x:v>
      </x:c>
      <x:c r="U81" s="26" t="str">
        <x:v>8.09557739248068e-09</x:v>
      </x:c>
      <x:c r="V81" s="26" t="str">
        <x:v>7.893453371835002e-09</x:v>
      </x:c>
      <x:c r="W81" s="26" t="str">
        <x:v>1.125525539436012e-08</x:v>
      </x:c>
      <x:c r="X81" s="26" t="str">
        <x:v>1.9288579872212e-08</x:v>
      </x:c>
      <x:c r="Y81" s="26" t="str">
        <x:v>1.9288579872212e-08</x:v>
      </x:c>
      <x:c r="Z81" s="25" t="str">
        <x:v>2022</x:v>
      </x:c>
      <x:c r="AA81" s="25" t="str">
        <x:v>AVAILABLE</x:v>
      </x:c>
      <x:c r="AB81" s="25" t="str">
        <x:v>AVAILABLE</x:v>
      </x:c>
      <x:c r="AC81" s="27" t="str">
        <x:v>Climate/temperature-linked lexical frequency; still not evidence of reception, voice, or affect without passage review.</x:v>
      </x:c>
    </x:row>
    <x:row r="82" ht="19" customHeight="1">
      <x:c r="A82" s="23" t="str">
        <x:v>FT-Q-V01-081</x:v>
      </x:c>
      <x:c r="B82" s="24" t="str">
        <x:v>climate change</x:v>
      </x:c>
      <x:c r="C82" s="24" t="str">
        <x:v>modern climate change</x:v>
      </x:c>
      <x:c r="D82" s="25" t="str">
        <x:v>climate</x:v>
      </x:c>
      <x:c r="E82" s="25" t="str">
        <x:v>B</x:v>
      </x:c>
      <x:c r="F82" s="25" t="str">
        <x:v>EXECUTABLE_NGRAM</x:v>
      </x:c>
      <x:c r="G82" s="25" t="str">
        <x:v>CLIMATE_SPECIFIC</x:v>
      </x:c>
      <x:c r="H82" s="25" t="str">
        <x:v>eng</x:v>
      </x:c>
      <x:c r="I82" s="25" t="str">
        <x:v>current English corpus (July 2024 dataset; public shorthand eng; mutable current corpus)</x:v>
      </x:c>
      <x:c r="J82" s="25" t="str">
        <x:v>1842</x:v>
      </x:c>
      <x:c r="K82" s="25" t="str">
        <x:v>2022</x:v>
      </x:c>
      <x:c r="L82" s="25" t="str">
        <x:v>1842</x:v>
      </x:c>
      <x:c r="M82" s="25" t="str">
        <x:v>180</x:v>
      </x:c>
      <x:c r="N82" s="25" t="str">
        <x:v>2022</x:v>
      </x:c>
      <x:c r="O82" s="26" t="str">
        <x:v>2.890008815206735e-05</x:v>
      </x:c>
      <x:c r="P82" s="26" t="str">
        <x:v>2.890008815206735e-05</x:v>
      </x:c>
      <x:c r="Q82" s="26" t="str">
        <x:v>5.159906557583582e-09</x:v>
      </x:c>
      <x:c r="R82" s="26" t="str">
        <x:v>2.561554912627884e-09</x:v>
      </x:c>
      <x:c r="S82" s="26" t="str">
        <x:v>1.240793510930149e-06</x:v>
      </x:c>
      <x:c r="T82" s="26" t="str">
        <x:v>8.716473492563492e-06</x:v>
      </x:c>
      <x:c r="U82" s="26" t="str">
        <x:v>1.319138383155949e-05</x:v>
      </x:c>
      <x:c r="V82" s="26" t="str">
        <x:v>1.095392866206149e-05</x:v>
      </x:c>
      <x:c r="W82" s="26" t="str">
        <x:v>1.967096413684616e-05</x:v>
      </x:c>
      <x:c r="X82" s="26" t="str">
        <x:v>2.890008815206735e-05</x:v>
      </x:c>
      <x:c r="Y82" s="26" t="str">
        <x:v>2.890008815206735e-05</x:v>
      </x:c>
      <x:c r="Z82" s="25" t="str">
        <x:v>2022</x:v>
      </x:c>
      <x:c r="AA82" s="25" t="str">
        <x:v>AVAILABLE</x:v>
      </x:c>
      <x:c r="AB82" s="25" t="str">
        <x:v>AVAILABLE</x:v>
      </x:c>
      <x:c r="AC82" s="27" t="str">
        <x:v>Climate/temperature-linked lexical frequency; still not evidence of reception, voice, or affect without passage review.</x:v>
      </x:c>
    </x:row>
    <x:row r="83" ht="19" customHeight="1">
      <x:c r="A83" s="23" t="str">
        <x:v>FT-Q-V01-082</x:v>
      </x:c>
      <x:c r="B83" s="24" t="str">
        <x:v>threat of climate change</x:v>
      </x:c>
      <x:c r="C83" s="24" t="str">
        <x:v>modern climate change</x:v>
      </x:c>
      <x:c r="D83" s="25" t="str">
        <x:v>climate</x:v>
      </x:c>
      <x:c r="E83" s="25" t="str">
        <x:v>D</x:v>
      </x:c>
      <x:c r="F83" s="25" t="str">
        <x:v>EXECUTABLE_NGRAM</x:v>
      </x:c>
      <x:c r="G83" s="25" t="str">
        <x:v>CONTEXT_REQUIRED</x:v>
      </x:c>
      <x:c r="H83" s="25" t="str">
        <x:v>eng</x:v>
      </x:c>
      <x:c r="I83" s="25" t="str">
        <x:v>current English corpus (July 2024 dataset; public shorthand eng; mutable current corpus)</x:v>
      </x:c>
      <x:c r="J83" s="25" t="str">
        <x:v>1842</x:v>
      </x:c>
      <x:c r="K83" s="25" t="str">
        <x:v>2022</x:v>
      </x:c>
      <x:c r="L83" s="25" t="str">
        <x:v>1900</x:v>
      </x:c>
      <x:c r="M83" s="25" t="str">
        <x:v>61</x:v>
      </x:c>
      <x:c r="N83" s="25" t="str">
        <x:v>2021</x:v>
      </x:c>
      <x:c r="O83" s="26" t="str">
        <x:v>1.160401951333379e-07</x:v>
      </x:c>
      <x:c r="P83" s="26" t="str">
        <x:v>1.140722242637393e-07</x:v>
      </x:c>
      <x:c r="Q83" s="26" t="str">
        <x:v>0</x:v>
      </x:c>
      <x:c r="R83" s="26" t="str">
        <x:v>0</x:v>
      </x:c>
      <x:c r="S83" s="26" t="str">
        <x:v>2.210996594143033e-09</x:v>
      </x:c>
      <x:c r="T83" s="26" t="str">
        <x:v>2.31571378392359e-08</x:v>
      </x:c>
      <x:c r="U83" s="26" t="str">
        <x:v>3.566648866526467e-08</x:v>
      </x:c>
      <x:c r="V83" s="26" t="str">
        <x:v>2.941181325225029e-08</x:v>
      </x:c>
      <x:c r="W83" s="26" t="str">
        <x:v>4.538047629343289e-08</x:v>
      </x:c>
      <x:c r="X83" s="26" t="str">
        <x:v>1.140722242637393e-07</x:v>
      </x:c>
      <x:c r="Y83" s="26" t="str">
        <x:v>1.140722242637393e-07</x:v>
      </x:c>
      <x:c r="Z83" s="25" t="str">
        <x:v>2022</x:v>
      </x:c>
      <x:c r="AA83" s="25" t="str">
        <x:v>AVAILABLE</x:v>
      </x:c>
      <x:c r="AB83" s="25" t="str">
        <x:v>AVAILABLE</x:v>
      </x:c>
      <x:c r="AC83" s="27" t="str">
        <x:v>Climate/temperature-linked lexical frequency; still not evidence of reception, voice, or affect without passage review.</x:v>
      </x:c>
    </x:row>
    <x:row r="84" ht="19" customHeight="1">
      <x:c r="A84" s="23" t="str">
        <x:v>FT-Q-V01-083</x:v>
      </x:c>
      <x:c r="B84" s="24" t="str">
        <x:v>global average temperature</x:v>
      </x:c>
      <x:c r="C84" s="24" t="str">
        <x:v>global aggregate temperature</x:v>
      </x:c>
      <x:c r="D84" s="25" t="str">
        <x:v>temperature_threshold</x:v>
      </x:c>
      <x:c r="E84" s="25" t="str">
        <x:v>A</x:v>
      </x:c>
      <x:c r="F84" s="25" t="str">
        <x:v>EXECUTABLE_NGRAM</x:v>
      </x:c>
      <x:c r="G84" s="25" t="str">
        <x:v>CLIMATE_SPECIFIC</x:v>
      </x:c>
      <x:c r="H84" s="25" t="str">
        <x:v>eng</x:v>
      </x:c>
      <x:c r="I84" s="25" t="str">
        <x:v>current English corpus (July 2024 dataset; public shorthand eng; mutable current corpus)</x:v>
      </x:c>
      <x:c r="J84" s="25" t="str">
        <x:v>1842</x:v>
      </x:c>
      <x:c r="K84" s="25" t="str">
        <x:v>2022</x:v>
      </x:c>
      <x:c r="L84" s="25" t="str">
        <x:v>1869</x:v>
      </x:c>
      <x:c r="M84" s="25" t="str">
        <x:v>73</x:v>
      </x:c>
      <x:c r="N84" s="25" t="str">
        <x:v>2022</x:v>
      </x:c>
      <x:c r="O84" s="26" t="str">
        <x:v>7.577234045763603e-08</x:v>
      </x:c>
      <x:c r="P84" s="26" t="str">
        <x:v>7.577234045763603e-08</x:v>
      </x:c>
      <x:c r="Q84" s="26" t="str">
        <x:v>0</x:v>
      </x:c>
      <x:c r="R84" s="26" t="str">
        <x:v>0</x:v>
      </x:c>
      <x:c r="S84" s="26" t="str">
        <x:v>6.216928000180033e-09</x:v>
      </x:c>
      <x:c r="T84" s="26" t="str">
        <x:v>1.575490385374856e-08</x:v>
      </x:c>
      <x:c r="U84" s="26" t="str">
        <x:v>2.793995544647654e-08</x:v>
      </x:c>
      <x:c r="V84" s="26" t="str">
        <x:v>2.184742965011255e-08</x:v>
      </x:c>
      <x:c r="W84" s="26" t="str">
        <x:v>4.038937463646253e-08</x:v>
      </x:c>
      <x:c r="X84" s="26" t="str">
        <x:v>7.577234045763603e-08</x:v>
      </x:c>
      <x:c r="Y84" s="26" t="str">
        <x:v>7.577234045763603e-08</x:v>
      </x:c>
      <x:c r="Z84" s="25" t="str">
        <x:v>2022</x:v>
      </x:c>
      <x:c r="AA84" s="25" t="str">
        <x:v>AVAILABLE</x:v>
      </x:c>
      <x:c r="AB84" s="25" t="str">
        <x:v>AVAILABLE</x:v>
      </x:c>
      <x:c r="AC84" s="27" t="str">
        <x:v>Climate/temperature-linked lexical frequency; still not evidence of reception, voice, or affect without passage review.</x:v>
      </x:c>
    </x:row>
    <x:row r="85" ht="19" customHeight="1">
      <x:c r="A85" s="23" t="str">
        <x:v>FT-Q-V01-084</x:v>
      </x:c>
      <x:c r="B85" s="24" t="str">
        <x:v>well below 2°C above pre-industrial levels</x:v>
      </x:c>
      <x:c r="C85" s="24" t="str">
        <x:v>2°C threshold</x:v>
      </x:c>
      <x:c r="D85" s="25" t="str">
        <x:v>temperature_threshold</x:v>
      </x:c>
      <x:c r="E85" s="25" t="str">
        <x:v>A</x:v>
      </x:c>
      <x:c r="F85" s="25" t="str">
        <x:v>EXECUTABLE_CORPUS_ONLY</x:v>
      </x:c>
      <x:c r="G85" s="25" t="str">
        <x:v>CONTEXT_REQUIRED</x:v>
      </x:c>
      <x:c r="H85" s="25" t="str">
        <x:v>eng</x:v>
      </x:c>
      <x:c r="I85" s="25" t="str">
        <x:v>current English corpus (July 2024 dataset; public shorthand eng; mutable current corpus)</x:v>
      </x:c>
      <x:c r="J85" s="25" t="str">
        <x:v>1842</x:v>
      </x:c>
      <x:c r="K85" s="25" t="str">
        <x:v>2022</x:v>
      </x:c>
      <x:c r="L85" s="25" t="str"/>
      <x:c r="M85" s="25" t="str">
        <x:v>0</x:v>
      </x:c>
      <x:c r="N85" s="25" t="str"/>
      <x:c r="O85" s="26" t="str"/>
      <x:c r="P85" s="26" t="str"/>
      <x:c r="Q85" s="26" t="str"/>
      <x:c r="R85" s="26" t="str"/>
      <x:c r="S85" s="26" t="str"/>
      <x:c r="T85" s="26" t="str"/>
      <x:c r="U85" s="26" t="str"/>
      <x:c r="V85" s="26" t="str"/>
      <x:c r="W85" s="26" t="str"/>
      <x:c r="X85" s="26" t="str"/>
      <x:c r="Y85" s="26" t="str"/>
      <x:c r="Z85" s="25" t="str">
        <x:v>2022</x:v>
      </x:c>
      <x:c r="AA85" s="25" t="str">
        <x:v>NO_SERIES</x:v>
      </x:c>
      <x:c r="AB85" s="25" t="str">
        <x:v>NOT_AVAILABLE</x:v>
      </x:c>
      <x:c r="AC85" s="27" t="str">
        <x:v>Climate/temperature-linked lexical frequency; still not evidence of reception, voice, or affect without passage review.</x:v>
      </x:c>
    </x:row>
    <x:row r="86" ht="19" customHeight="1">
      <x:c r="A86" s="23" t="str">
        <x:v>FT-Q-V01-085</x:v>
      </x:c>
      <x:c r="B86" s="24" t="str">
        <x:v>1.5°C above pre-industrial levels</x:v>
      </x:c>
      <x:c r="C86" s="24" t="str">
        <x:v>1.5°C threshold</x:v>
      </x:c>
      <x:c r="D86" s="25" t="str">
        <x:v>temperature_threshold</x:v>
      </x:c>
      <x:c r="E86" s="25" t="str">
        <x:v>A</x:v>
      </x:c>
      <x:c r="F86" s="25" t="str">
        <x:v>EXECUTABLE_CORPUS_ONLY</x:v>
      </x:c>
      <x:c r="G86" s="25" t="str">
        <x:v>CONTEXT_REQUIRED</x:v>
      </x:c>
      <x:c r="H86" s="25" t="str">
        <x:v>eng</x:v>
      </x:c>
      <x:c r="I86" s="25" t="str">
        <x:v>current English corpus (July 2024 dataset; public shorthand eng; mutable current corpus)</x:v>
      </x:c>
      <x:c r="J86" s="25" t="str">
        <x:v>1842</x:v>
      </x:c>
      <x:c r="K86" s="25" t="str">
        <x:v>2022</x:v>
      </x:c>
      <x:c r="L86" s="25" t="str"/>
      <x:c r="M86" s="25" t="str">
        <x:v>0</x:v>
      </x:c>
      <x:c r="N86" s="25" t="str"/>
      <x:c r="O86" s="26" t="str"/>
      <x:c r="P86" s="26" t="str"/>
      <x:c r="Q86" s="26" t="str"/>
      <x:c r="R86" s="26" t="str"/>
      <x:c r="S86" s="26" t="str"/>
      <x:c r="T86" s="26" t="str"/>
      <x:c r="U86" s="26" t="str"/>
      <x:c r="V86" s="26" t="str"/>
      <x:c r="W86" s="26" t="str"/>
      <x:c r="X86" s="26" t="str"/>
      <x:c r="Y86" s="26" t="str"/>
      <x:c r="Z86" s="25" t="str">
        <x:v>2022</x:v>
      </x:c>
      <x:c r="AA86" s="25" t="str">
        <x:v>NO_SERIES</x:v>
      </x:c>
      <x:c r="AB86" s="25" t="str">
        <x:v>NOT_AVAILABLE</x:v>
      </x:c>
      <x:c r="AC86" s="27" t="str">
        <x:v>Climate/temperature-linked lexical frequency; still not evidence of reception, voice, or affect without passage review.</x:v>
      </x:c>
    </x:row>
    <x:row r="87" ht="19" customHeight="1">
      <x:c r="A87" s="23" t="str">
        <x:v>FT-Q-V01-086</x:v>
      </x:c>
      <x:c r="B87" s="24" t="str">
        <x:v>pre-industrial levels</x:v>
      </x:c>
      <x:c r="C87" s="24" t="str">
        <x:v>historical climate / climatological condition</x:v>
      </x:c>
      <x:c r="D87" s="25" t="str">
        <x:v>climate</x:v>
      </x:c>
      <x:c r="E87" s="25" t="str">
        <x:v>B</x:v>
      </x:c>
      <x:c r="F87" s="25" t="str">
        <x:v>EXECUTABLE_NGRAM</x:v>
      </x:c>
      <x:c r="G87" s="25" t="str">
        <x:v>CONTEXT_REQUIRED</x:v>
      </x:c>
      <x:c r="H87" s="25" t="str">
        <x:v>eng</x:v>
      </x:c>
      <x:c r="I87" s="25" t="str">
        <x:v>current English corpus (July 2024 dataset; public shorthand eng; mutable current corpus)</x:v>
      </x:c>
      <x:c r="J87" s="25" t="str">
        <x:v>1842</x:v>
      </x:c>
      <x:c r="K87" s="25" t="str">
        <x:v>2022</x:v>
      </x:c>
      <x:c r="L87" s="25" t="str">
        <x:v>1843</x:v>
      </x:c>
      <x:c r="M87" s="25" t="str">
        <x:v>71</x:v>
      </x:c>
      <x:c r="N87" s="25" t="str">
        <x:v>2022</x:v>
      </x:c>
      <x:c r="O87" s="26" t="str">
        <x:v>1.564491737549023e-07</x:v>
      </x:c>
      <x:c r="P87" s="26" t="str">
        <x:v>1.564491737549023e-07</x:v>
      </x:c>
      <x:c r="Q87" s="26" t="str">
        <x:v>0</x:v>
      </x:c>
      <x:c r="R87" s="26" t="str">
        <x:v>0</x:v>
      </x:c>
      <x:c r="S87" s="26" t="str">
        <x:v>3.406129822636217e-09</x:v>
      </x:c>
      <x:c r="T87" s="26" t="str">
        <x:v>1.92166460591392e-08</x:v>
      </x:c>
      <x:c r="U87" s="26" t="str">
        <x:v>2.43588904463854e-08</x:v>
      </x:c>
      <x:c r="V87" s="26" t="str">
        <x:v>2.17877682527623e-08</x:v>
      </x:c>
      <x:c r="W87" s="26" t="str">
        <x:v>3.183085471591962e-08</x:v>
      </x:c>
      <x:c r="X87" s="26" t="str">
        <x:v>1.564491737549023e-07</x:v>
      </x:c>
      <x:c r="Y87" s="26" t="str">
        <x:v>1.564491737549023e-07</x:v>
      </x:c>
      <x:c r="Z87" s="25" t="str">
        <x:v>2022</x:v>
      </x:c>
      <x:c r="AA87" s="25" t="str">
        <x:v>AVAILABLE</x:v>
      </x:c>
      <x:c r="AB87" s="25" t="str">
        <x:v>AVAILABLE</x:v>
      </x:c>
      <x:c r="AC87" s="27" t="str">
        <x:v>Climate/temperature-linked lexical frequency; still not evidence of reception, voice, or affect without passage review.</x:v>
      </x:c>
    </x:row>
    <x:row r="88" ht="19" customHeight="1">
      <x:c r="A88" s="23" t="str">
        <x:v>FT-Q-V01-087</x:v>
      </x:c>
      <x:c r="B88" s="24" t="str">
        <x:v>risks and impacts</x:v>
      </x:c>
      <x:c r="C88" s="24" t="str">
        <x:v>administrative risk assessment</x:v>
      </x:c>
      <x:c r="D88" s="25" t="str">
        <x:v>risk</x:v>
      </x:c>
      <x:c r="E88" s="25" t="str">
        <x:v>D</x:v>
      </x:c>
      <x:c r="F88" s="25" t="str">
        <x:v>EXECUTABLE_NGRAM</x:v>
      </x:c>
      <x:c r="G88" s="25" t="str">
        <x:v>CONTEXT_REQUIRED</x:v>
      </x:c>
      <x:c r="H88" s="25" t="str">
        <x:v>eng</x:v>
      </x:c>
      <x:c r="I88" s="25" t="str">
        <x:v>current English corpus (July 2024 dataset; public shorthand eng; mutable current corpus)</x:v>
      </x:c>
      <x:c r="J88" s="25" t="str">
        <x:v>1842</x:v>
      </x:c>
      <x:c r="K88" s="25" t="str">
        <x:v>2022</x:v>
      </x:c>
      <x:c r="L88" s="25" t="str">
        <x:v>1901</x:v>
      </x:c>
      <x:c r="M88" s="25" t="str">
        <x:v>64</x:v>
      </x:c>
      <x:c r="N88" s="25" t="str">
        <x:v>2022</x:v>
      </x:c>
      <x:c r="O88" s="26" t="str">
        <x:v>4.441337393690237e-08</x:v>
      </x:c>
      <x:c r="P88" s="26" t="str">
        <x:v>4.441337393690237e-08</x:v>
      </x:c>
      <x:c r="Q88" s="26" t="str">
        <x:v>0</x:v>
      </x:c>
      <x:c r="R88" s="26" t="str">
        <x:v>0</x:v>
      </x:c>
      <x:c r="S88" s="26" t="str">
        <x:v>3.730156780679117e-09</x:v>
      </x:c>
      <x:c r="T88" s="26" t="str">
        <x:v>8.719695195058552e-09</x:v>
      </x:c>
      <x:c r="U88" s="26" t="str">
        <x:v>1.171048619186266e-08</x:v>
      </x:c>
      <x:c r="V88" s="26" t="str">
        <x:v>1.02150906934606e-08</x:v>
      </x:c>
      <x:c r="W88" s="26" t="str">
        <x:v>1.904498948129829e-08</x:v>
      </x:c>
      <x:c r="X88" s="26" t="str">
        <x:v>4.441337393690237e-08</x:v>
      </x:c>
      <x:c r="Y88" s="26" t="str">
        <x:v>4.441337393690237e-08</x:v>
      </x:c>
      <x:c r="Z88" s="25" t="str">
        <x:v>2022</x:v>
      </x:c>
      <x:c r="AA88" s="25" t="str">
        <x:v>AVAILABLE</x:v>
      </x:c>
      <x:c r="AB88" s="25" t="str">
        <x:v>AVAILABLE</x:v>
      </x:c>
      <x:c r="AC88" s="27" t="str">
        <x:v>Climate/temperature-linked lexical frequency; still not evidence of reception, voice, or affect without passage review.</x:v>
      </x:c>
    </x:row>
    <x:row r="89" ht="19" customHeight="1">
      <x:c r="A89" s="23" t="str">
        <x:v>FT-Q-V01-088</x:v>
      </x:c>
      <x:c r="B89" s="24" t="str">
        <x:v>adverse impacts</x:v>
      </x:c>
      <x:c r="C89" s="24" t="str">
        <x:v>generic damage</x:v>
      </x:c>
      <x:c r="D89" s="25" t="str">
        <x:v>harm_loss_consequences</x:v>
      </x:c>
      <x:c r="E89" s="25" t="str">
        <x:v>D</x:v>
      </x:c>
      <x:c r="F89" s="25" t="str">
        <x:v>EXECUTABLE_NGRAM</x:v>
      </x:c>
      <x:c r="G89" s="25" t="str">
        <x:v>CONTEXT_REQUIRED</x:v>
      </x:c>
      <x:c r="H89" s="25" t="str">
        <x:v>eng</x:v>
      </x:c>
      <x:c r="I89" s="25" t="str">
        <x:v>current English corpus (July 2024 dataset; public shorthand eng; mutable current corpus)</x:v>
      </x:c>
      <x:c r="J89" s="25" t="str">
        <x:v>1842</x:v>
      </x:c>
      <x:c r="K89" s="25" t="str">
        <x:v>2022</x:v>
      </x:c>
      <x:c r="L89" s="25" t="str">
        <x:v>1847</x:v>
      </x:c>
      <x:c r="M89" s="25" t="str">
        <x:v>118</x:v>
      </x:c>
      <x:c r="N89" s="25" t="str">
        <x:v>2008</x:v>
      </x:c>
      <x:c r="O89" s="26" t="str">
        <x:v>1.26370956696209e-06</x:v>
      </x:c>
      <x:c r="P89" s="26" t="str">
        <x:v>3.134836589757661e-07</x:v>
      </x:c>
      <x:c r="Q89" s="26" t="str">
        <x:v>0</x:v>
      </x:c>
      <x:c r="R89" s="26" t="str">
        <x:v>3.341158461012128e-10</x:v>
      </x:c>
      <x:c r="S89" s="26" t="str">
        <x:v>7.824303560610701e-07</x:v>
      </x:c>
      <x:c r="T89" s="26" t="str">
        <x:v>1.002482367784552e-06</x:v>
      </x:c>
      <x:c r="U89" s="26" t="str">
        <x:v>8.86375771003145e-07</x:v>
      </x:c>
      <x:c r="V89" s="26" t="str">
        <x:v>9.444290693938484e-07</x:v>
      </x:c>
      <x:c r="W89" s="26" t="str">
        <x:v>2.372477044543242e-07</x:v>
      </x:c>
      <x:c r="X89" s="26" t="str">
        <x:v>3.134836589757661e-07</x:v>
      </x:c>
      <x:c r="Y89" s="26" t="str">
        <x:v>3.134836589757661e-07</x:v>
      </x:c>
      <x:c r="Z89" s="25" t="str">
        <x:v>2022</x:v>
      </x:c>
      <x:c r="AA89" s="25" t="str">
        <x:v>AVAILABLE</x:v>
      </x:c>
      <x:c r="AB89" s="25" t="str">
        <x:v>AVAILABLE</x:v>
      </x:c>
      <x:c r="AC89" s="27" t="str">
        <x:v>Climate/temperature-linked lexical frequency; still not evidence of reception, voice, or affect without passage review.</x:v>
      </x:c>
    </x:row>
    <x:row r="90" ht="19" customHeight="1">
      <x:c r="A90" s="23" t="str">
        <x:v>FT-Q-V01-089</x:v>
      </x:c>
      <x:c r="B90" s="24" t="str">
        <x:v>adverse effects of climate change</x:v>
      </x:c>
      <x:c r="C90" s="24" t="str">
        <x:v>modern climate change</x:v>
      </x:c>
      <x:c r="D90" s="25" t="str">
        <x:v>climate</x:v>
      </x:c>
      <x:c r="E90" s="25" t="str">
        <x:v>D</x:v>
      </x:c>
      <x:c r="F90" s="25" t="str">
        <x:v>EXECUTABLE_NGRAM</x:v>
      </x:c>
      <x:c r="G90" s="25" t="str">
        <x:v>CONTEXT_REQUIRED</x:v>
      </x:c>
      <x:c r="H90" s="25" t="str">
        <x:v>eng</x:v>
      </x:c>
      <x:c r="I90" s="25" t="str">
        <x:v>current English corpus (July 2024 dataset; public shorthand eng; mutable current corpus)</x:v>
      </x:c>
      <x:c r="J90" s="25" t="str">
        <x:v>1842</x:v>
      </x:c>
      <x:c r="K90" s="25" t="str">
        <x:v>2022</x:v>
      </x:c>
      <x:c r="L90" s="25" t="str">
        <x:v>1901</x:v>
      </x:c>
      <x:c r="M90" s="25" t="str">
        <x:v>55</x:v>
      </x:c>
      <x:c r="N90" s="25" t="str">
        <x:v>2021</x:v>
      </x:c>
      <x:c r="O90" s="26" t="str">
        <x:v>6.824104539782105e-08</x:v>
      </x:c>
      <x:c r="P90" s="26" t="str">
        <x:v>6.007298156140983e-08</x:v>
      </x:c>
      <x:c r="Q90" s="26" t="str">
        <x:v>0</x:v>
      </x:c>
      <x:c r="R90" s="26" t="str">
        <x:v>0</x:v>
      </x:c>
      <x:c r="S90" s="26" t="str">
        <x:v>8.47171111040268e-10</x:v>
      </x:c>
      <x:c r="T90" s="26" t="str">
        <x:v>1.892433779820957e-08</x:v>
      </x:c>
      <x:c r="U90" s="26" t="str">
        <x:v>1.759132076811776e-08</x:v>
      </x:c>
      <x:c r="V90" s="26" t="str">
        <x:v>1.825782928316366e-08</x:v>
      </x:c>
      <x:c r="W90" s="26" t="str">
        <x:v>3.449535698751838e-08</x:v>
      </x:c>
      <x:c r="X90" s="26" t="str">
        <x:v>6.007298156140983e-08</x:v>
      </x:c>
      <x:c r="Y90" s="26" t="str">
        <x:v>6.007298156140983e-08</x:v>
      </x:c>
      <x:c r="Z90" s="25" t="str">
        <x:v>2022</x:v>
      </x:c>
      <x:c r="AA90" s="25" t="str">
        <x:v>AVAILABLE</x:v>
      </x:c>
      <x:c r="AB90" s="25" t="str">
        <x:v>AVAILABLE</x:v>
      </x:c>
      <x:c r="AC90" s="27" t="str">
        <x:v>Climate/temperature-linked lexical frequency; still not evidence of reception, voice, or affect without passage review.</x:v>
      </x:c>
    </x:row>
    <x:row r="91" ht="19" customHeight="1">
      <x:c r="A91" s="23" t="str">
        <x:v>FT-Q-V01-090</x:v>
      </x:c>
      <x:c r="B91" s="24" t="str">
        <x:v>greenhouse gas emissions</x:v>
      </x:c>
      <x:c r="C91" s="24" t="str">
        <x:v>anthropogenic greenhouse-gas emissions</x:v>
      </x:c>
      <x:c r="D91" s="25" t="str">
        <x:v>carbon_greenhouse</x:v>
      </x:c>
      <x:c r="E91" s="25" t="str">
        <x:v>B</x:v>
      </x:c>
      <x:c r="F91" s="25" t="str">
        <x:v>EXECUTABLE_NGRAM</x:v>
      </x:c>
      <x:c r="G91" s="25" t="str">
        <x:v>CONTEXT_REQUIRED</x:v>
      </x:c>
      <x:c r="H91" s="25" t="str">
        <x:v>eng</x:v>
      </x:c>
      <x:c r="I91" s="25" t="str">
        <x:v>current English corpus (July 2024 dataset; public shorthand eng; mutable current corpus)</x:v>
      </x:c>
      <x:c r="J91" s="25" t="str">
        <x:v>1842</x:v>
      </x:c>
      <x:c r="K91" s="25" t="str">
        <x:v>2022</x:v>
      </x:c>
      <x:c r="L91" s="25" t="str">
        <x:v>1843</x:v>
      </x:c>
      <x:c r="M91" s="25" t="str">
        <x:v>102</x:v>
      </x:c>
      <x:c r="N91" s="25" t="str">
        <x:v>2009</x:v>
      </x:c>
      <x:c r="O91" s="26" t="str">
        <x:v>2.058088877550379e-06</x:v>
      </x:c>
      <x:c r="P91" s="26" t="str">
        <x:v>1.669261770767538e-06</x:v>
      </x:c>
      <x:c r="Q91" s="26" t="str">
        <x:v>0</x:v>
      </x:c>
      <x:c r="R91" s="26" t="str">
        <x:v>0</x:v>
      </x:c>
      <x:c r="S91" s="26" t="str">
        <x:v>6.1250253577394e-08</x:v>
      </x:c>
      <x:c r="T91" s="26" t="str">
        <x:v>1.090903233809393e-06</x:v>
      </x:c>
      <x:c r="U91" s="26" t="str">
        <x:v>1.668671410881561e-06</x:v>
      </x:c>
      <x:c r="V91" s="26" t="str">
        <x:v>1.379787322345477e-06</x:v>
      </x:c>
      <x:c r="W91" s="26" t="str">
        <x:v>1.287461367946441e-06</x:v>
      </x:c>
      <x:c r="X91" s="26" t="str">
        <x:v>1.669261770767538e-06</x:v>
      </x:c>
      <x:c r="Y91" s="26" t="str">
        <x:v>1.669261770767538e-06</x:v>
      </x:c>
      <x:c r="Z91" s="25" t="str">
        <x:v>2022</x:v>
      </x:c>
      <x:c r="AA91" s="25" t="str">
        <x:v>AVAILABLE</x:v>
      </x:c>
      <x:c r="AB91" s="25" t="str">
        <x:v>AVAILABLE</x:v>
      </x:c>
      <x:c r="AC91" s="27" t="str">
        <x:v>Climate/temperature-linked lexical frequency; still not evidence of reception, voice, or affect without passage review.</x:v>
      </x:c>
    </x:row>
    <x:row r="92" ht="19" customHeight="1">
      <x:c r="A92" s="23" t="str">
        <x:v>FT-Q-V01-091</x:v>
      </x:c>
      <x:c r="B92" s="24" t="str">
        <x:v>climate resilience</x:v>
      </x:c>
      <x:c r="C92" s="24" t="str">
        <x:v>generic damage</x:v>
      </x:c>
      <x:c r="D92" s="25" t="str">
        <x:v>harm_loss_consequences</x:v>
      </x:c>
      <x:c r="E92" s="25" t="str">
        <x:v>D</x:v>
      </x:c>
      <x:c r="F92" s="25" t="str">
        <x:v>EXECUTABLE_NGRAM</x:v>
      </x:c>
      <x:c r="G92" s="25" t="str">
        <x:v>CONTEXT_REQUIRED</x:v>
      </x:c>
      <x:c r="H92" s="25" t="str">
        <x:v>eng</x:v>
      </x:c>
      <x:c r="I92" s="25" t="str">
        <x:v>current English corpus (July 2024 dataset; public shorthand eng; mutable current corpus)</x:v>
      </x:c>
      <x:c r="J92" s="25" t="str">
        <x:v>1842</x:v>
      </x:c>
      <x:c r="K92" s="25" t="str">
        <x:v>2022</x:v>
      </x:c>
      <x:c r="L92" s="25" t="str">
        <x:v>1901</x:v>
      </x:c>
      <x:c r="M92" s="25" t="str">
        <x:v>30</x:v>
      </x:c>
      <x:c r="N92" s="25" t="str">
        <x:v>2022</x:v>
      </x:c>
      <x:c r="O92" s="26" t="str">
        <x:v>2.377892628357969e-07</x:v>
      </x:c>
      <x:c r="P92" s="26" t="str">
        <x:v>2.377892628357969e-07</x:v>
      </x:c>
      <x:c r="Q92" s="26" t="str">
        <x:v>0</x:v>
      </x:c>
      <x:c r="R92" s="26" t="str">
        <x:v>0</x:v>
      </x:c>
      <x:c r="S92" s="26" t="str">
        <x:v>0</x:v>
      </x:c>
      <x:c r="T92" s="26" t="str">
        <x:v>7.782892767760341e-10</x:v>
      </x:c>
      <x:c r="U92" s="26" t="str">
        <x:v>1.07941033888892e-09</x:v>
      </x:c>
      <x:c r="V92" s="26" t="str">
        <x:v>9.288498078324769e-10</x:v>
      </x:c>
      <x:c r="W92" s="26" t="str">
        <x:v>6.192725596904092e-08</x:v>
      </x:c>
      <x:c r="X92" s="26" t="str">
        <x:v>2.377892628357969e-07</x:v>
      </x:c>
      <x:c r="Y92" s="26" t="str">
        <x:v>2.377892628357969e-07</x:v>
      </x:c>
      <x:c r="Z92" s="25" t="str">
        <x:v>2022</x:v>
      </x:c>
      <x:c r="AA92" s="25" t="str">
        <x:v>AVAILABLE</x:v>
      </x:c>
      <x:c r="AB92" s="25" t="str">
        <x:v>AVAILABLE</x:v>
      </x:c>
      <x:c r="AC92" s="27" t="str">
        <x:v>Climate/temperature-linked lexical frequency; still not evidence of reception, voice, or affect without passage review.</x:v>
      </x:c>
    </x:row>
    <x:row r="93" ht="19" customHeight="1">
      <x:c r="A93" s="23" t="str">
        <x:v>FT-Q-V01-092</x:v>
      </x:c>
      <x:c r="B93" s="24" t="str">
        <x:v>vulnerability</x:v>
      </x:c>
      <x:c r="C93" s="24" t="str">
        <x:v>vulnerability</x:v>
      </x:c>
      <x:c r="D93" s="25" t="str">
        <x:v>harm_loss_consequences</x:v>
      </x:c>
      <x:c r="E93" s="25" t="str">
        <x:v>D</x:v>
      </x:c>
      <x:c r="F93" s="25" t="str">
        <x:v>EXECUTABLE_NGRAM</x:v>
      </x:c>
      <x:c r="G93" s="25" t="str">
        <x:v>CONTEXT_REQUIRED</x:v>
      </x:c>
      <x:c r="H93" s="25" t="str">
        <x:v>eng</x:v>
      </x:c>
      <x:c r="I93" s="25" t="str">
        <x:v>current English corpus (July 2024 dataset; public shorthand eng; mutable current corpus)</x:v>
      </x:c>
      <x:c r="J93" s="25" t="str">
        <x:v>1842</x:v>
      </x:c>
      <x:c r="K93" s="25" t="str">
        <x:v>2022</x:v>
      </x:c>
      <x:c r="L93" s="25" t="str">
        <x:v>1842</x:v>
      </x:c>
      <x:c r="M93" s="25" t="str">
        <x:v>181</x:v>
      </x:c>
      <x:c r="N93" s="25" t="str">
        <x:v>2021</x:v>
      </x:c>
      <x:c r="O93" s="26" t="str">
        <x:v>1.211419347413312e-05</x:v>
      </x:c>
      <x:c r="P93" s="26" t="str">
        <x:v>1.17803589603227e-05</x:v>
      </x:c>
      <x:c r="Q93" s="26" t="str">
        <x:v>4.866453906515744e-09</x:v>
      </x:c>
      <x:c r="R93" s="26" t="str">
        <x:v>3.175859246695723e-07</x:v>
      </x:c>
      <x:c r="S93" s="26" t="str">
        <x:v>3.529738691554485e-06</x:v>
      </x:c>
      <x:c r="T93" s="26" t="str">
        <x:v>7.107033283659803e-06</x:v>
      </x:c>
      <x:c r="U93" s="26" t="str">
        <x:v>7.274388785560859e-06</x:v>
      </x:c>
      <x:c r="V93" s="26" t="str">
        <x:v>7.190711034610331e-06</x:v>
      </x:c>
      <x:c r="W93" s="26" t="str">
        <x:v>9.355508542086e-06</x:v>
      </x:c>
      <x:c r="X93" s="26" t="str">
        <x:v>1.17803589603227e-05</x:v>
      </x:c>
      <x:c r="Y93" s="26" t="str">
        <x:v>1.17803589603227e-05</x:v>
      </x:c>
      <x:c r="Z93" s="25" t="str">
        <x:v>2022</x:v>
      </x:c>
      <x:c r="AA93" s="25" t="str">
        <x:v>AVAILABLE</x:v>
      </x:c>
      <x:c r="AB93" s="25" t="str">
        <x:v>AVAILABLE</x:v>
      </x:c>
      <x:c r="AC93" s="27" t="str">
        <x:v>Climate/temperature-linked lexical frequency; still not evidence of reception, voice, or affect without passage review.</x:v>
      </x:c>
    </x:row>
    <x:row r="94" ht="19" customHeight="1">
      <x:c r="A94" s="23" t="str">
        <x:v>FT-Q-V01-093</x:v>
      </x:c>
      <x:c r="B94" s="24" t="str">
        <x:v>vulnerable groups</x:v>
      </x:c>
      <x:c r="C94" s="24" t="str">
        <x:v>vulnerability</x:v>
      </x:c>
      <x:c r="D94" s="25" t="str">
        <x:v>harm_loss_consequences</x:v>
      </x:c>
      <x:c r="E94" s="25" t="str">
        <x:v>D</x:v>
      </x:c>
      <x:c r="F94" s="25" t="str">
        <x:v>EXECUTABLE_NGRAM</x:v>
      </x:c>
      <x:c r="G94" s="25" t="str">
        <x:v>CONTEXT_REQUIRED</x:v>
      </x:c>
      <x:c r="H94" s="25" t="str">
        <x:v>eng</x:v>
      </x:c>
      <x:c r="I94" s="25" t="str">
        <x:v>current English corpus (July 2024 dataset; public shorthand eng; mutable current corpus)</x:v>
      </x:c>
      <x:c r="J94" s="25" t="str">
        <x:v>1842</x:v>
      </x:c>
      <x:c r="K94" s="25" t="str">
        <x:v>2022</x:v>
      </x:c>
      <x:c r="L94" s="25" t="str">
        <x:v>1869</x:v>
      </x:c>
      <x:c r="M94" s="25" t="str">
        <x:v>117</x:v>
      </x:c>
      <x:c r="N94" s="25" t="str">
        <x:v>2022</x:v>
      </x:c>
      <x:c r="O94" s="26" t="str">
        <x:v>6.561656151760076e-07</x:v>
      </x:c>
      <x:c r="P94" s="26" t="str">
        <x:v>6.561656151760076e-07</x:v>
      </x:c>
      <x:c r="Q94" s="26" t="str">
        <x:v>0</x:v>
      </x:c>
      <x:c r="R94" s="26" t="str">
        <x:v>2.561554898750096e-09</x:v>
      </x:c>
      <x:c r="S94" s="26" t="str">
        <x:v>1.830589990703402e-07</x:v>
      </x:c>
      <x:c r="T94" s="26" t="str">
        <x:v>5.319378349119552e-07</x:v>
      </x:c>
      <x:c r="U94" s="26" t="str">
        <x:v>4.877135600170335e-07</x:v>
      </x:c>
      <x:c r="V94" s="26" t="str">
        <x:v>5.098256974644944e-07</x:v>
      </x:c>
      <x:c r="W94" s="26" t="str">
        <x:v>4.145763595753138e-07</x:v>
      </x:c>
      <x:c r="X94" s="26" t="str">
        <x:v>6.561656151760076e-07</x:v>
      </x:c>
      <x:c r="Y94" s="26" t="str">
        <x:v>6.561656151760076e-07</x:v>
      </x:c>
      <x:c r="Z94" s="25" t="str">
        <x:v>2022</x:v>
      </x:c>
      <x:c r="AA94" s="25" t="str">
        <x:v>AVAILABLE</x:v>
      </x:c>
      <x:c r="AB94" s="25" t="str">
        <x:v>AVAILABLE</x:v>
      </x:c>
      <x:c r="AC94" s="27" t="str">
        <x:v>Climate/temperature-linked lexical frequency; still not evidence of reception, voice, or affect without passage review.</x:v>
      </x:c>
    </x:row>
    <x:row r="95" ht="19" customHeight="1">
      <x:c r="A95" s="23" t="str">
        <x:v>FT-Q-V01-094</x:v>
      </x:c>
      <x:c r="B95" s="24" t="str">
        <x:v>loss and damage</x:v>
      </x:c>
      <x:c r="C95" s="24" t="str">
        <x:v>loss and damage</x:v>
      </x:c>
      <x:c r="D95" s="25" t="str">
        <x:v>harm_loss_consequences</x:v>
      </x:c>
      <x:c r="E95" s="25" t="str">
        <x:v>D</x:v>
      </x:c>
      <x:c r="F95" s="25" t="str">
        <x:v>EXECUTABLE_NGRAM</x:v>
      </x:c>
      <x:c r="G95" s="25" t="str">
        <x:v>CLIMATE_SPECIFIC</x:v>
      </x:c>
      <x:c r="H95" s="25" t="str">
        <x:v>eng</x:v>
      </x:c>
      <x:c r="I95" s="25" t="str">
        <x:v>current English corpus (July 2024 dataset; public shorthand eng; mutable current corpus)</x:v>
      </x:c>
      <x:c r="J95" s="25" t="str">
        <x:v>1842</x:v>
      </x:c>
      <x:c r="K95" s="25" t="str">
        <x:v>2022</x:v>
      </x:c>
      <x:c r="L95" s="25" t="str">
        <x:v>1842</x:v>
      </x:c>
      <x:c r="M95" s="25" t="str">
        <x:v>181</x:v>
      </x:c>
      <x:c r="N95" s="25" t="str">
        <x:v>1947</x:v>
      </x:c>
      <x:c r="O95" s="26" t="str">
        <x:v>1.543076207422001e-06</x:v>
      </x:c>
      <x:c r="P95" s="26" t="str">
        <x:v>1.615246781744295e-07</x:v>
      </x:c>
      <x:c r="Q95" s="26" t="str">
        <x:v>1.379619247732222e-07</x:v>
      </x:c>
      <x:c r="R95" s="26" t="str">
        <x:v>8.379211266507092e-07</x:v>
      </x:c>
      <x:c r="S95" s="26" t="str">
        <x:v>1.054715317444499e-07</x:v>
      </x:c>
      <x:c r="T95" s="26" t="str">
        <x:v>7.471193348013161e-08</x:v>
      </x:c>
      <x:c r="U95" s="26" t="str">
        <x:v>7.050587146062437e-08</x:v>
      </x:c>
      <x:c r="V95" s="26" t="str">
        <x:v>7.260890247037799e-08</x:v>
      </x:c>
      <x:c r="W95" s="26" t="str">
        <x:v>8.407788263178895e-08</x:v>
      </x:c>
      <x:c r="X95" s="26" t="str">
        <x:v>1.615246781744295e-07</x:v>
      </x:c>
      <x:c r="Y95" s="26" t="str">
        <x:v>1.615246781744295e-07</x:v>
      </x:c>
      <x:c r="Z95" s="25" t="str">
        <x:v>2022</x:v>
      </x:c>
      <x:c r="AA95" s="25" t="str">
        <x:v>AVAILABLE</x:v>
      </x:c>
      <x:c r="AB95" s="25" t="str">
        <x:v>AVAILABLE</x:v>
      </x:c>
      <x:c r="AC95" s="27" t="str">
        <x:v>Climate/temperature-linked lexical frequency; still not evidence of reception, voice, or affect without passage review.</x:v>
      </x:c>
    </x:row>
    <x:row r="96" ht="19" customHeight="1">
      <x:c r="A96" s="23" t="str">
        <x:v>FT-Q-V01-095</x:v>
      </x:c>
      <x:c r="B96" s="24" t="str">
        <x:v>extreme weather events</x:v>
      </x:c>
      <x:c r="C96" s="24" t="str">
        <x:v>generic damage</x:v>
      </x:c>
      <x:c r="D96" s="25" t="str">
        <x:v>harm_loss_consequences</x:v>
      </x:c>
      <x:c r="E96" s="25" t="str">
        <x:v>D</x:v>
      </x:c>
      <x:c r="F96" s="25" t="str">
        <x:v>EXECUTABLE_NGRAM</x:v>
      </x:c>
      <x:c r="G96" s="25" t="str">
        <x:v>CONTEXT_REQUIRED</x:v>
      </x:c>
      <x:c r="H96" s="25" t="str">
        <x:v>eng</x:v>
      </x:c>
      <x:c r="I96" s="25" t="str">
        <x:v>current English corpus (July 2024 dataset; public shorthand eng; mutable current corpus)</x:v>
      </x:c>
      <x:c r="J96" s="25" t="str">
        <x:v>1842</x:v>
      </x:c>
      <x:c r="K96" s="25" t="str">
        <x:v>2022</x:v>
      </x:c>
      <x:c r="L96" s="25" t="str">
        <x:v>1843</x:v>
      </x:c>
      <x:c r="M96" s="25" t="str">
        <x:v>85</x:v>
      </x:c>
      <x:c r="N96" s="25" t="str">
        <x:v>2022</x:v>
      </x:c>
      <x:c r="O96" s="26" t="str">
        <x:v>4.511812501384327e-07</x:v>
      </x:c>
      <x:c r="P96" s="26" t="str">
        <x:v>4.511812501384327e-07</x:v>
      </x:c>
      <x:c r="Q96" s="26" t="str">
        <x:v>0</x:v>
      </x:c>
      <x:c r="R96" s="26" t="str">
        <x:v>0</x:v>
      </x:c>
      <x:c r="S96" s="26" t="str">
        <x:v>3.405795367950049e-09</x:v>
      </x:c>
      <x:c r="T96" s="26" t="str">
        <x:v>8.521520449000786e-08</x:v>
      </x:c>
      <x:c r="U96" s="26" t="str">
        <x:v>1.065605648165047e-07</x:v>
      </x:c>
      <x:c r="V96" s="26" t="str">
        <x:v>9.588788465325626e-08</x:v>
      </x:c>
      <x:c r="W96" s="26" t="str">
        <x:v>2.641805035841216e-07</x:v>
      </x:c>
      <x:c r="X96" s="26" t="str">
        <x:v>4.511812501384327e-07</x:v>
      </x:c>
      <x:c r="Y96" s="26" t="str">
        <x:v>4.511812501384327e-07</x:v>
      </x:c>
      <x:c r="Z96" s="25" t="str">
        <x:v>2022</x:v>
      </x:c>
      <x:c r="AA96" s="25" t="str">
        <x:v>AVAILABLE</x:v>
      </x:c>
      <x:c r="AB96" s="25" t="str">
        <x:v>AVAILABLE</x:v>
      </x:c>
      <x:c r="AC96" s="27" t="str">
        <x:v>Climate/temperature-linked lexical frequency; still not evidence of reception, voice, or affect without passage review.</x:v>
      </x:c>
    </x:row>
    <x:row r="97" ht="19" customHeight="1">
      <x:c r="A97" s="23" t="str">
        <x:v>FT-Q-V01-096</x:v>
      </x:c>
      <x:c r="B97" s="24" t="str">
        <x:v>slow onset events</x:v>
      </x:c>
      <x:c r="C97" s="24" t="str">
        <x:v>generic damage</x:v>
      </x:c>
      <x:c r="D97" s="25" t="str">
        <x:v>harm_loss_consequences</x:v>
      </x:c>
      <x:c r="E97" s="25" t="str">
        <x:v>D</x:v>
      </x:c>
      <x:c r="F97" s="25" t="str">
        <x:v>EXECUTABLE_NGRAM</x:v>
      </x:c>
      <x:c r="G97" s="25" t="str">
        <x:v>CONTEXT_REQUIRED</x:v>
      </x:c>
      <x:c r="H97" s="25" t="str">
        <x:v>eng</x:v>
      </x:c>
      <x:c r="I97" s="25" t="str">
        <x:v>current English corpus (July 2024 dataset; public shorthand eng; mutable current corpus)</x:v>
      </x:c>
      <x:c r="J97" s="25" t="str">
        <x:v>1842</x:v>
      </x:c>
      <x:c r="K97" s="25" t="str">
        <x:v>2022</x:v>
      </x:c>
      <x:c r="L97" s="25" t="str">
        <x:v>1964</x:v>
      </x:c>
      <x:c r="M97" s="25" t="str">
        <x:v>25</x:v>
      </x:c>
      <x:c r="N97" s="25" t="str">
        <x:v>2021</x:v>
      </x:c>
      <x:c r="O97" s="26" t="str">
        <x:v>7.283442959860054e-09</x:v>
      </x:c>
      <x:c r="P97" s="26" t="str">
        <x:v>5.013650494767319e-09</x:v>
      </x:c>
      <x:c r="Q97" s="26" t="str">
        <x:v>0</x:v>
      </x:c>
      <x:c r="R97" s="26" t="str">
        <x:v>0</x:v>
      </x:c>
      <x:c r="S97" s="26" t="str">
        <x:v>0</x:v>
      </x:c>
      <x:c r="T97" s="26" t="str">
        <x:v>2.477186233917905e-10</x:v>
      </x:c>
      <x:c r="U97" s="26" t="str">
        <x:v>4.859122965106266e-10</x:v>
      </x:c>
      <x:c r="V97" s="26" t="str">
        <x:v>3.668154599512086e-10</x:v>
      </x:c>
      <x:c r="W97" s="26" t="str">
        <x:v>2.049460948172488e-09</x:v>
      </x:c>
      <x:c r="X97" s="26" t="str">
        <x:v>5.013650494767319e-09</x:v>
      </x:c>
      <x:c r="Y97" s="26" t="str">
        <x:v>5.013650494767319e-09</x:v>
      </x:c>
      <x:c r="Z97" s="25" t="str">
        <x:v>2022</x:v>
      </x:c>
      <x:c r="AA97" s="25" t="str">
        <x:v>AVAILABLE</x:v>
      </x:c>
      <x:c r="AB97" s="25" t="str">
        <x:v>AVAILABLE</x:v>
      </x:c>
      <x:c r="AC97" s="27" t="str">
        <x:v>Climate/temperature-linked lexical frequency; still not evidence of reception, voice, or affect without passage review.</x:v>
      </x:c>
    </x:row>
    <x:row r="98" ht="19" customHeight="1">
      <x:c r="A98" s="23" t="str">
        <x:v>FT-Q-V01-097</x:v>
      </x:c>
      <x:c r="B98" s="24" t="str">
        <x:v>risk of loss and damage</x:v>
      </x:c>
      <x:c r="C98" s="24" t="str">
        <x:v>administrative risk assessment</x:v>
      </x:c>
      <x:c r="D98" s="25" t="str">
        <x:v>risk</x:v>
      </x:c>
      <x:c r="E98" s="25" t="str">
        <x:v>D</x:v>
      </x:c>
      <x:c r="F98" s="25" t="str">
        <x:v>EXECUTABLE_NGRAM</x:v>
      </x:c>
      <x:c r="G98" s="25" t="str">
        <x:v>CONTEXT_REQUIRED</x:v>
      </x:c>
      <x:c r="H98" s="25" t="str">
        <x:v>eng</x:v>
      </x:c>
      <x:c r="I98" s="25" t="str">
        <x:v>current English corpus (July 2024 dataset; public shorthand eng; mutable current corpus)</x:v>
      </x:c>
      <x:c r="J98" s="25" t="str">
        <x:v>1842</x:v>
      </x:c>
      <x:c r="K98" s="25" t="str">
        <x:v>2022</x:v>
      </x:c>
      <x:c r="L98" s="25" t="str">
        <x:v>1842</x:v>
      </x:c>
      <x:c r="M98" s="25" t="str">
        <x:v>165</x:v>
      </x:c>
      <x:c r="N98" s="25" t="str">
        <x:v>1956</x:v>
      </x:c>
      <x:c r="O98" s="26" t="str">
        <x:v>7.821105985073018e-09</x:v>
      </x:c>
      <x:c r="P98" s="26" t="str">
        <x:v>2.065858161620637e-09</x:v>
      </x:c>
      <x:c r="Q98" s="26" t="str">
        <x:v>7.81099351865322e-10</x:v>
      </x:c>
      <x:c r="R98" s="26" t="str">
        <x:v>5.767837332748549e-09</x:v>
      </x:c>
      <x:c r="S98" s="26" t="str">
        <x:v>6.516700790104579e-10</x:v>
      </x:c>
      <x:c r="T98" s="26" t="str">
        <x:v>8.152023084351256e-10</x:v>
      </x:c>
      <x:c r="U98" s="26" t="str">
        <x:v>6.262282359337235e-10</x:v>
      </x:c>
      <x:c r="V98" s="26" t="str">
        <x:v>7.207152721844245e-10</x:v>
      </x:c>
      <x:c r="W98" s="26" t="str">
        <x:v>9.214118357192547e-10</x:v>
      </x:c>
      <x:c r="X98" s="26" t="str">
        <x:v>2.065858161620637e-09</x:v>
      </x:c>
      <x:c r="Y98" s="26" t="str">
        <x:v>2.065858161620637e-09</x:v>
      </x:c>
      <x:c r="Z98" s="25" t="str">
        <x:v>2022</x:v>
      </x:c>
      <x:c r="AA98" s="25" t="str">
        <x:v>AVAILABLE</x:v>
      </x:c>
      <x:c r="AB98" s="25" t="str">
        <x:v>AVAILABLE</x:v>
      </x:c>
      <x:c r="AC98" s="27" t="str">
        <x:v>Climate/temperature-linked lexical frequency; still not evidence of reception, voice, or affect without passage review.</x:v>
      </x:c>
    </x:row>
    <x:row r="99" ht="19" customHeight="1">
      <x:c r="A99" s="23" t="str">
        <x:v>FT-Q-V01-098</x:v>
      </x:c>
      <x:c r="B99" s="24" t="str">
        <x:v>early warning systems</x:v>
      </x:c>
      <x:c r="C99" s="24" t="str">
        <x:v>generic damage</x:v>
      </x:c>
      <x:c r="D99" s="25" t="str">
        <x:v>harm_loss_consequences</x:v>
      </x:c>
      <x:c r="E99" s="25" t="str">
        <x:v>D</x:v>
      </x:c>
      <x:c r="F99" s="25" t="str">
        <x:v>EXECUTABLE_NGRAM</x:v>
      </x:c>
      <x:c r="G99" s="25" t="str">
        <x:v>CONTEXT_REQUIRED</x:v>
      </x:c>
      <x:c r="H99" s="25" t="str">
        <x:v>eng</x:v>
      </x:c>
      <x:c r="I99" s="25" t="str">
        <x:v>current English corpus (July 2024 dataset; public shorthand eng; mutable current corpus)</x:v>
      </x:c>
      <x:c r="J99" s="25" t="str">
        <x:v>1842</x:v>
      </x:c>
      <x:c r="K99" s="25" t="str">
        <x:v>2022</x:v>
      </x:c>
      <x:c r="L99" s="25" t="str">
        <x:v>1869</x:v>
      </x:c>
      <x:c r="M99" s="25" t="str">
        <x:v>99</x:v>
      </x:c>
      <x:c r="N99" s="25" t="str">
        <x:v>2022</x:v>
      </x:c>
      <x:c r="O99" s="26" t="str">
        <x:v>2.00640613789993e-07</x:v>
      </x:c>
      <x:c r="P99" s="26" t="str">
        <x:v>2.00640613789993e-07</x:v>
      </x:c>
      <x:c r="Q99" s="26" t="str">
        <x:v>0</x:v>
      </x:c>
      <x:c r="R99" s="26" t="str">
        <x:v>0</x:v>
      </x:c>
      <x:c r="S99" s="26" t="str">
        <x:v>9.379452314828285e-08</x:v>
      </x:c>
      <x:c r="T99" s="26" t="str">
        <x:v>1.387224217164196e-07</x:v>
      </x:c>
      <x:c r="U99" s="26" t="str">
        <x:v>1.297385822940367e-07</x:v>
      </x:c>
      <x:c r="V99" s="26" t="str">
        <x:v>1.342305020052281e-07</x:v>
      </x:c>
      <x:c r="W99" s="26" t="str">
        <x:v>1.42312563317093e-07</x:v>
      </x:c>
      <x:c r="X99" s="26" t="str">
        <x:v>2.00640613789993e-07</x:v>
      </x:c>
      <x:c r="Y99" s="26" t="str">
        <x:v>2.00640613789993e-07</x:v>
      </x:c>
      <x:c r="Z99" s="25" t="str">
        <x:v>2022</x:v>
      </x:c>
      <x:c r="AA99" s="25" t="str">
        <x:v>AVAILABLE</x:v>
      </x:c>
      <x:c r="AB99" s="25" t="str">
        <x:v>AVAILABLE</x:v>
      </x:c>
      <x:c r="AC99" s="27" t="str">
        <x:v>Climate/temperature-linked lexical frequency; still not evidence of reception, voice, or affect without passage review.</x:v>
      </x:c>
    </x:row>
    <x:row r="100" ht="19" customHeight="1">
      <x:c r="A100" s="23" t="str">
        <x:v>FT-Q-V01-099</x:v>
      </x:c>
      <x:c r="B100" s="24" t="str">
        <x:v>emergency preparedness</x:v>
      </x:c>
      <x:c r="C100" s="24" t="str">
        <x:v>emergency response category</x:v>
      </x:c>
      <x:c r="D100" s="25" t="str">
        <x:v>crisis_emergency</x:v>
      </x:c>
      <x:c r="E100" s="25" t="str">
        <x:v>D</x:v>
      </x:c>
      <x:c r="F100" s="25" t="str">
        <x:v>EXECUTABLE_NGRAM</x:v>
      </x:c>
      <x:c r="G100" s="25" t="str">
        <x:v>CONTEXT_REQUIRED</x:v>
      </x:c>
      <x:c r="H100" s="25" t="str">
        <x:v>eng</x:v>
      </x:c>
      <x:c r="I100" s="25" t="str">
        <x:v>current English corpus (July 2024 dataset; public shorthand eng; mutable current corpus)</x:v>
      </x:c>
      <x:c r="J100" s="25" t="str">
        <x:v>1842</x:v>
      </x:c>
      <x:c r="K100" s="25" t="str">
        <x:v>2022</x:v>
      </x:c>
      <x:c r="L100" s="25" t="str">
        <x:v>1847</x:v>
      </x:c>
      <x:c r="M100" s="25" t="str">
        <x:v>122</x:v>
      </x:c>
      <x:c r="N100" s="25" t="str">
        <x:v>1986</x:v>
      </x:c>
      <x:c r="O100" s="26" t="str">
        <x:v>2.826408131394176e-06</x:v>
      </x:c>
      <x:c r="P100" s="26" t="str">
        <x:v>2.663239674349782e-07</x:v>
      </x:c>
      <x:c r="Q100" s="26" t="str">
        <x:v>0</x:v>
      </x:c>
      <x:c r="R100" s="26" t="str">
        <x:v>3.563902506442673e-09</x:v>
      </x:c>
      <x:c r="S100" s="26" t="str">
        <x:v>1.046481490560303e-06</x:v>
      </x:c>
      <x:c r="T100" s="26" t="str">
        <x:v>8.403235325082914e-07</x:v>
      </x:c>
      <x:c r="U100" s="26" t="str">
        <x:v>7.499652697369463e-07</x:v>
      </x:c>
      <x:c r="V100" s="26" t="str">
        <x:v>7.951444011226189e-07</x:v>
      </x:c>
      <x:c r="W100" s="26" t="str">
        <x:v>3.295314575553487e-07</x:v>
      </x:c>
      <x:c r="X100" s="26" t="str">
        <x:v>2.663239674349782e-07</x:v>
      </x:c>
      <x:c r="Y100" s="26" t="str">
        <x:v>2.663239674349782e-07</x:v>
      </x:c>
      <x:c r="Z100" s="25" t="str">
        <x:v>2022</x:v>
      </x:c>
      <x:c r="AA100" s="25" t="str">
        <x:v>AVAILABLE</x:v>
      </x:c>
      <x:c r="AB100" s="25" t="str">
        <x:v>AVAILABLE</x:v>
      </x:c>
      <x:c r="AC100" s="27" t="str">
        <x:v>Climate/temperature-linked lexical frequency; still not evidence of reception, voice, or affect without passage review.</x:v>
      </x:c>
    </x:row>
    <x:row r="101" ht="19" customHeight="1">
      <x:c r="A101" s="23" t="str">
        <x:v>FT-Q-V01-100</x:v>
      </x:c>
      <x:c r="B101" s="24" t="str">
        <x:v>irreversible and permanent loss and damage</x:v>
      </x:c>
      <x:c r="C101" s="24" t="str">
        <x:v>loss and damage</x:v>
      </x:c>
      <x:c r="D101" s="25" t="str">
        <x:v>harm_loss_consequences</x:v>
      </x:c>
      <x:c r="E101" s="25" t="str">
        <x:v>D</x:v>
      </x:c>
      <x:c r="F101" s="25" t="str">
        <x:v>EXECUTABLE_NGRAM</x:v>
      </x:c>
      <x:c r="G101" s="25" t="str">
        <x:v>CONTEXT_REQUIRED</x:v>
      </x:c>
      <x:c r="H101" s="25" t="str">
        <x:v>eng</x:v>
      </x:c>
      <x:c r="I101" s="25" t="str">
        <x:v>current English corpus (July 2024 dataset; public shorthand eng; mutable current corpus)</x:v>
      </x:c>
      <x:c r="J101" s="25" t="str">
        <x:v>1842</x:v>
      </x:c>
      <x:c r="K101" s="25" t="str">
        <x:v>2022</x:v>
      </x:c>
      <x:c r="L101" s="25" t="str">
        <x:v>2015</x:v>
      </x:c>
      <x:c r="M101" s="25" t="str">
        <x:v>8</x:v>
      </x:c>
      <x:c r="N101" s="25" t="str">
        <x:v>2021</x:v>
      </x:c>
      <x:c r="O101" s="26" t="str">
        <x:v>8.163354991985727e-10</x:v>
      </x:c>
      <x:c r="P101" s="26" t="str">
        <x:v>6.393428564344106e-10</x:v>
      </x:c>
      <x:c r="Q101" s="26" t="str">
        <x:v>0</x:v>
      </x:c>
      <x:c r="R101" s="26" t="str">
        <x:v>0</x:v>
      </x:c>
      <x:c r="S101" s="26" t="str">
        <x:v>0</x:v>
      </x:c>
      <x:c r="T101" s="26" t="str">
        <x:v>0</x:v>
      </x:c>
      <x:c r="U101" s="26" t="str">
        <x:v>0</x:v>
      </x:c>
      <x:c r="V101" s="26" t="str">
        <x:v>0</x:v>
      </x:c>
      <x:c r="W101" s="26" t="str">
        <x:v>6.163167892703214e-11</x:v>
      </x:c>
      <x:c r="X101" s="26" t="str">
        <x:v>6.393428564344106e-10</x:v>
      </x:c>
      <x:c r="Y101" s="26" t="str">
        <x:v>6.393428564344106e-10</x:v>
      </x:c>
      <x:c r="Z101" s="25" t="str">
        <x:v>2022</x:v>
      </x:c>
      <x:c r="AA101" s="25" t="str">
        <x:v>SPARSE</x:v>
      </x:c>
      <x:c r="AB101" s="25" t="str">
        <x:v>AVAILABLE</x:v>
      </x:c>
      <x:c r="AC101" s="27" t="str">
        <x:v>Climate/temperature-linked lexical frequency; still not evidence of reception, voice, or affect without passage review.</x:v>
      </x:c>
    </x:row>
    <x:row r="102" ht="19" customHeight="1">
      <x:c r="A102" s="23" t="str">
        <x:v>FT-Q-V01-101</x:v>
      </x:c>
      <x:c r="B102" s="24" t="str">
        <x:v>climate change</x:v>
      </x:c>
      <x:c r="C102" s="24" t="str">
        <x:v>modern climate change</x:v>
      </x:c>
      <x:c r="D102" s="25" t="str">
        <x:v>climate</x:v>
      </x:c>
      <x:c r="E102" s="25" t="str">
        <x:v>B</x:v>
      </x:c>
      <x:c r="F102" s="25" t="str">
        <x:v>EXECUTABLE_NGRAM</x:v>
      </x:c>
      <x:c r="G102" s="25" t="str">
        <x:v>CLIMATE_SPECIFIC</x:v>
      </x:c>
      <x:c r="H102" s="25" t="str">
        <x:v>eng</x:v>
      </x:c>
      <x:c r="I102" s="25" t="str">
        <x:v>current English corpus (July 2024 dataset; public shorthand eng; mutable current corpus)</x:v>
      </x:c>
      <x:c r="J102" s="25" t="str">
        <x:v>1842</x:v>
      </x:c>
      <x:c r="K102" s="25" t="str">
        <x:v>2022</x:v>
      </x:c>
      <x:c r="L102" s="25" t="str">
        <x:v>1842</x:v>
      </x:c>
      <x:c r="M102" s="25" t="str">
        <x:v>180</x:v>
      </x:c>
      <x:c r="N102" s="25" t="str">
        <x:v>2022</x:v>
      </x:c>
      <x:c r="O102" s="26" t="str">
        <x:v>2.890008815206735e-05</x:v>
      </x:c>
      <x:c r="P102" s="26" t="str">
        <x:v>2.890008815206735e-05</x:v>
      </x:c>
      <x:c r="Q102" s="26" t="str">
        <x:v>5.159906557583582e-09</x:v>
      </x:c>
      <x:c r="R102" s="26" t="str">
        <x:v>2.561554912627884e-09</x:v>
      </x:c>
      <x:c r="S102" s="26" t="str">
        <x:v>1.240793510930149e-06</x:v>
      </x:c>
      <x:c r="T102" s="26" t="str">
        <x:v>8.716473492563492e-06</x:v>
      </x:c>
      <x:c r="U102" s="26" t="str">
        <x:v>1.319138383155949e-05</x:v>
      </x:c>
      <x:c r="V102" s="26" t="str">
        <x:v>1.095392866206149e-05</x:v>
      </x:c>
      <x:c r="W102" s="26" t="str">
        <x:v>1.967096413684616e-05</x:v>
      </x:c>
      <x:c r="X102" s="26" t="str">
        <x:v>2.890008815206735e-05</x:v>
      </x:c>
      <x:c r="Y102" s="26" t="str">
        <x:v>2.890008815206735e-05</x:v>
      </x:c>
      <x:c r="Z102" s="25" t="str">
        <x:v>2022</x:v>
      </x:c>
      <x:c r="AA102" s="25" t="str">
        <x:v>AVAILABLE</x:v>
      </x:c>
      <x:c r="AB102" s="25" t="str">
        <x:v>AVAILABLE</x:v>
      </x:c>
      <x:c r="AC102" s="27" t="str">
        <x:v>Climate/temperature-linked lexical frequency; still not evidence of reception, voice, or affect without passage review.</x:v>
      </x:c>
    </x:row>
    <x:row r="103" ht="19" customHeight="1">
      <x:c r="A103" s="23" t="str">
        <x:v>FT-Q-V01-102</x:v>
      </x:c>
      <x:c r="B103" s="24" t="str">
        <x:v>global warming</x:v>
      </x:c>
      <x:c r="C103" s="24" t="str">
        <x:v>global warming as issue label</x:v>
      </x:c>
      <x:c r="D103" s="25" t="str">
        <x:v>warming</x:v>
      </x:c>
      <x:c r="E103" s="25" t="str">
        <x:v>A</x:v>
      </x:c>
      <x:c r="F103" s="25" t="str">
        <x:v>EXECUTABLE_NGRAM</x:v>
      </x:c>
      <x:c r="G103" s="25" t="str">
        <x:v>CLIMATE_SPECIFIC</x:v>
      </x:c>
      <x:c r="H103" s="25" t="str">
        <x:v>eng</x:v>
      </x:c>
      <x:c r="I103" s="25" t="str">
        <x:v>current English corpus (July 2024 dataset; public shorthand eng; mutable current corpus)</x:v>
      </x:c>
      <x:c r="J103" s="25" t="str">
        <x:v>1842</x:v>
      </x:c>
      <x:c r="K103" s="25" t="str">
        <x:v>2022</x:v>
      </x:c>
      <x:c r="L103" s="25" t="str">
        <x:v>1843</x:v>
      </x:c>
      <x:c r="M103" s="25" t="str">
        <x:v>138</x:v>
      </x:c>
      <x:c r="N103" s="25" t="str">
        <x:v>2009</x:v>
      </x:c>
      <x:c r="O103" s="26" t="str">
        <x:v>5.445639571555194e-06</x:v>
      </x:c>
      <x:c r="P103" s="26" t="str">
        <x:v>3.963670369644401e-06</x:v>
      </x:c>
      <x:c r="Q103" s="26" t="str">
        <x:v>0</x:v>
      </x:c>
      <x:c r="R103" s="26" t="str">
        <x:v>2.00469511824064e-09</x:v>
      </x:c>
      <x:c r="S103" s="26" t="str">
        <x:v>6.400895369296222e-07</x:v>
      </x:c>
      <x:c r="T103" s="26" t="str">
        <x:v>3.39393631278162e-06</x:v>
      </x:c>
      <x:c r="U103" s="26" t="str">
        <x:v>4.96164442403968e-06</x:v>
      </x:c>
      <x:c r="V103" s="26" t="str">
        <x:v>4.17779036841065e-06</x:v>
      </x:c>
      <x:c r="W103" s="26" t="str">
        <x:v>3.293586607857474e-06</x:v>
      </x:c>
      <x:c r="X103" s="26" t="str">
        <x:v>3.963670369644401e-06</x:v>
      </x:c>
      <x:c r="Y103" s="26" t="str">
        <x:v>3.963670369644401e-06</x:v>
      </x:c>
      <x:c r="Z103" s="25" t="str">
        <x:v>2022</x:v>
      </x:c>
      <x:c r="AA103" s="25" t="str">
        <x:v>AVAILABLE</x:v>
      </x:c>
      <x:c r="AB103" s="25" t="str">
        <x:v>AVAILABLE</x:v>
      </x:c>
      <x:c r="AC103" s="27" t="str">
        <x:v>Climate/temperature-linked lexical frequency; still not evidence of reception, voice, or affect without passage review.</x:v>
      </x:c>
    </x:row>
    <x:row r="104" ht="19" customHeight="1">
      <x:c r="A104" s="23" t="str">
        <x:v>FT-Q-V01-103</x:v>
      </x:c>
      <x:c r="B104" s="24" t="str">
        <x:v>very worried</x:v>
      </x:c>
      <x:c r="C104" s="24" t="str">
        <x:v>participant worry endorsement</x:v>
      </x:c>
      <x:c r="D104" s="25" t="str">
        <x:v>worry</x:v>
      </x:c>
      <x:c r="E104" s="25" t="str">
        <x:v>C</x:v>
      </x:c>
      <x:c r="F104" s="25" t="str">
        <x:v>EXECUTABLE_NGRAM</x:v>
      </x:c>
      <x:c r="G104" s="25" t="str">
        <x:v>CONTEXT_REQUIRED</x:v>
      </x:c>
      <x:c r="H104" s="25" t="str">
        <x:v>eng</x:v>
      </x:c>
      <x:c r="I104" s="25" t="str">
        <x:v>current English corpus (July 2024 dataset; public shorthand eng; mutable current corpus)</x:v>
      </x:c>
      <x:c r="J104" s="25" t="str">
        <x:v>1842</x:v>
      </x:c>
      <x:c r="K104" s="25" t="str">
        <x:v>2022</x:v>
      </x:c>
      <x:c r="L104" s="25" t="str">
        <x:v>1843</x:v>
      </x:c>
      <x:c r="M104" s="25" t="str">
        <x:v>167</x:v>
      </x:c>
      <x:c r="N104" s="25" t="str">
        <x:v>2020</x:v>
      </x:c>
      <x:c r="O104" s="26" t="str">
        <x:v>1.237675283025097e-06</x:v>
      </x:c>
      <x:c r="P104" s="26" t="str">
        <x:v>3.79268325273463e-07</x:v>
      </x:c>
      <x:c r="Q104" s="26" t="str">
        <x:v>0</x:v>
      </x:c>
      <x:c r="R104" s="26" t="str">
        <x:v>5.757930103544862e-08</x:v>
      </x:c>
      <x:c r="S104" s="26" t="str">
        <x:v>1.573942034760467e-07</x:v>
      </x:c>
      <x:c r="T104" s="26" t="str">
        <x:v>2.430551577989326e-07</x:v>
      </x:c>
      <x:c r="U104" s="26" t="str">
        <x:v>2.654000055557493e-07</x:v>
      </x:c>
      <x:c r="V104" s="26" t="str">
        <x:v>2.542275816773409e-07</x:v>
      </x:c>
      <x:c r="W104" s="26" t="str">
        <x:v>4.244305496919898e-07</x:v>
      </x:c>
      <x:c r="X104" s="26" t="str">
        <x:v>3.79268325273463e-07</x:v>
      </x:c>
      <x:c r="Y104" s="26" t="str">
        <x:v>3.79268325273463e-07</x:v>
      </x:c>
      <x:c r="Z104" s="25" t="str">
        <x:v>2022</x:v>
      </x:c>
      <x:c r="AA104" s="25" t="str">
        <x:v>AVAILABLE</x:v>
      </x:c>
      <x:c r="AB104" s="25" t="str">
        <x:v>AVAILABLE</x:v>
      </x:c>
      <x:c r="AC104" s="27" t="str">
        <x:v>Climate/temperature-linked lexical frequency; still not evidence of reception, voice, or affect without passage review.</x:v>
      </x:c>
    </x:row>
    <x:row r="105" ht="19" customHeight="1">
      <x:c r="A105" s="23" t="str">
        <x:v>FT-Q-V01-104</x:v>
      </x:c>
      <x:c r="B105" s="24" t="str">
        <x:v>somewhat worried</x:v>
      </x:c>
      <x:c r="C105" s="24" t="str">
        <x:v>participant worry endorsement</x:v>
      </x:c>
      <x:c r="D105" s="25" t="str">
        <x:v>worry</x:v>
      </x:c>
      <x:c r="E105" s="25" t="str">
        <x:v>C</x:v>
      </x:c>
      <x:c r="F105" s="25" t="str">
        <x:v>EXECUTABLE_NGRAM</x:v>
      </x:c>
      <x:c r="G105" s="25" t="str">
        <x:v>CONTEXT_REQUIRED</x:v>
      </x:c>
      <x:c r="H105" s="25" t="str">
        <x:v>eng</x:v>
      </x:c>
      <x:c r="I105" s="25" t="str">
        <x:v>current English corpus (July 2024 dataset; public shorthand eng; mutable current corpus)</x:v>
      </x:c>
      <x:c r="J105" s="25" t="str">
        <x:v>1842</x:v>
      </x:c>
      <x:c r="K105" s="25" t="str">
        <x:v>2022</x:v>
      </x:c>
      <x:c r="L105" s="25" t="str">
        <x:v>1842</x:v>
      </x:c>
      <x:c r="M105" s="25" t="str">
        <x:v>172</x:v>
      </x:c>
      <x:c r="N105" s="25" t="str">
        <x:v>2020</x:v>
      </x:c>
      <x:c r="O105" s="26" t="str">
        <x:v>1.002190667918901e-07</x:v>
      </x:c>
      <x:c r="P105" s="26" t="str">
        <x:v>1.698810697670083e-08</x:v>
      </x:c>
      <x:c r="Q105" s="26" t="str">
        <x:v>1.289976681029259e-09</x:v>
      </x:c>
      <x:c r="R105" s="26" t="str">
        <x:v>1.046896380696438e-08</x:v>
      </x:c>
      <x:c r="S105" s="26" t="str">
        <x:v>8.686541097535638e-09</x:v>
      </x:c>
      <x:c r="T105" s="26" t="str">
        <x:v>1.190324738775672e-08</x:v>
      </x:c>
      <x:c r="U105" s="26" t="str">
        <x:v>1.241321874456691e-08</x:v>
      </x:c>
      <x:c r="V105" s="26" t="str">
        <x:v>1.215823306616182e-08</x:v>
      </x:c>
      <x:c r="W105" s="26" t="str">
        <x:v>1.569197416104173e-08</x:v>
      </x:c>
      <x:c r="X105" s="26" t="str">
        <x:v>1.698810697670083e-08</x:v>
      </x:c>
      <x:c r="Y105" s="26" t="str">
        <x:v>1.698810697670083e-08</x:v>
      </x:c>
      <x:c r="Z105" s="25" t="str">
        <x:v>2022</x:v>
      </x:c>
      <x:c r="AA105" s="25" t="str">
        <x:v>AVAILABLE</x:v>
      </x:c>
      <x:c r="AB105" s="25" t="str">
        <x:v>AVAILABLE</x:v>
      </x:c>
      <x:c r="AC105" s="27" t="str">
        <x:v>Climate/temperature-linked lexical frequency; still not evidence of reception, voice, or affect without passage review.</x:v>
      </x:c>
    </x:row>
    <x:row r="106" ht="19" customHeight="1">
      <x:c r="A106" s="23" t="str">
        <x:v>FT-Q-V01-105</x:v>
      </x:c>
      <x:c r="B106" s="24" t="str">
        <x:v>afraid</x:v>
      </x:c>
      <x:c r="C106" s="24" t="str">
        <x:v>participant afraid endorsement</x:v>
      </x:c>
      <x:c r="D106" s="25" t="str">
        <x:v>fear_afraid</x:v>
      </x:c>
      <x:c r="E106" s="25" t="str">
        <x:v>C</x:v>
      </x:c>
      <x:c r="F106" s="25" t="str">
        <x:v>BACKGROUND_AMBIGUOUS</x:v>
      </x:c>
      <x:c r="G106" s="25" t="str">
        <x:v>BACKGROUND_AMBIGUOUS</x:v>
      </x:c>
      <x:c r="H106" s="25" t="str">
        <x:v>eng</x:v>
      </x:c>
      <x:c r="I106" s="25" t="str">
        <x:v>current English corpus (July 2024 dataset; public shorthand eng; mutable current corpus)</x:v>
      </x:c>
      <x:c r="J106" s="25" t="str">
        <x:v>1842</x:v>
      </x:c>
      <x:c r="K106" s="25" t="str">
        <x:v>2022</x:v>
      </x:c>
      <x:c r="L106" s="25" t="str">
        <x:v>1842</x:v>
      </x:c>
      <x:c r="M106" s="25" t="str">
        <x:v>181</x:v>
      </x:c>
      <x:c r="N106" s="25" t="str">
        <x:v>2020</x:v>
      </x:c>
      <x:c r="O106" s="26" t="str">
        <x:v>7.990909915633893e-05</x:v>
      </x:c>
      <x:c r="P106" s="26" t="str">
        <x:v>4.233809789883428e-05</x:v>
      </x:c>
      <x:c r="Q106" s="26" t="str">
        <x:v>2.212168256576774e-05</x:v>
      </x:c>
      <x:c r="R106" s="26" t="str">
        <x:v>1.400559003883473e-05</x:v>
      </x:c>
      <x:c r="S106" s="26" t="str">
        <x:v>1.09846374348882e-05</x:v>
      </x:c>
      <x:c r="T106" s="26" t="str">
        <x:v>1.976880774634537e-05</x:v>
      </x:c>
      <x:c r="U106" s="26" t="str">
        <x:v>2.159649101456107e-05</x:v>
      </x:c>
      <x:c r="V106" s="26" t="str">
        <x:v>2.068264938045322e-05</x:v>
      </x:c>
      <x:c r="W106" s="26" t="str">
        <x:v>4.288384451456295e-05</x:v>
      </x:c>
      <x:c r="X106" s="26" t="str">
        <x:v>4.233809789883428e-05</x:v>
      </x:c>
      <x:c r="Y106" s="26" t="str">
        <x:v>4.233809789883428e-05</x:v>
      </x:c>
      <x:c r="Z106" s="25" t="str">
        <x:v>2022</x:v>
      </x:c>
      <x:c r="AA106" s="25" t="str">
        <x:v>AVAILABLE</x:v>
      </x:c>
      <x:c r="AB106" s="25" t="str">
        <x:v>AVAILABLE</x:v>
      </x:c>
      <x:c r="AC106" s="27" t="str">
        <x:v>Generic corpus string frequency; not climate-specific semantic frequency.</x:v>
      </x:c>
    </x:row>
    <x:row r="107" ht="19" customHeight="1">
      <x:c r="A107" s="23" t="str">
        <x:v>FT-Q-V01-106</x:v>
      </x:c>
      <x:c r="B107" s="24" t="str">
        <x:v>anxious</x:v>
      </x:c>
      <x:c r="C107" s="24" t="str">
        <x:v>anxious affect</x:v>
      </x:c>
      <x:c r="D107" s="25" t="str">
        <x:v>anxiety</x:v>
      </x:c>
      <x:c r="E107" s="25" t="str">
        <x:v>C</x:v>
      </x:c>
      <x:c r="F107" s="25" t="str">
        <x:v>EXECUTABLE_NGRAM</x:v>
      </x:c>
      <x:c r="G107" s="25" t="str">
        <x:v>CONTEXT_REQUIRED</x:v>
      </x:c>
      <x:c r="H107" s="25" t="str">
        <x:v>eng</x:v>
      </x:c>
      <x:c r="I107" s="25" t="str">
        <x:v>current English corpus (July 2024 dataset; public shorthand eng; mutable current corpus)</x:v>
      </x:c>
      <x:c r="J107" s="25" t="str">
        <x:v>1842</x:v>
      </x:c>
      <x:c r="K107" s="25" t="str">
        <x:v>2022</x:v>
      </x:c>
      <x:c r="L107" s="25" t="str">
        <x:v>1842</x:v>
      </x:c>
      <x:c r="M107" s="25" t="str">
        <x:v>181</x:v>
      </x:c>
      <x:c r="N107" s="25" t="str">
        <x:v>1844</x:v>
      </x:c>
      <x:c r="O107" s="26" t="str">
        <x:v>4.193757599324499e-05</x:v>
      </x:c>
      <x:c r="P107" s="26" t="str">
        <x:v>1.753054791498593e-05</x:v>
      </x:c>
      <x:c r="Q107" s="26" t="str">
        <x:v>3.869925836497146e-05</x:v>
      </x:c>
      <x:c r="R107" s="26" t="str">
        <x:v>1.130616075784019e-05</x:v>
      </x:c>
      <x:c r="S107" s="26" t="str">
        <x:v>6.107358935025786e-06</x:v>
      </x:c>
      <x:c r="T107" s="26" t="str">
        <x:v>8.508186313434252e-06</x:v>
      </x:c>
      <x:c r="U107" s="26" t="str">
        <x:v>9.368124114672582e-06</x:v>
      </x:c>
      <x:c r="V107" s="26" t="str">
        <x:v>8.938155214053417e-06</x:v>
      </x:c>
      <x:c r="W107" s="26" t="str">
        <x:v>1.482205210834309e-05</x:v>
      </x:c>
      <x:c r="X107" s="26" t="str">
        <x:v>1.753054791498593e-05</x:v>
      </x:c>
      <x:c r="Y107" s="26" t="str">
        <x:v>1.753054791498593e-05</x:v>
      </x:c>
      <x:c r="Z107" s="25" t="str">
        <x:v>2022</x:v>
      </x:c>
      <x:c r="AA107" s="25" t="str">
        <x:v>AVAILABLE</x:v>
      </x:c>
      <x:c r="AB107" s="25" t="str">
        <x:v>AVAILABLE</x:v>
      </x:c>
      <x:c r="AC107" s="27" t="str">
        <x:v>Climate/temperature-linked lexical frequency; still not evidence of reception, voice, or affect without passage review.</x:v>
      </x:c>
    </x:row>
    <x:row r="108" ht="19" customHeight="1">
      <x:c r="A108" s="23" t="str">
        <x:v>FT-Q-V01-107</x:v>
      </x:c>
      <x:c r="B108" s="24" t="str">
        <x:v>hopeless</x:v>
      </x:c>
      <x:c r="C108" s="24" t="str">
        <x:v>depressed affect</x:v>
      </x:c>
      <x:c r="D108" s="25" t="str">
        <x:v>distress_depression</x:v>
      </x:c>
      <x:c r="E108" s="25" t="str">
        <x:v>C</x:v>
      </x:c>
      <x:c r="F108" s="25" t="str">
        <x:v>EXECUTABLE_NGRAM</x:v>
      </x:c>
      <x:c r="G108" s="25" t="str">
        <x:v>CONTEXT_REQUIRED</x:v>
      </x:c>
      <x:c r="H108" s="25" t="str">
        <x:v>eng</x:v>
      </x:c>
      <x:c r="I108" s="25" t="str">
        <x:v>current English corpus (July 2024 dataset; public shorthand eng; mutable current corpus)</x:v>
      </x:c>
      <x:c r="J108" s="25" t="str">
        <x:v>1842</x:v>
      </x:c>
      <x:c r="K108" s="25" t="str">
        <x:v>2022</x:v>
      </x:c>
      <x:c r="L108" s="25" t="str">
        <x:v>1842</x:v>
      </x:c>
      <x:c r="M108" s="25" t="str">
        <x:v>181</x:v>
      </x:c>
      <x:c r="N108" s="25" t="str">
        <x:v>1848</x:v>
      </x:c>
      <x:c r="O108" s="26" t="str">
        <x:v>8.843983238193687e-06</x:v>
      </x:c>
      <x:c r="P108" s="26" t="str">
        <x:v>4.716772487256549e-06</x:v>
      </x:c>
      <x:c r="Q108" s="26" t="str">
        <x:v>7.749827982905799e-06</x:v>
      </x:c>
      <x:c r="R108" s="26" t="str">
        <x:v>3.078077401852397e-06</x:v>
      </x:c>
      <x:c r="S108" s="26" t="str">
        <x:v>1.574195990450278e-06</x:v>
      </x:c>
      <x:c r="T108" s="26" t="str">
        <x:v>2.366883613547088e-06</x:v>
      </x:c>
      <x:c r="U108" s="26" t="str">
        <x:v>2.603596225725369e-06</x:v>
      </x:c>
      <x:c r="V108" s="26" t="str">
        <x:v>2.485239919636228e-06</x:v>
      </x:c>
      <x:c r="W108" s="26" t="str">
        <x:v>4.200327168746298e-06</x:v>
      </x:c>
      <x:c r="X108" s="26" t="str">
        <x:v>4.716772487256549e-06</x:v>
      </x:c>
      <x:c r="Y108" s="26" t="str">
        <x:v>4.716772487256549e-06</x:v>
      </x:c>
      <x:c r="Z108" s="25" t="str">
        <x:v>2022</x:v>
      </x:c>
      <x:c r="AA108" s="25" t="str">
        <x:v>AVAILABLE</x:v>
      </x:c>
      <x:c r="AB108" s="25" t="str">
        <x:v>AVAILABLE</x:v>
      </x:c>
      <x:c r="AC108" s="27" t="str">
        <x:v>Climate/temperature-linked lexical frequency; still not evidence of reception, voice, or affect without passage review.</x:v>
      </x:c>
    </x:row>
    <x:row r="109" ht="19" customHeight="1">
      <x:c r="A109" s="23" t="str">
        <x:v>FT-Q-V01-108</x:v>
      </x:c>
      <x:c r="B109" s="24" t="str">
        <x:v>sad</x:v>
      </x:c>
      <x:c r="C109" s="24" t="str">
        <x:v>depressed affect</x:v>
      </x:c>
      <x:c r="D109" s="25" t="str">
        <x:v>distress_depression</x:v>
      </x:c>
      <x:c r="E109" s="25" t="str">
        <x:v>C</x:v>
      </x:c>
      <x:c r="F109" s="25" t="str">
        <x:v>EXECUTABLE_NGRAM</x:v>
      </x:c>
      <x:c r="G109" s="25" t="str">
        <x:v>CONTEXT_REQUIRED</x:v>
      </x:c>
      <x:c r="H109" s="25" t="str">
        <x:v>eng</x:v>
      </x:c>
      <x:c r="I109" s="25" t="str">
        <x:v>current English corpus (July 2024 dataset; public shorthand eng; mutable current corpus)</x:v>
      </x:c>
      <x:c r="J109" s="25" t="str">
        <x:v>1842</x:v>
      </x:c>
      <x:c r="K109" s="25" t="str">
        <x:v>2022</x:v>
      </x:c>
      <x:c r="L109" s="25" t="str">
        <x:v>1842</x:v>
      </x:c>
      <x:c r="M109" s="25" t="str">
        <x:v>181</x:v>
      </x:c>
      <x:c r="N109" s="25" t="str">
        <x:v>1850</x:v>
      </x:c>
      <x:c r="O109" s="26" t="str">
        <x:v>3.509316660199602e-05</x:v>
      </x:c>
      <x:c r="P109" s="26" t="str">
        <x:v>2.540873449891415e-05</x:v>
      </x:c>
      <x:c r="Q109" s="26" t="str">
        <x:v>2.810681350240429e-05</x:v>
      </x:c>
      <x:c r="R109" s="26" t="str">
        <x:v>7.116686279312612e-06</x:v>
      </x:c>
      <x:c r="S109" s="26" t="str">
        <x:v>7.082451503964693e-06</x:v>
      </x:c>
      <x:c r="T109" s="26" t="str">
        <x:v>1.270232452813339e-05</x:v>
      </x:c>
      <x:c r="U109" s="26" t="str">
        <x:v>1.357899595096079e-05</x:v>
      </x:c>
      <x:c r="V109" s="26" t="str">
        <x:v>1.314066023954709e-05</x:v>
      </x:c>
      <x:c r="W109" s="26" t="str">
        <x:v>2.244314198969477e-05</x:v>
      </x:c>
      <x:c r="X109" s="26" t="str">
        <x:v>2.540873449891415e-05</x:v>
      </x:c>
      <x:c r="Y109" s="26" t="str">
        <x:v>2.540873449891415e-05</x:v>
      </x:c>
      <x:c r="Z109" s="25" t="str">
        <x:v>2022</x:v>
      </x:c>
      <x:c r="AA109" s="25" t="str">
        <x:v>AVAILABLE</x:v>
      </x:c>
      <x:c r="AB109" s="25" t="str">
        <x:v>AVAILABLE</x:v>
      </x:c>
      <x:c r="AC109" s="27" t="str">
        <x:v>Climate/temperature-linked lexical frequency; still not evidence of reception, voice, or affect without passage review.</x:v>
      </x:c>
    </x:row>
    <x:row r="110" ht="19" customHeight="1">
      <x:c r="A110" s="23" t="str">
        <x:v>FT-Q-V01-109</x:v>
      </x:c>
      <x:c r="B110" s="24" t="str">
        <x:v>angry</x:v>
      </x:c>
      <x:c r="C110" s="24" t="str">
        <x:v>depressed affect</x:v>
      </x:c>
      <x:c r="D110" s="25" t="str">
        <x:v>distress_depression</x:v>
      </x:c>
      <x:c r="E110" s="25" t="str">
        <x:v>C</x:v>
      </x:c>
      <x:c r="F110" s="25" t="str">
        <x:v>EXECUTABLE_NGRAM</x:v>
      </x:c>
      <x:c r="G110" s="25" t="str">
        <x:v>CONTEXT_REQUIRED</x:v>
      </x:c>
      <x:c r="H110" s="25" t="str">
        <x:v>eng</x:v>
      </x:c>
      <x:c r="I110" s="25" t="str">
        <x:v>current English corpus (July 2024 dataset; public shorthand eng; mutable current corpus)</x:v>
      </x:c>
      <x:c r="J110" s="25" t="str">
        <x:v>1842</x:v>
      </x:c>
      <x:c r="K110" s="25" t="str">
        <x:v>2022</x:v>
      </x:c>
      <x:c r="L110" s="25" t="str">
        <x:v>1842</x:v>
      </x:c>
      <x:c r="M110" s="25" t="str">
        <x:v>181</x:v>
      </x:c>
      <x:c r="N110" s="25" t="str">
        <x:v>2020</x:v>
      </x:c>
      <x:c r="O110" s="26" t="str">
        <x:v>5.484382637632734e-05</x:v>
      </x:c>
      <x:c r="P110" s="26" t="str">
        <x:v>3.134844381236235e-05</x:v>
      </x:c>
      <x:c r="Q110" s="26" t="str">
        <x:v>1.486580042708852e-05</x:v>
      </x:c>
      <x:c r="R110" s="26" t="str">
        <x:v>4.559940654402794e-06</x:v>
      </x:c>
      <x:c r="S110" s="26" t="str">
        <x:v>7.51778329544095e-06</x:v>
      </x:c>
      <x:c r="T110" s="26" t="str">
        <x:v>1.53830203544203e-05</x:v>
      </x:c>
      <x:c r="U110" s="26" t="str">
        <x:v>1.647590850950564e-05</x:v>
      </x:c>
      <x:c r="V110" s="26" t="str">
        <x:v>1.592946443196297e-05</x:v>
      </x:c>
      <x:c r="W110" s="26" t="str">
        <x:v>3.206412924328106e-05</x:v>
      </x:c>
      <x:c r="X110" s="26" t="str">
        <x:v>3.134844381236235e-05</x:v>
      </x:c>
      <x:c r="Y110" s="26" t="str">
        <x:v>3.134844381236235e-05</x:v>
      </x:c>
      <x:c r="Z110" s="25" t="str">
        <x:v>2022</x:v>
      </x:c>
      <x:c r="AA110" s="25" t="str">
        <x:v>AVAILABLE</x:v>
      </x:c>
      <x:c r="AB110" s="25" t="str">
        <x:v>AVAILABLE</x:v>
      </x:c>
      <x:c r="AC110" s="27" t="str">
        <x:v>Climate/temperature-linked lexical frequency; still not evidence of reception, voice, or affect without passage review.</x:v>
      </x:c>
    </x:row>
    <x:row r="111" ht="19" customHeight="1">
      <x:c r="A111" s="23" t="str">
        <x:v>FT-Q-V01-110</x:v>
      </x:c>
      <x:c r="B111" s="24" t="str">
        <x:v>frustrated</x:v>
      </x:c>
      <x:c r="C111" s="24" t="str">
        <x:v>depressed affect</x:v>
      </x:c>
      <x:c r="D111" s="25" t="str">
        <x:v>distress_depression</x:v>
      </x:c>
      <x:c r="E111" s="25" t="str">
        <x:v>C</x:v>
      </x:c>
      <x:c r="F111" s="25" t="str">
        <x:v>EXECUTABLE_NGRAM</x:v>
      </x:c>
      <x:c r="G111" s="25" t="str">
        <x:v>CONTEXT_REQUIRED</x:v>
      </x:c>
      <x:c r="H111" s="25" t="str">
        <x:v>eng</x:v>
      </x:c>
      <x:c r="I111" s="25" t="str">
        <x:v>current English corpus (July 2024 dataset; public shorthand eng; mutable current corpus)</x:v>
      </x:c>
      <x:c r="J111" s="25" t="str">
        <x:v>1842</x:v>
      </x:c>
      <x:c r="K111" s="25" t="str">
        <x:v>2022</x:v>
      </x:c>
      <x:c r="L111" s="25" t="str">
        <x:v>1842</x:v>
      </x:c>
      <x:c r="M111" s="25" t="str">
        <x:v>181</x:v>
      </x:c>
      <x:c r="N111" s="25" t="str">
        <x:v>2015</x:v>
      </x:c>
      <x:c r="O111" s="26" t="str">
        <x:v>8.185089514611832e-06</x:v>
      </x:c>
      <x:c r="P111" s="26" t="str">
        <x:v>7.597455986996238e-06</x:v>
      </x:c>
      <x:c r="Q111" s="26" t="str">
        <x:v>2.472158670219216e-06</x:v>
      </x:c>
      <x:c r="R111" s="26" t="str">
        <x:v>9.431432204110024e-07</x:v>
      </x:c>
      <x:c r="S111" s="26" t="str">
        <x:v>3.289961124863794e-06</x:v>
      </x:c>
      <x:c r="T111" s="26" t="str">
        <x:v>5.059109890126479e-06</x:v>
      </x:c>
      <x:c r="U111" s="26" t="str">
        <x:v>5.217783510147456e-06</x:v>
      </x:c>
      <x:c r="V111" s="26" t="str">
        <x:v>5.138446700136967e-06</x:v>
      </x:c>
      <x:c r="W111" s="26" t="str">
        <x:v>8.185089514611832e-06</x:v>
      </x:c>
      <x:c r="X111" s="26" t="str">
        <x:v>7.597455986996238e-06</x:v>
      </x:c>
      <x:c r="Y111" s="26" t="str">
        <x:v>7.597455986996238e-06</x:v>
      </x:c>
      <x:c r="Z111" s="25" t="str">
        <x:v>2022</x:v>
      </x:c>
      <x:c r="AA111" s="25" t="str">
        <x:v>AVAILABLE</x:v>
      </x:c>
      <x:c r="AB111" s="25" t="str">
        <x:v>AVAILABLE</x:v>
      </x:c>
      <x:c r="AC111" s="27" t="str">
        <x:v>Climate/temperature-linked lexical frequency; still not evidence of reception, voice, or affect without passage review.</x:v>
      </x:c>
    </x:row>
    <x:row r="112" ht="19" customHeight="1">
      <x:c r="A112" s="23" t="str">
        <x:v>FT-Q-V01-111</x:v>
      </x:c>
      <x:c r="B112" s="24" t="str">
        <x:v>hopeful</x:v>
      </x:c>
      <x:c r="C112" s="24" t="str">
        <x:v>personal concern</x:v>
      </x:c>
      <x:c r="D112" s="25" t="str">
        <x:v>concern_alarm</x:v>
      </x:c>
      <x:c r="E112" s="25" t="str">
        <x:v>C</x:v>
      </x:c>
      <x:c r="F112" s="25" t="str">
        <x:v>EXECUTABLE_NGRAM</x:v>
      </x:c>
      <x:c r="G112" s="25" t="str">
        <x:v>CONTEXT_REQUIRED</x:v>
      </x:c>
      <x:c r="H112" s="25" t="str">
        <x:v>eng</x:v>
      </x:c>
      <x:c r="I112" s="25" t="str">
        <x:v>current English corpus (July 2024 dataset; public shorthand eng; mutable current corpus)</x:v>
      </x:c>
      <x:c r="J112" s="25" t="str">
        <x:v>1842</x:v>
      </x:c>
      <x:c r="K112" s="25" t="str">
        <x:v>2022</x:v>
      </x:c>
      <x:c r="L112" s="25" t="str">
        <x:v>1842</x:v>
      </x:c>
      <x:c r="M112" s="25" t="str">
        <x:v>181</x:v>
      </x:c>
      <x:c r="N112" s="25" t="str">
        <x:v>1862</x:v>
      </x:c>
      <x:c r="O112" s="26" t="str">
        <x:v>5.405065621744143e-06</x:v>
      </x:c>
      <x:c r="P112" s="26" t="str">
        <x:v>4.994718922901598e-06</x:v>
      </x:c>
      <x:c r="Q112" s="26" t="str">
        <x:v>2.357188563451018e-06</x:v>
      </x:c>
      <x:c r="R112" s="26" t="str">
        <x:v>3.194065403278046e-06</x:v>
      </x:c>
      <x:c r="S112" s="26" t="str">
        <x:v>2.021741480007222e-06</x:v>
      </x:c>
      <x:c r="T112" s="26" t="str">
        <x:v>2.639803955872821e-06</x:v>
      </x:c>
      <x:c r="U112" s="26" t="str">
        <x:v>2.804317349003327e-06</x:v>
      </x:c>
      <x:c r="V112" s="26" t="str">
        <x:v>2.722060652438074e-06</x:v>
      </x:c>
      <x:c r="W112" s="26" t="str">
        <x:v>4.381402916919797e-06</x:v>
      </x:c>
      <x:c r="X112" s="26" t="str">
        <x:v>4.994718922901598e-06</x:v>
      </x:c>
      <x:c r="Y112" s="26" t="str">
        <x:v>4.994718922901598e-06</x:v>
      </x:c>
      <x:c r="Z112" s="25" t="str">
        <x:v>2022</x:v>
      </x:c>
      <x:c r="AA112" s="25" t="str">
        <x:v>AVAILABLE</x:v>
      </x:c>
      <x:c r="AB112" s="25" t="str">
        <x:v>AVAILABLE</x:v>
      </x:c>
      <x:c r="AC112" s="27" t="str">
        <x:v>Climate/temperature-linked lexical frequency; still not evidence of reception, voice, or affect without passage review.</x:v>
      </x:c>
    </x:row>
    <x:row r="113" ht="19" customHeight="1">
      <x:c r="A113" s="23" t="str">
        <x:v>FT-Q-V01-112</x:v>
      </x:c>
      <x:c r="B113" s="24" t="str">
        <x:v>disgusted</x:v>
      </x:c>
      <x:c r="C113" s="24" t="str">
        <x:v>depressed affect</x:v>
      </x:c>
      <x:c r="D113" s="25" t="str">
        <x:v>distress_depression</x:v>
      </x:c>
      <x:c r="E113" s="25" t="str">
        <x:v>C</x:v>
      </x:c>
      <x:c r="F113" s="25" t="str">
        <x:v>EXECUTABLE_NGRAM</x:v>
      </x:c>
      <x:c r="G113" s="25" t="str">
        <x:v>CONTEXT_REQUIRED</x:v>
      </x:c>
      <x:c r="H113" s="25" t="str">
        <x:v>eng</x:v>
      </x:c>
      <x:c r="I113" s="25" t="str">
        <x:v>current English corpus (July 2024 dataset; public shorthand eng; mutable current corpus)</x:v>
      </x:c>
      <x:c r="J113" s="25" t="str">
        <x:v>1842</x:v>
      </x:c>
      <x:c r="K113" s="25" t="str">
        <x:v>2022</x:v>
      </x:c>
      <x:c r="L113" s="25" t="str">
        <x:v>1842</x:v>
      </x:c>
      <x:c r="M113" s="25" t="str">
        <x:v>181</x:v>
      </x:c>
      <x:c r="N113" s="25" t="str">
        <x:v>2020</x:v>
      </x:c>
      <x:c r="O113" s="26" t="str">
        <x:v>3.836883327501539e-06</x:v>
      </x:c>
      <x:c r="P113" s="26" t="str">
        <x:v>2.543607640959067e-06</x:v>
      </x:c>
      <x:c r="Q113" s="26" t="str">
        <x:v>2.792127986595005e-06</x:v>
      </x:c>
      <x:c r="R113" s="26" t="str">
        <x:v>8.480208872896355e-07</x:v>
      </x:c>
      <x:c r="S113" s="26" t="str">
        <x:v>5.909761447986384e-07</x:v>
      </x:c>
      <x:c r="T113" s="26" t="str">
        <x:v>1.171719041792585e-06</x:v>
      </x:c>
      <x:c r="U113" s="26" t="str">
        <x:v>1.319191128779096e-06</x:v>
      </x:c>
      <x:c r="V113" s="26" t="str">
        <x:v>1.24545508528584e-06</x:v>
      </x:c>
      <x:c r="W113" s="26" t="str">
        <x:v>2.510783113862658e-06</x:v>
      </x:c>
      <x:c r="X113" s="26" t="str">
        <x:v>2.543607640959067e-06</x:v>
      </x:c>
      <x:c r="Y113" s="26" t="str">
        <x:v>2.543607640959067e-06</x:v>
      </x:c>
      <x:c r="Z113" s="25" t="str">
        <x:v>2022</x:v>
      </x:c>
      <x:c r="AA113" s="25" t="str">
        <x:v>AVAILABLE</x:v>
      </x:c>
      <x:c r="AB113" s="25" t="str">
        <x:v>AVAILABLE</x:v>
      </x:c>
      <x:c r="AC113" s="27" t="str">
        <x:v>Climate/temperature-linked lexical frequency; still not evidence of reception, voice, or affect without passage review.</x:v>
      </x:c>
    </x:row>
    <x:row r="114" ht="19" customHeight="1">
      <x:c r="A114" s="23" t="str">
        <x:v>FT-Q-V01-113</x:v>
      </x:c>
      <x:c r="B114" s="24" t="str">
        <x:v>outraged</x:v>
      </x:c>
      <x:c r="C114" s="24" t="str">
        <x:v>depressed affect</x:v>
      </x:c>
      <x:c r="D114" s="25" t="str">
        <x:v>distress_depression</x:v>
      </x:c>
      <x:c r="E114" s="25" t="str">
        <x:v>C</x:v>
      </x:c>
      <x:c r="F114" s="25" t="str">
        <x:v>EXECUTABLE_NGRAM</x:v>
      </x:c>
      <x:c r="G114" s="25" t="str">
        <x:v>CONTEXT_REQUIRED</x:v>
      </x:c>
      <x:c r="H114" s="25" t="str">
        <x:v>eng</x:v>
      </x:c>
      <x:c r="I114" s="25" t="str">
        <x:v>current English corpus (July 2024 dataset; public shorthand eng; mutable current corpus)</x:v>
      </x:c>
      <x:c r="J114" s="25" t="str">
        <x:v>1842</x:v>
      </x:c>
      <x:c r="K114" s="25" t="str">
        <x:v>2022</x:v>
      </x:c>
      <x:c r="L114" s="25" t="str">
        <x:v>1842</x:v>
      </x:c>
      <x:c r="M114" s="25" t="str">
        <x:v>181</x:v>
      </x:c>
      <x:c r="N114" s="25" t="str">
        <x:v>2014</x:v>
      </x:c>
      <x:c r="O114" s="26" t="str">
        <x:v>2.010090121018493e-06</x:v>
      </x:c>
      <x:c r="P114" s="26" t="str">
        <x:v>1.70548937417081e-06</x:v>
      </x:c>
      <x:c r="Q114" s="26" t="str">
        <x:v>1.254328481969935e-06</x:v>
      </x:c>
      <x:c r="R114" s="26" t="str">
        <x:v>6.021347390694487e-07</x:v>
      </x:c>
      <x:c r="S114" s="26" t="str">
        <x:v>8.586316730951893e-07</x:v>
      </x:c>
      <x:c r="T114" s="26" t="str">
        <x:v>1.27507472225119e-06</x:v>
      </x:c>
      <x:c r="U114" s="26" t="str">
        <x:v>1.373316791397627e-06</x:v>
      </x:c>
      <x:c r="V114" s="26" t="str">
        <x:v>1.324195756824409e-06</x:v>
      </x:c>
      <x:c r="W114" s="26" t="str">
        <x:v>1.949325438399541e-06</x:v>
      </x:c>
      <x:c r="X114" s="26" t="str">
        <x:v>1.70548937417081e-06</x:v>
      </x:c>
      <x:c r="Y114" s="26" t="str">
        <x:v>1.70548937417081e-06</x:v>
      </x:c>
      <x:c r="Z114" s="25" t="str">
        <x:v>2022</x:v>
      </x:c>
      <x:c r="AA114" s="25" t="str">
        <x:v>AVAILABLE</x:v>
      </x:c>
      <x:c r="AB114" s="25" t="str">
        <x:v>AVAILABLE</x:v>
      </x:c>
      <x:c r="AC114" s="27" t="str">
        <x:v>Climate/temperature-linked lexical frequency; still not evidence of reception, voice, or affect without passage review.</x:v>
      </x:c>
    </x:row>
    <x:row r="115" ht="19" customHeight="1">
      <x:c r="A115" s="23" t="str">
        <x:v>FT-Q-V01-114</x:v>
      </x:c>
      <x:c r="B115" s="24" t="str">
        <x:v>depressed</x:v>
      </x:c>
      <x:c r="C115" s="24" t="str">
        <x:v>depressed affect</x:v>
      </x:c>
      <x:c r="D115" s="25" t="str">
        <x:v>distress_depression</x:v>
      </x:c>
      <x:c r="E115" s="25" t="str">
        <x:v>C</x:v>
      </x:c>
      <x:c r="F115" s="25" t="str">
        <x:v>BACKGROUND_AMBIGUOUS</x:v>
      </x:c>
      <x:c r="G115" s="25" t="str">
        <x:v>BACKGROUND_AMBIGUOUS</x:v>
      </x:c>
      <x:c r="H115" s="25" t="str">
        <x:v>eng</x:v>
      </x:c>
      <x:c r="I115" s="25" t="str">
        <x:v>current English corpus (July 2024 dataset; public shorthand eng; mutable current corpus)</x:v>
      </x:c>
      <x:c r="J115" s="25" t="str">
        <x:v>1842</x:v>
      </x:c>
      <x:c r="K115" s="25" t="str">
        <x:v>2022</x:v>
      </x:c>
      <x:c r="L115" s="25" t="str">
        <x:v>1842</x:v>
      </x:c>
      <x:c r="M115" s="25" t="str">
        <x:v>181</x:v>
      </x:c>
      <x:c r="N115" s="25" t="str">
        <x:v>1843</x:v>
      </x:c>
      <x:c r="O115" s="26" t="str">
        <x:v>1.112499241706644e-05</x:v>
      </x:c>
      <x:c r="P115" s="26" t="str">
        <x:v>6.592711166319987e-06</x:v>
      </x:c>
      <x:c r="Q115" s="26" t="str">
        <x:v>9.307701199112728e-06</x:v>
      </x:c>
      <x:c r="R115" s="26" t="str">
        <x:v>6.043337837269291e-06</x:v>
      </x:c>
      <x:c r="S115" s="26" t="str">
        <x:v>7.711703084112287e-06</x:v>
      </x:c>
      <x:c r="T115" s="26" t="str">
        <x:v>6.793051444020648e-06</x:v>
      </x:c>
      <x:c r="U115" s="26" t="str">
        <x:v>7.274933071954592e-06</x:v>
      </x:c>
      <x:c r="V115" s="26" t="str">
        <x:v>7.03399225798762e-06</x:v>
      </x:c>
      <x:c r="W115" s="26" t="str">
        <x:v>7.909356614987928e-06</x:v>
      </x:c>
      <x:c r="X115" s="26" t="str">
        <x:v>6.592711166319987e-06</x:v>
      </x:c>
      <x:c r="Y115" s="26" t="str">
        <x:v>6.592711166319987e-06</x:v>
      </x:c>
      <x:c r="Z115" s="25" t="str">
        <x:v>2022</x:v>
      </x:c>
      <x:c r="AA115" s="25" t="str">
        <x:v>AVAILABLE</x:v>
      </x:c>
      <x:c r="AB115" s="25" t="str">
        <x:v>AVAILABLE</x:v>
      </x:c>
      <x:c r="AC115" s="27" t="str">
        <x:v>Generic corpus string frequency; not climate-specific semantic frequency.</x:v>
      </x:c>
    </x:row>
    <x:row r="116" ht="19" customHeight="1">
      <x:c r="A116" s="23" t="str">
        <x:v>FT-Q-V01-115</x:v>
      </x:c>
      <x:c r="B116" s="24" t="str">
        <x:v>symptoms of anxiety</x:v>
      </x:c>
      <x:c r="C116" s="24" t="str">
        <x:v>anxiety symptom measure</x:v>
      </x:c>
      <x:c r="D116" s="25" t="str">
        <x:v>anxiety</x:v>
      </x:c>
      <x:c r="E116" s="25" t="str">
        <x:v>C</x:v>
      </x:c>
      <x:c r="F116" s="25" t="str">
        <x:v>EXECUTABLE_NGRAM</x:v>
      </x:c>
      <x:c r="G116" s="25" t="str">
        <x:v>CONTEXT_REQUIRED</x:v>
      </x:c>
      <x:c r="H116" s="25" t="str">
        <x:v>eng</x:v>
      </x:c>
      <x:c r="I116" s="25" t="str">
        <x:v>current English corpus (July 2024 dataset; public shorthand eng; mutable current corpus)</x:v>
      </x:c>
      <x:c r="J116" s="25" t="str">
        <x:v>1842</x:v>
      </x:c>
      <x:c r="K116" s="25" t="str">
        <x:v>2022</x:v>
      </x:c>
      <x:c r="L116" s="25" t="str">
        <x:v>1842</x:v>
      </x:c>
      <x:c r="M116" s="25" t="str">
        <x:v>179</x:v>
      </x:c>
      <x:c r="N116" s="25" t="str">
        <x:v>2022</x:v>
      </x:c>
      <x:c r="O116" s="26" t="str">
        <x:v>1.926471570046218e-07</x:v>
      </x:c>
      <x:c r="P116" s="26" t="str">
        <x:v>1.926471570046218e-07</x:v>
      </x:c>
      <x:c r="Q116" s="26" t="str">
        <x:v>4.118266616615074e-09</x:v>
      </x:c>
      <x:c r="R116" s="26" t="str">
        <x:v>4.033755884869095e-09</x:v>
      </x:c>
      <x:c r="S116" s="26" t="str">
        <x:v>7.033237547915405e-08</x:v>
      </x:c>
      <x:c r="T116" s="26" t="str">
        <x:v>1.017628106780855e-07</x:v>
      </x:c>
      <x:c r="U116" s="26" t="str">
        <x:v>1.071436565580619e-07</x:v>
      </x:c>
      <x:c r="V116" s="26" t="str">
        <x:v>1.044532336180737e-07</x:v>
      </x:c>
      <x:c r="W116" s="26" t="str">
        <x:v>1.362641557159372e-07</x:v>
      </x:c>
      <x:c r="X116" s="26" t="str">
        <x:v>1.926471570046218e-07</x:v>
      </x:c>
      <x:c r="Y116" s="26" t="str">
        <x:v>1.926471570046218e-07</x:v>
      </x:c>
      <x:c r="Z116" s="25" t="str">
        <x:v>2022</x:v>
      </x:c>
      <x:c r="AA116" s="25" t="str">
        <x:v>AVAILABLE</x:v>
      </x:c>
      <x:c r="AB116" s="25" t="str">
        <x:v>AVAILABLE</x:v>
      </x:c>
      <x:c r="AC116" s="27" t="str">
        <x:v>Climate/temperature-linked lexical frequency; still not evidence of reception, voice, or affect without passage review.</x:v>
      </x:c>
    </x:row>
    <x:row r="117" ht="19" customHeight="1">
      <x:c r="A117" s="23" t="str">
        <x:v>FT-Q-V01-116</x:v>
      </x:c>
      <x:c r="B117" s="24" t="str">
        <x:v>climate anxiety</x:v>
      </x:c>
      <x:c r="C117" s="24" t="str">
        <x:v>climate anxiety research construct</x:v>
      </x:c>
      <x:c r="D117" s="25" t="str">
        <x:v>anxiety</x:v>
      </x:c>
      <x:c r="E117" s="25" t="str">
        <x:v>C</x:v>
      </x:c>
      <x:c r="F117" s="25" t="str">
        <x:v>EXECUTABLE_NGRAM</x:v>
      </x:c>
      <x:c r="G117" s="25" t="str">
        <x:v>CLIMATE_SPECIFIC</x:v>
      </x:c>
      <x:c r="H117" s="25" t="str">
        <x:v>eng</x:v>
      </x:c>
      <x:c r="I117" s="25" t="str">
        <x:v>current English corpus (July 2024 dataset; public shorthand eng; mutable current corpus)</x:v>
      </x:c>
      <x:c r="J117" s="25" t="str">
        <x:v>1842</x:v>
      </x:c>
      <x:c r="K117" s="25" t="str">
        <x:v>2022</x:v>
      </x:c>
      <x:c r="L117" s="25" t="str">
        <x:v>1972</x:v>
      </x:c>
      <x:c r="M117" s="25" t="str">
        <x:v>17</x:v>
      </x:c>
      <x:c r="N117" s="25" t="str">
        <x:v>2022</x:v>
      </x:c>
      <x:c r="O117" s="26" t="str">
        <x:v>3.579004737019886e-08</x:v>
      </x:c>
      <x:c r="P117" s="26" t="str">
        <x:v>3.579004737019886e-08</x:v>
      </x:c>
      <x:c r="Q117" s="26" t="str">
        <x:v>0</x:v>
      </x:c>
      <x:c r="R117" s="26" t="str">
        <x:v>0</x:v>
      </x:c>
      <x:c r="S117" s="26" t="str">
        <x:v>0</x:v>
      </x:c>
      <x:c r="T117" s="26" t="str">
        <x:v>0</x:v>
      </x:c>
      <x:c r="U117" s="26" t="str">
        <x:v>4.497542963055601e-11</x:v>
      </x:c>
      <x:c r="V117" s="26" t="str">
        <x:v>2.2487714815278e-11</x:v>
      </x:c>
      <x:c r="W117" s="26" t="str">
        <x:v>1.86809217400663e-10</x:v>
      </x:c>
      <x:c r="X117" s="26" t="str">
        <x:v>3.579004737019886e-08</x:v>
      </x:c>
      <x:c r="Y117" s="26" t="str">
        <x:v>3.579004737019886e-08</x:v>
      </x:c>
      <x:c r="Z117" s="25" t="str">
        <x:v>2022</x:v>
      </x:c>
      <x:c r="AA117" s="25" t="str">
        <x:v>AVAILABLE</x:v>
      </x:c>
      <x:c r="AB117" s="25" t="str">
        <x:v>AVAILABLE</x:v>
      </x:c>
      <x:c r="AC117" s="27" t="str">
        <x:v>Climate/temperature-linked lexical frequency; still not evidence of reception, voice, or affect without passage review.</x:v>
      </x:c>
    </x:row>
    <x:row r="118" ht="19" customHeight="1">
      <x:c r="A118" s="23" t="str">
        <x:v>FT-Q-V01-117</x:v>
      </x:c>
      <x:c r="B118" s="24" t="str">
        <x:v>eco-anxiety</x:v>
      </x:c>
      <x:c r="C118" s="24" t="str">
        <x:v>eco-anxiety research construct</x:v>
      </x:c>
      <x:c r="D118" s="25" t="str">
        <x:v>anxiety</x:v>
      </x:c>
      <x:c r="E118" s="25" t="str">
        <x:v>C</x:v>
      </x:c>
      <x:c r="F118" s="25" t="str">
        <x:v>EXECUTABLE_NGRAM</x:v>
      </x:c>
      <x:c r="G118" s="25" t="str">
        <x:v>CLIMATE_SPECIFIC</x:v>
      </x:c>
      <x:c r="H118" s="25" t="str">
        <x:v>eng</x:v>
      </x:c>
      <x:c r="I118" s="25" t="str">
        <x:v>current English corpus (July 2024 dataset; public shorthand eng; mutable current corpus)</x:v>
      </x:c>
      <x:c r="J118" s="25" t="str">
        <x:v>1842</x:v>
      </x:c>
      <x:c r="K118" s="25" t="str">
        <x:v>2022</x:v>
      </x:c>
      <x:c r="L118" s="25" t="str">
        <x:v>1901</x:v>
      </x:c>
      <x:c r="M118" s="25" t="str">
        <x:v>23</x:v>
      </x:c>
      <x:c r="N118" s="25" t="str">
        <x:v>2022</x:v>
      </x:c>
      <x:c r="O118" s="26" t="str">
        <x:v>5.496096178170262e-08</x:v>
      </x:c>
      <x:c r="P118" s="26" t="str">
        <x:v>5.496096178170262e-08</x:v>
      </x:c>
      <x:c r="Q118" s="26" t="str">
        <x:v>0</x:v>
      </x:c>
      <x:c r="R118" s="26" t="str">
        <x:v>0</x:v>
      </x:c>
      <x:c r="S118" s="26" t="str">
        <x:v>0</x:v>
      </x:c>
      <x:c r="T118" s="26" t="str">
        <x:v>4.954372329057932e-11</x:v>
      </x:c>
      <x:c r="U118" s="26" t="str">
        <x:v>7.774596660903299e-10</x:v>
      </x:c>
      <x:c r="V118" s="26" t="str">
        <x:v>4.135016946904546e-10</x:v>
      </x:c>
      <x:c r="W118" s="26" t="str">
        <x:v>8.997633402230143e-10</x:v>
      </x:c>
      <x:c r="X118" s="26" t="str">
        <x:v>5.496096178170262e-08</x:v>
      </x:c>
      <x:c r="Y118" s="26" t="str">
        <x:v>5.496096178170262e-08</x:v>
      </x:c>
      <x:c r="Z118" s="25" t="str">
        <x:v>2022</x:v>
      </x:c>
      <x:c r="AA118" s="25" t="str">
        <x:v>AVAILABLE</x:v>
      </x:c>
      <x:c r="AB118" s="25" t="str">
        <x:v>AVAILABLE</x:v>
      </x:c>
      <x:c r="AC118" s="27" t="str">
        <x:v>Climate/temperature-linked lexical frequency; still not evidence of reception, voice, or affect without passage review.</x:v>
      </x:c>
    </x:row>
    <x:row r="119" ht="19" customHeight="1">
      <x:c r="A119" s="23" t="str">
        <x:v>FT-Q-V01-118</x:v>
      </x:c>
      <x:c r="B119" s="24" t="str">
        <x:v>psychological distress</x:v>
      </x:c>
      <x:c r="C119" s="24" t="str">
        <x:v>psychological distress</x:v>
      </x:c>
      <x:c r="D119" s="25" t="str">
        <x:v>distress_depression</x:v>
      </x:c>
      <x:c r="E119" s="25" t="str">
        <x:v>C</x:v>
      </x:c>
      <x:c r="F119" s="25" t="str">
        <x:v>EXECUTABLE_NGRAM</x:v>
      </x:c>
      <x:c r="G119" s="25" t="str">
        <x:v>CONTEXT_REQUIRED</x:v>
      </x:c>
      <x:c r="H119" s="25" t="str">
        <x:v>eng</x:v>
      </x:c>
      <x:c r="I119" s="25" t="str">
        <x:v>current English corpus (July 2024 dataset; public shorthand eng; mutable current corpus)</x:v>
      </x:c>
      <x:c r="J119" s="25" t="str">
        <x:v>1842</x:v>
      </x:c>
      <x:c r="K119" s="25" t="str">
        <x:v>2022</x:v>
      </x:c>
      <x:c r="L119" s="25" t="str">
        <x:v>1886</x:v>
      </x:c>
      <x:c r="M119" s="25" t="str">
        <x:v>115</x:v>
      </x:c>
      <x:c r="N119" s="25" t="str">
        <x:v>2022</x:v>
      </x:c>
      <x:c r="O119" s="26" t="str">
        <x:v>8.442735095481879e-07</x:v>
      </x:c>
      <x:c r="P119" s="26" t="str">
        <x:v>8.442735095481879e-07</x:v>
      </x:c>
      <x:c r="Q119" s="26" t="str">
        <x:v>0</x:v>
      </x:c>
      <x:c r="R119" s="26" t="str">
        <x:v>6.682316922024256e-10</x:v>
      </x:c>
      <x:c r="S119" s="26" t="str">
        <x:v>1.915481164793675e-07</x:v>
      </x:c>
      <x:c r="T119" s="26" t="str">
        <x:v>4.426177031557899e-07</x:v>
      </x:c>
      <x:c r="U119" s="26" t="str">
        <x:v>3.763993797756271e-07</x:v>
      </x:c>
      <x:c r="V119" s="26" t="str">
        <x:v>4.095085414657085e-07</x:v>
      </x:c>
      <x:c r="W119" s="26" t="str">
        <x:v>4.692647605497591e-07</x:v>
      </x:c>
      <x:c r="X119" s="26" t="str">
        <x:v>8.442735095481879e-07</x:v>
      </x:c>
      <x:c r="Y119" s="26" t="str">
        <x:v>8.442735095481879e-07</x:v>
      </x:c>
      <x:c r="Z119" s="25" t="str">
        <x:v>2022</x:v>
      </x:c>
      <x:c r="AA119" s="25" t="str">
        <x:v>AVAILABLE</x:v>
      </x:c>
      <x:c r="AB119" s="25" t="str">
        <x:v>AVAILABLE</x:v>
      </x:c>
      <x:c r="AC119" s="27" t="str">
        <x:v>Climate/temperature-linked lexical frequency; still not evidence of reception, voice, or affect without passage review.</x:v>
      </x:c>
    </x:row>
    <x:row r="120" ht="19" customHeight="1">
      <x:c r="A120" s="23" t="str">
        <x:v>FT-Q-V01-119</x:v>
      </x:c>
      <x:c r="B120" s="24" t="str">
        <x:v>distress</x:v>
      </x:c>
      <x:c r="C120" s="24" t="str">
        <x:v>psychological distress</x:v>
      </x:c>
      <x:c r="D120" s="25" t="str">
        <x:v>distress_depression</x:v>
      </x:c>
      <x:c r="E120" s="25" t="str">
        <x:v>C</x:v>
      </x:c>
      <x:c r="F120" s="25" t="str">
        <x:v>BACKGROUND_AMBIGUOUS</x:v>
      </x:c>
      <x:c r="G120" s="25" t="str">
        <x:v>BACKGROUND_AMBIGUOUS</x:v>
      </x:c>
      <x:c r="H120" s="25" t="str">
        <x:v>eng</x:v>
      </x:c>
      <x:c r="I120" s="25" t="str">
        <x:v>current English corpus (July 2024 dataset; public shorthand eng; mutable current corpus)</x:v>
      </x:c>
      <x:c r="J120" s="25" t="str">
        <x:v>1842</x:v>
      </x:c>
      <x:c r="K120" s="25" t="str">
        <x:v>2022</x:v>
      </x:c>
      <x:c r="L120" s="25" t="str">
        <x:v>1842</x:v>
      </x:c>
      <x:c r="M120" s="25" t="str">
        <x:v>181</x:v>
      </x:c>
      <x:c r="N120" s="25" t="str">
        <x:v>1842</x:v>
      </x:c>
      <x:c r="O120" s="26" t="str">
        <x:v>4.52841779292612e-05</x:v>
      </x:c>
      <x:c r="P120" s="26" t="str">
        <x:v>1.530569114294167e-05</x:v>
      </x:c>
      <x:c r="Q120" s="26" t="str">
        <x:v>4.52841779292612e-05</x:v>
      </x:c>
      <x:c r="R120" s="26" t="str">
        <x:v>7.339661380001417e-06</x:v>
      </x:c>
      <x:c r="S120" s="26" t="str">
        <x:v>8.156161257488748e-06</x:v>
      </x:c>
      <x:c r="T120" s="26" t="str">
        <x:v>1.067856989322991e-05</x:v>
      </x:c>
      <x:c r="U120" s="26" t="str">
        <x:v>1.097895778201519e-05</x:v>
      </x:c>
      <x:c r="V120" s="26" t="str">
        <x:v>1.082876383762255e-05</x:v>
      </x:c>
      <x:c r="W120" s="26" t="str">
        <x:v>1.367328086843145e-05</x:v>
      </x:c>
      <x:c r="X120" s="26" t="str">
        <x:v>1.530569114294167e-05</x:v>
      </x:c>
      <x:c r="Y120" s="26" t="str">
        <x:v>1.530569114294167e-05</x:v>
      </x:c>
      <x:c r="Z120" s="25" t="str">
        <x:v>2022</x:v>
      </x:c>
      <x:c r="AA120" s="25" t="str">
        <x:v>AVAILABLE</x:v>
      </x:c>
      <x:c r="AB120" s="25" t="str">
        <x:v>AVAILABLE</x:v>
      </x:c>
      <x:c r="AC120" s="27" t="str">
        <x:v>Generic corpus string frequency; not climate-specific semantic frequency.</x:v>
      </x:c>
    </x:row>
    <x:row r="121" ht="19" customHeight="1">
      <x:c r="A121" s="23" t="str">
        <x:v>FT-Q-V01-120</x:v>
      </x:c>
      <x:c r="B121" s="24" t="str">
        <x:v>powerlessness</x:v>
      </x:c>
      <x:c r="C121" s="24" t="str">
        <x:v>depressed affect</x:v>
      </x:c>
      <x:c r="D121" s="25" t="str">
        <x:v>distress_depression</x:v>
      </x:c>
      <x:c r="E121" s="25" t="str">
        <x:v>C</x:v>
      </x:c>
      <x:c r="F121" s="25" t="str">
        <x:v>EXECUTABLE_NGRAM</x:v>
      </x:c>
      <x:c r="G121" s="25" t="str">
        <x:v>CONTEXT_REQUIRED</x:v>
      </x:c>
      <x:c r="H121" s="25" t="str">
        <x:v>eng</x:v>
      </x:c>
      <x:c r="I121" s="25" t="str">
        <x:v>current English corpus (July 2024 dataset; public shorthand eng; mutable current corpus)</x:v>
      </x:c>
      <x:c r="J121" s="25" t="str">
        <x:v>1842</x:v>
      </x:c>
      <x:c r="K121" s="25" t="str">
        <x:v>2022</x:v>
      </x:c>
      <x:c r="L121" s="25" t="str">
        <x:v>1842</x:v>
      </x:c>
      <x:c r="M121" s="25" t="str">
        <x:v>181</x:v>
      </x:c>
      <x:c r="N121" s="25" t="str">
        <x:v>2016</x:v>
      </x:c>
      <x:c r="O121" s="26" t="str">
        <x:v>9.903161126700866e-07</x:v>
      </x:c>
      <x:c r="P121" s="26" t="str">
        <x:v>8.604735197703661e-07</x:v>
      </x:c>
      <x:c r="Q121" s="26" t="str">
        <x:v>4.805623099457534e-08</x:v>
      </x:c>
      <x:c r="R121" s="26" t="str">
        <x:v>4.725432958818665e-08</x:v>
      </x:c>
      <x:c r="S121" s="26" t="str">
        <x:v>5.816229462496381e-07</x:v>
      </x:c>
      <x:c r="T121" s="26" t="str">
        <x:v>7.747634387378355e-07</x:v>
      </x:c>
      <x:c r="U121" s="26" t="str">
        <x:v>7.41349112098888e-07</x:v>
      </x:c>
      <x:c r="V121" s="26" t="str">
        <x:v>7.580562754183617e-07</x:v>
      </x:c>
      <x:c r="W121" s="26" t="str">
        <x:v>8.678666019168446e-07</x:v>
      </x:c>
      <x:c r="X121" s="26" t="str">
        <x:v>8.604735197703661e-07</x:v>
      </x:c>
      <x:c r="Y121" s="26" t="str">
        <x:v>8.604735197703661e-07</x:v>
      </x:c>
      <x:c r="Z121" s="25" t="str">
        <x:v>2022</x:v>
      </x:c>
      <x:c r="AA121" s="25" t="str">
        <x:v>AVAILABLE</x:v>
      </x:c>
      <x:c r="AB121" s="25" t="str">
        <x:v>AVAILABLE</x:v>
      </x:c>
      <x:c r="AC121" s="27" t="str">
        <x:v>Climate/temperature-linked lexical frequency; still not evidence of reception, voice, or affect without passage review.</x:v>
      </x:c>
    </x:row>
    <x:row r="122" ht="19" customHeight="1">
      <x:c r="A122" s="23" t="str">
        <x:v>FT-Q-V01-121</x:v>
      </x:c>
      <x:c r="B122" s="24" t="str">
        <x:v>climatic change</x:v>
      </x:c>
      <x:c r="C122" s="24" t="str">
        <x:v>historical climatic change</x:v>
      </x:c>
      <x:c r="D122" s="25" t="str">
        <x:v>climate</x:v>
      </x:c>
      <x:c r="E122" s="25" t="str">
        <x:v>B</x:v>
      </x:c>
      <x:c r="F122" s="25" t="str">
        <x:v>EXECUTABLE_NGRAM</x:v>
      </x:c>
      <x:c r="G122" s="25" t="str">
        <x:v>CLIMATE_SPECIFIC</x:v>
      </x:c>
      <x:c r="H122" s="25" t="str">
        <x:v>eng</x:v>
      </x:c>
      <x:c r="I122" s="25" t="str">
        <x:v>current English corpus (July 2024 dataset; public shorthand eng; mutable current corpus)</x:v>
      </x:c>
      <x:c r="J122" s="25" t="str">
        <x:v>1842</x:v>
      </x:c>
      <x:c r="K122" s="25" t="str">
        <x:v>2022</x:v>
      </x:c>
      <x:c r="L122" s="25" t="str">
        <x:v>1844</x:v>
      </x:c>
      <x:c r="M122" s="25" t="str">
        <x:v>178</x:v>
      </x:c>
      <x:c r="N122" s="25" t="str">
        <x:v>1990</x:v>
      </x:c>
      <x:c r="O122" s="26" t="str">
        <x:v>1.085340898890341e-06</x:v>
      </x:c>
      <x:c r="P122" s="26" t="str">
        <x:v>3.561308840049904e-07</x:v>
      </x:c>
      <x:c r="Q122" s="26" t="str">
        <x:v>0</x:v>
      </x:c>
      <x:c r="R122" s="26" t="str">
        <x:v>5.535186192728858e-08</x:v>
      </x:c>
      <x:c r="S122" s="26" t="str">
        <x:v>6.100814835992285e-07</x:v>
      </x:c>
      <x:c r="T122" s="26" t="str">
        <x:v>3.489940754372589e-07</x:v>
      </x:c>
      <x:c r="U122" s="26" t="str">
        <x:v>3.570599467934976e-07</x:v>
      </x:c>
      <x:c r="V122" s="26" t="str">
        <x:v>3.530270111153783e-07</x:v>
      </x:c>
      <x:c r="W122" s="26" t="str">
        <x:v>3.089357515362323e-07</x:v>
      </x:c>
      <x:c r="X122" s="26" t="str">
        <x:v>3.561308840049904e-07</x:v>
      </x:c>
      <x:c r="Y122" s="26" t="str">
        <x:v>3.561308840049904e-07</x:v>
      </x:c>
      <x:c r="Z122" s="25" t="str">
        <x:v>2022</x:v>
      </x:c>
      <x:c r="AA122" s="25" t="str">
        <x:v>AVAILABLE</x:v>
      </x:c>
      <x:c r="AB122" s="25" t="str">
        <x:v>AVAILABLE</x:v>
      </x:c>
      <x:c r="AC122" s="27" t="str">
        <x:v>Climate/temperature-linked lexical frequency; still not evidence of reception, voice, or affect without passage review.</x:v>
      </x:c>
    </x:row>
    <x:row r="123" ht="19" customHeight="1">
      <x:c r="A123" s="23" t="str">
        <x:v>FT-Q-V01-122</x:v>
      </x:c>
      <x:c r="B123" s="24" t="str">
        <x:v>climate system</x:v>
      </x:c>
      <x:c r="C123" s="24" t="str">
        <x:v>climate system</x:v>
      </x:c>
      <x:c r="D123" s="25" t="str">
        <x:v>climate</x:v>
      </x:c>
      <x:c r="E123" s="25" t="str">
        <x:v>B</x:v>
      </x:c>
      <x:c r="F123" s="25" t="str">
        <x:v>EXECUTABLE_NGRAM</x:v>
      </x:c>
      <x:c r="G123" s="25" t="str">
        <x:v>CLIMATE_SPECIFIC</x:v>
      </x:c>
      <x:c r="H123" s="25" t="str">
        <x:v>eng</x:v>
      </x:c>
      <x:c r="I123" s="25" t="str">
        <x:v>current English corpus (July 2024 dataset; public shorthand eng; mutable current corpus)</x:v>
      </x:c>
      <x:c r="J123" s="25" t="str">
        <x:v>1842</x:v>
      </x:c>
      <x:c r="K123" s="25" t="str">
        <x:v>2022</x:v>
      </x:c>
      <x:c r="L123" s="25" t="str">
        <x:v>1843</x:v>
      </x:c>
      <x:c r="M123" s="25" t="str">
        <x:v>108</x:v>
      </x:c>
      <x:c r="N123" s="25" t="str">
        <x:v>2013</x:v>
      </x:c>
      <x:c r="O123" s="26" t="str">
        <x:v>4.202323069524283e-07</x:v>
      </x:c>
      <x:c r="P123" s="26" t="str">
        <x:v>2.992826562686624e-07</x:v>
      </x:c>
      <x:c r="Q123" s="26" t="str">
        <x:v>0</x:v>
      </x:c>
      <x:c r="R123" s="26" t="str">
        <x:v>6.682317199580012e-10</x:v>
      </x:c>
      <x:c r="S123" s="26" t="str">
        <x:v>1.403666166632789e-07</x:v>
      </x:c>
      <x:c r="T123" s="26" t="str">
        <x:v>2.739578170152246e-07</x:v>
      </x:c>
      <x:c r="U123" s="26" t="str">
        <x:v>3.127591374774141e-07</x:v>
      </x:c>
      <x:c r="V123" s="26" t="str">
        <x:v>2.933584772463194e-07</x:v>
      </x:c>
      <x:c r="W123" s="26" t="str">
        <x:v>2.867988619925654e-07</x:v>
      </x:c>
      <x:c r="X123" s="26" t="str">
        <x:v>2.992826562686624e-07</x:v>
      </x:c>
      <x:c r="Y123" s="26" t="str">
        <x:v>2.992826562686624e-07</x:v>
      </x:c>
      <x:c r="Z123" s="25" t="str">
        <x:v>2022</x:v>
      </x:c>
      <x:c r="AA123" s="25" t="str">
        <x:v>AVAILABLE</x:v>
      </x:c>
      <x:c r="AB123" s="25" t="str">
        <x:v>AVAILABLE</x:v>
      </x:c>
      <x:c r="AC123" s="27" t="str">
        <x:v>Climate/temperature-linked lexical frequency; still not evidence of reception, voice, or affect without passage review.</x:v>
      </x:c>
    </x:row>
    <x:row r="124" ht="19" customHeight="1">
      <x:c r="A124" s="23" t="str">
        <x:v>FT-Q-V01-123</x:v>
      </x:c>
      <x:c r="B124" s="24" t="str">
        <x:v>climate crisis</x:v>
      </x:c>
      <x:c r="C124" s="24" t="str">
        <x:v>climate crisis issue label</x:v>
      </x:c>
      <x:c r="D124" s="25" t="str">
        <x:v>crisis_emergency</x:v>
      </x:c>
      <x:c r="E124" s="25" t="str">
        <x:v>D</x:v>
      </x:c>
      <x:c r="F124" s="25" t="str">
        <x:v>EXECUTABLE_NGRAM</x:v>
      </x:c>
      <x:c r="G124" s="25" t="str">
        <x:v>CLIMATE_SPECIFIC</x:v>
      </x:c>
      <x:c r="H124" s="25" t="str">
        <x:v>eng</x:v>
      </x:c>
      <x:c r="I124" s="25" t="str">
        <x:v>current English corpus (July 2024 dataset; public shorthand eng; mutable current corpus)</x:v>
      </x:c>
      <x:c r="J124" s="25" t="str">
        <x:v>1842</x:v>
      </x:c>
      <x:c r="K124" s="25" t="str">
        <x:v>2022</x:v>
      </x:c>
      <x:c r="L124" s="25" t="str">
        <x:v>1867</x:v>
      </x:c>
      <x:c r="M124" s="25" t="str">
        <x:v>69</x:v>
      </x:c>
      <x:c r="N124" s="25" t="str">
        <x:v>2022</x:v>
      </x:c>
      <x:c r="O124" s="26" t="str">
        <x:v>9.38814122442011e-07</x:v>
      </x:c>
      <x:c r="P124" s="26" t="str">
        <x:v>9.38814122442011e-07</x:v>
      </x:c>
      <x:c r="Q124" s="26" t="str">
        <x:v>0</x:v>
      </x:c>
      <x:c r="R124" s="26" t="str">
        <x:v>0</x:v>
      </x:c>
      <x:c r="S124" s="26" t="str">
        <x:v>1.974213945099557e-09</x:v>
      </x:c>
      <x:c r="T124" s="26" t="str">
        <x:v>1.721392753339934e-08</x:v>
      </x:c>
      <x:c r="U124" s="26" t="str">
        <x:v>4.511035556209464e-08</x:v>
      </x:c>
      <x:c r="V124" s="26" t="str">
        <x:v>3.116214154774699e-08</x:v>
      </x:c>
      <x:c r="W124" s="26" t="str">
        <x:v>8.700639558822942e-08</x:v>
      </x:c>
      <x:c r="X124" s="26" t="str">
        <x:v>9.38814122442011e-07</x:v>
      </x:c>
      <x:c r="Y124" s="26" t="str">
        <x:v>9.38814122442011e-07</x:v>
      </x:c>
      <x:c r="Z124" s="25" t="str">
        <x:v>2022</x:v>
      </x:c>
      <x:c r="AA124" s="25" t="str">
        <x:v>AVAILABLE</x:v>
      </x:c>
      <x:c r="AB124" s="25" t="str">
        <x:v>AVAILABLE</x:v>
      </x:c>
      <x:c r="AC124" s="27" t="str">
        <x:v>Climate/temperature-linked lexical frequency; still not evidence of reception, voice, or affect without passage review.</x:v>
      </x:c>
    </x:row>
    <x:row r="125" ht="19" customHeight="1">
      <x:c r="A125" s="23" t="str">
        <x:v>FT-Q-V01-124</x:v>
      </x:c>
      <x:c r="B125" s="24" t="str">
        <x:v>climate emergency</x:v>
      </x:c>
      <x:c r="C125" s="24" t="str">
        <x:v>climate emergency frame / declaration</x:v>
      </x:c>
      <x:c r="D125" s="25" t="str">
        <x:v>crisis_emergency</x:v>
      </x:c>
      <x:c r="E125" s="25" t="str">
        <x:v>D</x:v>
      </x:c>
      <x:c r="F125" s="25" t="str">
        <x:v>EXECUTABLE_NGRAM</x:v>
      </x:c>
      <x:c r="G125" s="25" t="str">
        <x:v>CLIMATE_SPECIFIC</x:v>
      </x:c>
      <x:c r="H125" s="25" t="str">
        <x:v>eng</x:v>
      </x:c>
      <x:c r="I125" s="25" t="str">
        <x:v>current English corpus (July 2024 dataset; public shorthand eng; mutable current corpus)</x:v>
      </x:c>
      <x:c r="J125" s="25" t="str">
        <x:v>1842</x:v>
      </x:c>
      <x:c r="K125" s="25" t="str">
        <x:v>2022</x:v>
      </x:c>
      <x:c r="L125" s="25" t="str">
        <x:v>1846</x:v>
      </x:c>
      <x:c r="M125" s="25" t="str">
        <x:v>45</x:v>
      </x:c>
      <x:c r="N125" s="25" t="str">
        <x:v>2022</x:v>
      </x:c>
      <x:c r="O125" s="26" t="str">
        <x:v>2.626078123846298e-07</x:v>
      </x:c>
      <x:c r="P125" s="26" t="str">
        <x:v>2.626078123846298e-07</x:v>
      </x:c>
      <x:c r="Q125" s="26" t="str">
        <x:v>0</x:v>
      </x:c>
      <x:c r="R125" s="26" t="str">
        <x:v>0</x:v>
      </x:c>
      <x:c r="S125" s="26" t="str">
        <x:v>0</x:v>
      </x:c>
      <x:c r="T125" s="26" t="str">
        <x:v>4.578172285718551e-10</x:v>
      </x:c>
      <x:c r="U125" s="26" t="str">
        <x:v>1.079410283377769e-09</x:v>
      </x:c>
      <x:c r="V125" s="26" t="str">
        <x:v>7.686137559748119e-10</x:v>
      </x:c>
      <x:c r="W125" s="26" t="str">
        <x:v>6.398215714187305e-09</x:v>
      </x:c>
      <x:c r="X125" s="26" t="str">
        <x:v>2.626078123846298e-07</x:v>
      </x:c>
      <x:c r="Y125" s="26" t="str">
        <x:v>2.626078123846298e-07</x:v>
      </x:c>
      <x:c r="Z125" s="25" t="str">
        <x:v>2022</x:v>
      </x:c>
      <x:c r="AA125" s="25" t="str">
        <x:v>AVAILABLE</x:v>
      </x:c>
      <x:c r="AB125" s="25" t="str">
        <x:v>AVAILABLE</x:v>
      </x:c>
      <x:c r="AC125" s="27" t="str">
        <x:v>Climate/temperature-linked lexical frequency; still not evidence of reception, voice, or affect without passage review.</x:v>
      </x:c>
    </x:row>
    <x:row r="126" ht="19" customHeight="1">
      <x:c r="A126" s="23" t="str">
        <x:v>FT-Q-V01-125</x:v>
      </x:c>
      <x:c r="B126" s="24" t="str">
        <x:v>heat</x:v>
      </x:c>
      <x:c r="C126" s="24" t="str">
        <x:v>physical heat source / state</x:v>
      </x:c>
      <x:c r="D126" s="25" t="str">
        <x:v>heat</x:v>
      </x:c>
      <x:c r="E126" s="25" t="str">
        <x:v>A</x:v>
      </x:c>
      <x:c r="F126" s="25" t="str">
        <x:v>BACKGROUND_AMBIGUOUS</x:v>
      </x:c>
      <x:c r="G126" s="25" t="str">
        <x:v>BACKGROUND_AMBIGUOUS</x:v>
      </x:c>
      <x:c r="H126" s="25" t="str">
        <x:v>eng</x:v>
      </x:c>
      <x:c r="I126" s="25" t="str">
        <x:v>current English corpus (July 2024 dataset; public shorthand eng; mutable current corpus)</x:v>
      </x:c>
      <x:c r="J126" s="25" t="str">
        <x:v>1842</x:v>
      </x:c>
      <x:c r="K126" s="25" t="str">
        <x:v>2022</x:v>
      </x:c>
      <x:c r="L126" s="25" t="str">
        <x:v>1842</x:v>
      </x:c>
      <x:c r="M126" s="25" t="str">
        <x:v>181</x:v>
      </x:c>
      <x:c r="N126" s="25" t="str">
        <x:v>1962</x:v>
      </x:c>
      <x:c r="O126" s="26" t="str">
        <x:v>0.0001195692521719638</x:v>
      </x:c>
      <x:c r="P126" s="26" t="str">
        <x:v>8.563693643673723e-05</x:v>
      </x:c>
      <x:c r="Q126" s="26" t="str">
        <x:v>7.384357303408251e-05</x:v>
      </x:c>
      <x:c r="R126" s="26" t="str">
        <x:v>8.523965218273921e-05</x:v>
      </x:c>
      <x:c r="S126" s="26" t="str">
        <x:v>8.679989608225552e-05</x:v>
      </x:c>
      <x:c r="T126" s="26" t="str">
        <x:v>6.360847071413406e-05</x:v>
      </x:c>
      <x:c r="U126" s="26" t="str">
        <x:v>6.960987830585685e-05</x:v>
      </x:c>
      <x:c r="V126" s="26" t="str">
        <x:v>6.660917450999546e-05</x:v>
      </x:c>
      <x:c r="W126" s="26" t="str">
        <x:v>8.562833311283324e-05</x:v>
      </x:c>
      <x:c r="X126" s="26" t="str">
        <x:v>8.563693643673723e-05</x:v>
      </x:c>
      <x:c r="Y126" s="26" t="str">
        <x:v>8.563693643673723e-05</x:v>
      </x:c>
      <x:c r="Z126" s="25" t="str">
        <x:v>2022</x:v>
      </x:c>
      <x:c r="AA126" s="25" t="str">
        <x:v>AVAILABLE</x:v>
      </x:c>
      <x:c r="AB126" s="25" t="str">
        <x:v>AVAILABLE</x:v>
      </x:c>
      <x:c r="AC126" s="27" t="str">
        <x:v>Generic corpus string frequency; not climate-specific semantic frequency.</x:v>
      </x:c>
    </x:row>
    <x:row r="127" ht="19" customHeight="1">
      <x:c r="A127" s="23" t="str">
        <x:v>FT-Q-V01-126</x:v>
      </x:c>
      <x:c r="B127" s="24" t="str">
        <x:v>extreme heat</x:v>
      </x:c>
      <x:c r="C127" s="24" t="str">
        <x:v>extreme-heat hazard</x:v>
      </x:c>
      <x:c r="D127" s="25" t="str">
        <x:v>heat</x:v>
      </x:c>
      <x:c r="E127" s="25" t="str">
        <x:v>A</x:v>
      </x:c>
      <x:c r="F127" s="25" t="str">
        <x:v>EXECUTABLE_NGRAM</x:v>
      </x:c>
      <x:c r="G127" s="25" t="str">
        <x:v>CLIMATE_SPECIFIC</x:v>
      </x:c>
      <x:c r="H127" s="25" t="str">
        <x:v>eng</x:v>
      </x:c>
      <x:c r="I127" s="25" t="str">
        <x:v>current English corpus (July 2024 dataset; public shorthand eng; mutable current corpus)</x:v>
      </x:c>
      <x:c r="J127" s="25" t="str">
        <x:v>1842</x:v>
      </x:c>
      <x:c r="K127" s="25" t="str">
        <x:v>2022</x:v>
      </x:c>
      <x:c r="L127" s="25" t="str">
        <x:v>1842</x:v>
      </x:c>
      <x:c r="M127" s="25" t="str">
        <x:v>181</x:v>
      </x:c>
      <x:c r="N127" s="25" t="str">
        <x:v>1846</x:v>
      </x:c>
      <x:c r="O127" s="26" t="str">
        <x:v>4.326385322217519e-07</x:v>
      </x:c>
      <x:c r="P127" s="26" t="str">
        <x:v>3.640498242307721e-07</x:v>
      </x:c>
      <x:c r="Q127" s="26" t="str">
        <x:v>3.295890467214235e-07</x:v>
      </x:c>
      <x:c r="R127" s="26" t="str">
        <x:v>1.961260114313745e-07</x:v>
      </x:c>
      <x:c r="S127" s="26" t="str">
        <x:v>1.261029182117457e-07</x:v>
      </x:c>
      <x:c r="T127" s="26" t="str">
        <x:v>1.71086288733302e-07</x:v>
      </x:c>
      <x:c r="U127" s="26" t="str">
        <x:v>1.790471816642825e-07</x:v>
      </x:c>
      <x:c r="V127" s="26" t="str">
        <x:v>1.750667351987922e-07</x:v>
      </x:c>
      <x:c r="W127" s="26" t="str">
        <x:v>2.309896030561198e-07</x:v>
      </x:c>
      <x:c r="X127" s="26" t="str">
        <x:v>3.640498242307721e-07</x:v>
      </x:c>
      <x:c r="Y127" s="26" t="str">
        <x:v>3.640498242307721e-07</x:v>
      </x:c>
      <x:c r="Z127" s="25" t="str">
        <x:v>2022</x:v>
      </x:c>
      <x:c r="AA127" s="25" t="str">
        <x:v>AVAILABLE</x:v>
      </x:c>
      <x:c r="AB127" s="25" t="str">
        <x:v>AVAILABLE</x:v>
      </x:c>
      <x:c r="AC127" s="27" t="str">
        <x:v>Climate/temperature-linked lexical frequency; still not evidence of reception, voice, or affect without passage review.</x:v>
      </x:c>
    </x:row>
    <x:row r="128" ht="19" customHeight="1">
      <x:c r="A128" s="23" t="str">
        <x:v>FT-Q-V01-127</x:v>
      </x:c>
      <x:c r="B128" s="24" t="str">
        <x:v>fear</x:v>
      </x:c>
      <x:c r="C128" s="24" t="str">
        <x:v>direct fear</x:v>
      </x:c>
      <x:c r="D128" s="25" t="str">
        <x:v>fear_afraid</x:v>
      </x:c>
      <x:c r="E128" s="25" t="str">
        <x:v>C</x:v>
      </x:c>
      <x:c r="F128" s="25" t="str">
        <x:v>BACKGROUND_AMBIGUOUS</x:v>
      </x:c>
      <x:c r="G128" s="25" t="str">
        <x:v>BACKGROUND_AMBIGUOUS</x:v>
      </x:c>
      <x:c r="H128" s="25" t="str">
        <x:v>eng</x:v>
      </x:c>
      <x:c r="I128" s="25" t="str">
        <x:v>current English corpus (July 2024 dataset; public shorthand eng; mutable current corpus)</x:v>
      </x:c>
      <x:c r="J128" s="25" t="str">
        <x:v>1842</x:v>
      </x:c>
      <x:c r="K128" s="25" t="str">
        <x:v>2022</x:v>
      </x:c>
      <x:c r="L128" s="25" t="str">
        <x:v>1842</x:v>
      </x:c>
      <x:c r="M128" s="25" t="str">
        <x:v>181</x:v>
      </x:c>
      <x:c r="N128" s="25" t="str">
        <x:v>1850</x:v>
      </x:c>
      <x:c r="O128" s="26" t="str">
        <x:v>0.0001042104346993256</x:v>
      </x:c>
      <x:c r="P128" s="26" t="str">
        <x:v>8.766914891196811e-05</x:v>
      </x:c>
      <x:c r="Q128" s="26" t="str">
        <x:v>9.290729823874244e-05</x:v>
      </x:c>
      <x:c r="R128" s="26" t="str">
        <x:v>2.982965392561709e-05</x:v>
      </x:c>
      <x:c r="S128" s="26" t="str">
        <x:v>3.016979552554824e-05</x:v>
      </x:c>
      <x:c r="T128" s="26" t="str">
        <x:v>5.018035645446006e-05</x:v>
      </x:c>
      <x:c r="U128" s="26" t="str">
        <x:v>5.328952276396903e-05</x:v>
      </x:c>
      <x:c r="V128" s="26" t="str">
        <x:v>5.173493960921455e-05</x:v>
      </x:c>
      <x:c r="W128" s="26" t="str">
        <x:v>8.53677230498312e-05</x:v>
      </x:c>
      <x:c r="X128" s="26" t="str">
        <x:v>8.766914891196811e-05</x:v>
      </x:c>
      <x:c r="Y128" s="26" t="str">
        <x:v>8.766914891196811e-05</x:v>
      </x:c>
      <x:c r="Z128" s="25" t="str">
        <x:v>2022</x:v>
      </x:c>
      <x:c r="AA128" s="25" t="str">
        <x:v>AVAILABLE</x:v>
      </x:c>
      <x:c r="AB128" s="25" t="str">
        <x:v>AVAILABLE</x:v>
      </x:c>
      <x:c r="AC128" s="27" t="str">
        <x:v>Generic corpus string frequency; not climate-specific semantic frequency.</x:v>
      </x:c>
    </x:row>
    <x:row r="129" ht="19" customHeight="1">
      <x:c r="A129" s="23" t="str">
        <x:v>FT-Q-V01-128</x:v>
      </x:c>
      <x:c r="B129" s="24" t="str">
        <x:v>worry</x:v>
      </x:c>
      <x:c r="C129" s="24" t="str">
        <x:v>spontaneous worry</x:v>
      </x:c>
      <x:c r="D129" s="25" t="str">
        <x:v>worry</x:v>
      </x:c>
      <x:c r="E129" s="25" t="str">
        <x:v>C</x:v>
      </x:c>
      <x:c r="F129" s="25" t="str">
        <x:v>BACKGROUND_AMBIGUOUS</x:v>
      </x:c>
      <x:c r="G129" s="25" t="str">
        <x:v>BACKGROUND_AMBIGUOUS</x:v>
      </x:c>
      <x:c r="H129" s="25" t="str">
        <x:v>eng</x:v>
      </x:c>
      <x:c r="I129" s="25" t="str">
        <x:v>current English corpus (July 2024 dataset; public shorthand eng; mutable current corpus)</x:v>
      </x:c>
      <x:c r="J129" s="25" t="str">
        <x:v>1842</x:v>
      </x:c>
      <x:c r="K129" s="25" t="str">
        <x:v>2022</x:v>
      </x:c>
      <x:c r="L129" s="25" t="str">
        <x:v>1842</x:v>
      </x:c>
      <x:c r="M129" s="25" t="str">
        <x:v>181</x:v>
      </x:c>
      <x:c r="N129" s="25" t="str">
        <x:v>2020</x:v>
      </x:c>
      <x:c r="O129" s="26" t="str">
        <x:v>6.196994795857821e-05</x:v>
      </x:c>
      <x:c r="P129" s="26" t="str">
        <x:v>3.846438818300157e-05</x:v>
      </x:c>
      <x:c r="Q129" s="26" t="str">
        <x:v>4.805623241566082e-07</x:v>
      </x:c>
      <x:c r="R129" s="26" t="str">
        <x:v>7.171509579961821e-06</x:v>
      </x:c>
      <x:c r="S129" s="26" t="str">
        <x:v>8.552264262107201e-06</x:v>
      </x:c>
      <x:c r="T129" s="26" t="str">
        <x:v>1.784828057793675e-05</x:v>
      </x:c>
      <x:c r="U129" s="26" t="str">
        <x:v>1.894994632323233e-05</x:v>
      </x:c>
      <x:c r="V129" s="26" t="str">
        <x:v>1.839911345058454e-05</x:v>
      </x:c>
      <x:c r="W129" s="26" t="str">
        <x:v>3.979197197168105e-05</x:v>
      </x:c>
      <x:c r="X129" s="26" t="str">
        <x:v>3.846438818300157e-05</x:v>
      </x:c>
      <x:c r="Y129" s="26" t="str">
        <x:v>3.846438818300157e-05</x:v>
      </x:c>
      <x:c r="Z129" s="25" t="str">
        <x:v>2022</x:v>
      </x:c>
      <x:c r="AA129" s="25" t="str">
        <x:v>AVAILABLE</x:v>
      </x:c>
      <x:c r="AB129" s="25" t="str">
        <x:v>AVAILABLE</x:v>
      </x:c>
      <x:c r="AC129" s="27" t="str">
        <x:v>Generic corpus string frequency; not climate-specific semantic frequency.</x:v>
      </x:c>
    </x:row>
    <x:row r="130" ht="19" customHeight="1">
      <x:c r="A130" s="23" t="str">
        <x:v>FT-Q-V01-129</x:v>
      </x:c>
      <x:c r="B130" s="24" t="str">
        <x:v>worried</x:v>
      </x:c>
      <x:c r="C130" s="24" t="str">
        <x:v>spontaneous worry</x:v>
      </x:c>
      <x:c r="D130" s="25" t="str">
        <x:v>worry</x:v>
      </x:c>
      <x:c r="E130" s="25" t="str">
        <x:v>C</x:v>
      </x:c>
      <x:c r="F130" s="25" t="str">
        <x:v>BACKGROUND_AMBIGUOUS</x:v>
      </x:c>
      <x:c r="G130" s="25" t="str">
        <x:v>BACKGROUND_AMBIGUOUS</x:v>
      </x:c>
      <x:c r="H130" s="25" t="str">
        <x:v>eng</x:v>
      </x:c>
      <x:c r="I130" s="25" t="str">
        <x:v>current English corpus (July 2024 dataset; public shorthand eng; mutable current corpus)</x:v>
      </x:c>
      <x:c r="J130" s="25" t="str">
        <x:v>1842</x:v>
      </x:c>
      <x:c r="K130" s="25" t="str">
        <x:v>2022</x:v>
      </x:c>
      <x:c r="L130" s="25" t="str">
        <x:v>1842</x:v>
      </x:c>
      <x:c r="M130" s="25" t="str">
        <x:v>181</x:v>
      </x:c>
      <x:c r="N130" s="25" t="str">
        <x:v>2020</x:v>
      </x:c>
      <x:c r="O130" s="26" t="str">
        <x:v>4.567738176319835e-05</x:v>
      </x:c>
      <x:c r="P130" s="26" t="str">
        <x:v>2.789063478303433e-05</x:v>
      </x:c>
      <x:c r="Q130" s="26" t="str">
        <x:v>4.769124855030782e-07</x:v>
      </x:c>
      <x:c r="R130" s="26" t="str">
        <x:v>3.260957816664245e-06</x:v>
      </x:c>
      <x:c r="S130" s="26" t="str">
        <x:v>5.68047238402869e-06</x:v>
      </x:c>
      <x:c r="T130" s="26" t="str">
        <x:v>1.124815432973492e-05</x:v>
      </x:c>
      <x:c r="U130" s="26" t="str">
        <x:v>1.229906930433344e-05</x:v>
      </x:c>
      <x:c r="V130" s="26" t="str">
        <x:v>1.177361181703418e-05</x:v>
      </x:c>
      <x:c r="W130" s="26" t="str">
        <x:v>2.799075704729148e-05</x:v>
      </x:c>
      <x:c r="X130" s="26" t="str">
        <x:v>2.789063478303433e-05</x:v>
      </x:c>
      <x:c r="Y130" s="26" t="str">
        <x:v>2.789063478303433e-05</x:v>
      </x:c>
      <x:c r="Z130" s="25" t="str">
        <x:v>2022</x:v>
      </x:c>
      <x:c r="AA130" s="25" t="str">
        <x:v>AVAILABLE</x:v>
      </x:c>
      <x:c r="AB130" s="25" t="str">
        <x:v>AVAILABLE</x:v>
      </x:c>
      <x:c r="AC130" s="27" t="str">
        <x:v>Generic corpus string frequency; not climate-specific semantic frequency.</x:v>
      </x:c>
    </x:row>
    <x:row r="131" ht="19" customHeight="1">
      <x:c r="A131" s="23" t="str">
        <x:v>FT-Q-V01-130</x:v>
      </x:c>
      <x:c r="B131" s="24" t="str">
        <x:v>concern</x:v>
      </x:c>
      <x:c r="C131" s="24" t="str">
        <x:v>personal concern</x:v>
      </x:c>
      <x:c r="D131" s="25" t="str">
        <x:v>concern_alarm</x:v>
      </x:c>
      <x:c r="E131" s="25" t="str">
        <x:v>C</x:v>
      </x:c>
      <x:c r="F131" s="25" t="str">
        <x:v>BACKGROUND_AMBIGUOUS</x:v>
      </x:c>
      <x:c r="G131" s="25" t="str">
        <x:v>BACKGROUND_AMBIGUOUS</x:v>
      </x:c>
      <x:c r="H131" s="25" t="str">
        <x:v>eng</x:v>
      </x:c>
      <x:c r="I131" s="25" t="str">
        <x:v>current English corpus (July 2024 dataset; public shorthand eng; mutable current corpus)</x:v>
      </x:c>
      <x:c r="J131" s="25" t="str">
        <x:v>1842</x:v>
      </x:c>
      <x:c r="K131" s="25" t="str">
        <x:v>2022</x:v>
      </x:c>
      <x:c r="L131" s="25" t="str">
        <x:v>1842</x:v>
      </x:c>
      <x:c r="M131" s="25" t="str">
        <x:v>181</x:v>
      </x:c>
      <x:c r="N131" s="25" t="str">
        <x:v>1980</x:v>
      </x:c>
      <x:c r="O131" s="26" t="str">
        <x:v>5.580853074187153e-05</x:v>
      </x:c>
      <x:c r="P131" s="26" t="str">
        <x:v>4.295100018327641e-05</x:v>
      </x:c>
      <x:c r="Q131" s="26" t="str">
        <x:v>1.612012939489205e-05</x:v>
      </x:c>
      <x:c r="R131" s="26" t="str">
        <x:v>2.328789579256196e-05</x:v>
      </x:c>
      <x:c r="S131" s="26" t="str">
        <x:v>5.265726562726086e-05</x:v>
      </x:c>
      <x:c r="T131" s="26" t="str">
        <x:v>4.750323816384017e-05</x:v>
      </x:c>
      <x:c r="U131" s="26" t="str">
        <x:v>4.754463289202704e-05</x:v>
      </x:c>
      <x:c r="V131" s="26" t="str">
        <x:v>4.75239355279336e-05</x:v>
      </x:c>
      <x:c r="W131" s="26" t="str">
        <x:v>4.886092219905103e-05</x:v>
      </x:c>
      <x:c r="X131" s="26" t="str">
        <x:v>4.295100018327641e-05</x:v>
      </x:c>
      <x:c r="Y131" s="26" t="str">
        <x:v>4.295100018327641e-05</x:v>
      </x:c>
      <x:c r="Z131" s="25" t="str">
        <x:v>2022</x:v>
      </x:c>
      <x:c r="AA131" s="25" t="str">
        <x:v>AVAILABLE</x:v>
      </x:c>
      <x:c r="AB131" s="25" t="str">
        <x:v>AVAILABLE</x:v>
      </x:c>
      <x:c r="AC131" s="27" t="str">
        <x:v>Generic corpus string frequency; not climate-specific semantic frequency.</x:v>
      </x:c>
    </x:row>
    <x:row r="132" ht="19" customHeight="1">
      <x:c r="A132" s="23" t="str">
        <x:v>FT-Q-V01-131</x:v>
      </x:c>
      <x:c r="B132" s="24" t="str">
        <x:v>anxiety</x:v>
      </x:c>
      <x:c r="C132" s="24" t="str">
        <x:v>anxious affect</x:v>
      </x:c>
      <x:c r="D132" s="25" t="str">
        <x:v>anxiety</x:v>
      </x:c>
      <x:c r="E132" s="25" t="str">
        <x:v>C</x:v>
      </x:c>
      <x:c r="F132" s="25" t="str">
        <x:v>BACKGROUND_AMBIGUOUS</x:v>
      </x:c>
      <x:c r="G132" s="25" t="str">
        <x:v>BACKGROUND_AMBIGUOUS</x:v>
      </x:c>
      <x:c r="H132" s="25" t="str">
        <x:v>eng</x:v>
      </x:c>
      <x:c r="I132" s="25" t="str">
        <x:v>current English corpus (July 2024 dataset; public shorthand eng; mutable current corpus)</x:v>
      </x:c>
      <x:c r="J132" s="25" t="str">
        <x:v>1842</x:v>
      </x:c>
      <x:c r="K132" s="25" t="str">
        <x:v>2022</x:v>
      </x:c>
      <x:c r="L132" s="25" t="str">
        <x:v>1842</x:v>
      </x:c>
      <x:c r="M132" s="25" t="str">
        <x:v>181</x:v>
      </x:c>
      <x:c r="N132" s="25" t="str">
        <x:v>2022</x:v>
      </x:c>
      <x:c r="O132" s="26" t="str">
        <x:v>3.612426158383641e-05</x:v>
      </x:c>
      <x:c r="P132" s="26" t="str">
        <x:v>3.612426158383641e-05</x:v>
      </x:c>
      <x:c r="Q132" s="26" t="str">
        <x:v>2.187045254231634e-05</x:v>
      </x:c>
      <x:c r="R132" s="26" t="str">
        <x:v>5.693942370044169e-06</x:v>
      </x:c>
      <x:c r="S132" s="26" t="str">
        <x:v>1.336584155353648e-05</x:v>
      </x:c>
      <x:c r="T132" s="26" t="str">
        <x:v>1.985612161092831e-05</x:v>
      </x:c>
      <x:c r="U132" s="26" t="str">
        <x:v>2.133666293957504e-05</x:v>
      </x:c>
      <x:c r="V132" s="26" t="str">
        <x:v>2.059639227525167e-05</x:v>
      </x:c>
      <x:c r="W132" s="26" t="str">
        <x:v>3.08450222803458e-05</x:v>
      </x:c>
      <x:c r="X132" s="26" t="str">
        <x:v>3.612426158383641e-05</x:v>
      </x:c>
      <x:c r="Y132" s="26" t="str">
        <x:v>3.612426158383641e-05</x:v>
      </x:c>
      <x:c r="Z132" s="25" t="str">
        <x:v>2022</x:v>
      </x:c>
      <x:c r="AA132" s="25" t="str">
        <x:v>AVAILABLE</x:v>
      </x:c>
      <x:c r="AB132" s="25" t="str">
        <x:v>AVAILABLE</x:v>
      </x:c>
      <x:c r="AC132" s="27" t="str">
        <x:v>Generic corpus string frequency; not climate-specific semantic frequency.</x:v>
      </x:c>
    </x:row>
    <x:row r="133" ht="19" customHeight="1">
      <x:c r="A133" s="23" t="str">
        <x:v>FT-Q-V01-132</x:v>
      </x:c>
      <x:c r="B133" s="24" t="str">
        <x:v>danger</x:v>
      </x:c>
      <x:c r="C133" s="24" t="str">
        <x:v>hazard evaluation</x:v>
      </x:c>
      <x:c r="D133" s="25" t="str">
        <x:v>danger_threat</x:v>
      </x:c>
      <x:c r="E133" s="25" t="str">
        <x:v>D</x:v>
      </x:c>
      <x:c r="F133" s="25" t="str">
        <x:v>BACKGROUND_AMBIGUOUS</x:v>
      </x:c>
      <x:c r="G133" s="25" t="str">
        <x:v>BACKGROUND_AMBIGUOUS</x:v>
      </x:c>
      <x:c r="H133" s="25" t="str">
        <x:v>eng</x:v>
      </x:c>
      <x:c r="I133" s="25" t="str">
        <x:v>current English corpus (July 2024 dataset; public shorthand eng; mutable current corpus)</x:v>
      </x:c>
      <x:c r="J133" s="25" t="str">
        <x:v>1842</x:v>
      </x:c>
      <x:c r="K133" s="25" t="str">
        <x:v>2022</x:v>
      </x:c>
      <x:c r="L133" s="25" t="str">
        <x:v>1842</x:v>
      </x:c>
      <x:c r="M133" s="25" t="str">
        <x:v>181</x:v>
      </x:c>
      <x:c r="N133" s="25" t="str">
        <x:v>1848</x:v>
      </x:c>
      <x:c r="O133" s="26" t="str">
        <x:v>6.80098231100601e-05</x:v>
      </x:c>
      <x:c r="P133" s="26" t="str">
        <x:v>3.447699095004975e-05</x:v>
      </x:c>
      <x:c r="Q133" s="26" t="str">
        <x:v>6.476216250916877e-05</x:v>
      </x:c>
      <x:c r="R133" s="26" t="str">
        <x:v>3.397146667794004e-05</x:v>
      </x:c>
      <x:c r="S133" s="26" t="str">
        <x:v>1.925716885878628e-05</x:v>
      </x:c>
      <x:c r="T133" s="26" t="str">
        <x:v>2.236469851597117e-05</x:v>
      </x:c>
      <x:c r="U133" s="26" t="str">
        <x:v>2.336907294875346e-05</x:v>
      </x:c>
      <x:c r="V133" s="26" t="str">
        <x:v>2.286688573236231e-05</x:v>
      </x:c>
      <x:c r="W133" s="26" t="str">
        <x:v>3.182665381018523e-05</x:v>
      </x:c>
      <x:c r="X133" s="26" t="str">
        <x:v>3.447699095004975e-05</x:v>
      </x:c>
      <x:c r="Y133" s="26" t="str">
        <x:v>3.447699095004975e-05</x:v>
      </x:c>
      <x:c r="Z133" s="25" t="str">
        <x:v>2022</x:v>
      </x:c>
      <x:c r="AA133" s="25" t="str">
        <x:v>AVAILABLE</x:v>
      </x:c>
      <x:c r="AB133" s="25" t="str">
        <x:v>AVAILABLE</x:v>
      </x:c>
      <x:c r="AC133" s="27" t="str">
        <x:v>Generic corpus string frequency; not climate-specific semantic frequency.</x:v>
      </x:c>
    </x:row>
    <x:row r="134" ht="19" customHeight="1">
      <x:c r="A134" s="23" t="str">
        <x:v>FT-Q-V01-133</x:v>
      </x:c>
      <x:c r="B134" s="24" t="str">
        <x:v>threat</x:v>
      </x:c>
      <x:c r="C134" s="24" t="str">
        <x:v>institutional climate threat</x:v>
      </x:c>
      <x:c r="D134" s="25" t="str">
        <x:v>danger_threat</x:v>
      </x:c>
      <x:c r="E134" s="25" t="str">
        <x:v>D</x:v>
      </x:c>
      <x:c r="F134" s="25" t="str">
        <x:v>BACKGROUND_AMBIGUOUS</x:v>
      </x:c>
      <x:c r="G134" s="25" t="str">
        <x:v>BACKGROUND_AMBIGUOUS</x:v>
      </x:c>
      <x:c r="H134" s="25" t="str">
        <x:v>eng</x:v>
      </x:c>
      <x:c r="I134" s="25" t="str">
        <x:v>current English corpus (July 2024 dataset; public shorthand eng; mutable current corpus)</x:v>
      </x:c>
      <x:c r="J134" s="25" t="str">
        <x:v>1842</x:v>
      </x:c>
      <x:c r="K134" s="25" t="str">
        <x:v>2022</x:v>
      </x:c>
      <x:c r="L134" s="25" t="str">
        <x:v>1842</x:v>
      </x:c>
      <x:c r="M134" s="25" t="str">
        <x:v>181</x:v>
      </x:c>
      <x:c r="N134" s="25" t="str">
        <x:v>2016</x:v>
      </x:c>
      <x:c r="O134" s="26" t="str">
        <x:v>3.743174778492175e-05</x:v>
      </x:c>
      <x:c r="P134" s="26" t="str">
        <x:v>3.306681564652081e-05</x:v>
      </x:c>
      <x:c r="Q134" s="26" t="str">
        <x:v>2.933255078829689e-06</x:v>
      </x:c>
      <x:c r="R134" s="26" t="str">
        <x:v>6.94792089461771e-06</x:v>
      </x:c>
      <x:c r="S134" s="26" t="str">
        <x:v>2.416082722334068e-05</x:v>
      </x:c>
      <x:c r="T134" s="26" t="str">
        <x:v>3.019828658068491e-05</x:v>
      </x:c>
      <x:c r="U134" s="26" t="str">
        <x:v>3.021426681470984e-05</x:v>
      </x:c>
      <x:c r="V134" s="26" t="str">
        <x:v>3.020627669769738e-05</x:v>
      </x:c>
      <x:c r="W134" s="26" t="str">
        <x:v>3.481453398990197e-05</x:v>
      </x:c>
      <x:c r="X134" s="26" t="str">
        <x:v>3.306681564652081e-05</x:v>
      </x:c>
      <x:c r="Y134" s="26" t="str">
        <x:v>3.306681564652081e-05</x:v>
      </x:c>
      <x:c r="Z134" s="25" t="str">
        <x:v>2022</x:v>
      </x:c>
      <x:c r="AA134" s="25" t="str">
        <x:v>AVAILABLE</x:v>
      </x:c>
      <x:c r="AB134" s="25" t="str">
        <x:v>AVAILABLE</x:v>
      </x:c>
      <x:c r="AC134" s="27" t="str">
        <x:v>Generic corpus string frequency; not climate-specific semantic frequency.</x:v>
      </x:c>
    </x:row>
    <x:row r="135" ht="19" customHeight="1">
      <x:c r="A135" s="23" t="str">
        <x:v>FT-Q-V01-134</x:v>
      </x:c>
      <x:c r="B135" s="24" t="str">
        <x:v>risk</x:v>
      </x:c>
      <x:c r="C135" s="24" t="str">
        <x:v>probabilistic risk</x:v>
      </x:c>
      <x:c r="D135" s="25" t="str">
        <x:v>risk</x:v>
      </x:c>
      <x:c r="E135" s="25" t="str">
        <x:v>D</x:v>
      </x:c>
      <x:c r="F135" s="25" t="str">
        <x:v>BACKGROUND_AMBIGUOUS</x:v>
      </x:c>
      <x:c r="G135" s="25" t="str">
        <x:v>BACKGROUND_AMBIGUOUS</x:v>
      </x:c>
      <x:c r="H135" s="25" t="str">
        <x:v>eng</x:v>
      </x:c>
      <x:c r="I135" s="25" t="str">
        <x:v>current English corpus (July 2024 dataset; public shorthand eng; mutable current corpus)</x:v>
      </x:c>
      <x:c r="J135" s="25" t="str">
        <x:v>1842</x:v>
      </x:c>
      <x:c r="K135" s="25" t="str">
        <x:v>2022</x:v>
      </x:c>
      <x:c r="L135" s="25" t="str">
        <x:v>1842</x:v>
      </x:c>
      <x:c r="M135" s="25" t="str">
        <x:v>181</x:v>
      </x:c>
      <x:c r="N135" s="25" t="str">
        <x:v>2018</x:v>
      </x:c>
      <x:c r="O135" s="26" t="str">
        <x:v>0.0001718192719270539</x:v>
      </x:c>
      <x:c r="P135" s="26" t="str">
        <x:v>0.0001606175536089036</x:v>
      </x:c>
      <x:c r="Q135" s="26" t="str">
        <x:v>1.945669182745746e-05</x:v>
      </x:c>
      <x:c r="R135" s="26" t="str">
        <x:v>2.148629917542166e-05</x:v>
      </x:c>
      <x:c r="S135" s="26" t="str">
        <x:v>9.523120202559188e-05</x:v>
      </x:c>
      <x:c r="T135" s="26" t="str">
        <x:v>0.0001531028393812021</x:v>
      </x:c>
      <x:c r="U135" s="26" t="str">
        <x:v>0.0001609916869453679</x:v>
      </x:c>
      <x:c r="V135" s="26" t="str">
        <x:v>0.000157047263163285</x:v>
      </x:c>
      <x:c r="W135" s="26" t="str">
        <x:v>0.0001617306934208473</x:v>
      </x:c>
      <x:c r="X135" s="26" t="str">
        <x:v>0.0001606175536089036</x:v>
      </x:c>
      <x:c r="Y135" s="26" t="str">
        <x:v>0.0001606175536089036</x:v>
      </x:c>
      <x:c r="Z135" s="25" t="str">
        <x:v>2022</x:v>
      </x:c>
      <x:c r="AA135" s="25" t="str">
        <x:v>AVAILABLE</x:v>
      </x:c>
      <x:c r="AB135" s="25" t="str">
        <x:v>AVAILABLE</x:v>
      </x:c>
      <x:c r="AC135" s="27" t="str">
        <x:v>Generic corpus string frequency; not climate-specific semantic frequency.</x:v>
      </x:c>
    </x:row>
    <x:row r="136" ht="19" customHeight="1">
      <x:c r="A136" s="23" t="str">
        <x:v>FT-Q-V01-135</x:v>
      </x:c>
      <x:c r="B136" s="24" t="str">
        <x:v>crisis</x:v>
      </x:c>
      <x:c r="C136" s="24" t="str">
        <x:v>severity / crisis predicate</x:v>
      </x:c>
      <x:c r="D136" s="25" t="str">
        <x:v>crisis_emergency</x:v>
      </x:c>
      <x:c r="E136" s="25" t="str">
        <x:v>D</x:v>
      </x:c>
      <x:c r="F136" s="25" t="str">
        <x:v>BACKGROUND_AMBIGUOUS</x:v>
      </x:c>
      <x:c r="G136" s="25" t="str">
        <x:v>BACKGROUND_AMBIGUOUS</x:v>
      </x:c>
      <x:c r="H136" s="25" t="str">
        <x:v>eng</x:v>
      </x:c>
      <x:c r="I136" s="25" t="str">
        <x:v>current English corpus (July 2024 dataset; public shorthand eng; mutable current corpus)</x:v>
      </x:c>
      <x:c r="J136" s="25" t="str">
        <x:v>1842</x:v>
      </x:c>
      <x:c r="K136" s="25" t="str">
        <x:v>2022</x:v>
      </x:c>
      <x:c r="L136" s="25" t="str">
        <x:v>1842</x:v>
      </x:c>
      <x:c r="M136" s="25" t="str">
        <x:v>181</x:v>
      </x:c>
      <x:c r="N136" s="25" t="str">
        <x:v>2021</x:v>
      </x:c>
      <x:c r="O136" s="26" t="str">
        <x:v>5.15266768562235e-05</x:v>
      </x:c>
      <x:c r="P136" s="26" t="str">
        <x:v>4.809110998900065e-05</x:v>
      </x:c>
      <x:c r="Q136" s="26" t="str">
        <x:v>7.94996059028108e-06</x:v>
      </x:c>
      <x:c r="R136" s="26" t="str">
        <x:v>1.376144248865785e-05</x:v>
      </x:c>
      <x:c r="S136" s="26" t="str">
        <x:v>3.130539030934618e-05</x:v>
      </x:c>
      <x:c r="T136" s="26" t="str">
        <x:v>3.28408971757288e-05</x:v>
      </x:c>
      <x:c r="U136" s="26" t="str">
        <x:v>3.38174911674663e-05</x:v>
      </x:c>
      <x:c r="V136" s="26" t="str">
        <x:v>3.332919417159755e-05</x:v>
      </x:c>
      <x:c r="W136" s="26" t="str">
        <x:v>4.455437012765295e-05</x:v>
      </x:c>
      <x:c r="X136" s="26" t="str">
        <x:v>4.809110998900065e-05</x:v>
      </x:c>
      <x:c r="Y136" s="26" t="str">
        <x:v>4.809110998900065e-05</x:v>
      </x:c>
      <x:c r="Z136" s="25" t="str">
        <x:v>2022</x:v>
      </x:c>
      <x:c r="AA136" s="25" t="str">
        <x:v>AVAILABLE</x:v>
      </x:c>
      <x:c r="AB136" s="25" t="str">
        <x:v>AVAILABLE</x:v>
      </x:c>
      <x:c r="AC136" s="27" t="str">
        <x:v>Generic corpus string frequency; not climate-specific semantic frequency.</x:v>
      </x:c>
    </x:row>
    <x:row r="137" ht="19" customHeight="1">
      <x:c r="A137" s="23" t="str">
        <x:v>FT-Q-V01-136</x:v>
      </x:c>
      <x:c r="B137" s="24" t="str">
        <x:v>emergency</x:v>
      </x:c>
      <x:c r="C137" s="24" t="str">
        <x:v>emergency response category</x:v>
      </x:c>
      <x:c r="D137" s="25" t="str">
        <x:v>crisis_emergency</x:v>
      </x:c>
      <x:c r="E137" s="25" t="str">
        <x:v>D</x:v>
      </x:c>
      <x:c r="F137" s="25" t="str">
        <x:v>BACKGROUND_AMBIGUOUS</x:v>
      </x:c>
      <x:c r="G137" s="25" t="str">
        <x:v>BACKGROUND_AMBIGUOUS</x:v>
      </x:c>
      <x:c r="H137" s="25" t="str">
        <x:v>eng</x:v>
      </x:c>
      <x:c r="I137" s="25" t="str">
        <x:v>current English corpus (July 2024 dataset; public shorthand eng; mutable current corpus)</x:v>
      </x:c>
      <x:c r="J137" s="25" t="str">
        <x:v>1842</x:v>
      </x:c>
      <x:c r="K137" s="25" t="str">
        <x:v>2022</x:v>
      </x:c>
      <x:c r="L137" s="25" t="str">
        <x:v>1842</x:v>
      </x:c>
      <x:c r="M137" s="25" t="str">
        <x:v>181</x:v>
      </x:c>
      <x:c r="N137" s="25" t="str">
        <x:v>1942</x:v>
      </x:c>
      <x:c r="O137" s="26" t="str">
        <x:v>7.97291783051074e-05</x:v>
      </x:c>
      <x:c r="P137" s="26" t="str">
        <x:v>2.919771714124386e-05</x:v>
      </x:c>
      <x:c r="Q137" s="26" t="str">
        <x:v>4.67909548618195e-06</x:v>
      </x:c>
      <x:c r="R137" s="26" t="str">
        <x:v>4.044305869846387e-05</x:v>
      </x:c>
      <x:c r="S137" s="26" t="str">
        <x:v>4.546920429717924e-05</x:v>
      </x:c>
      <x:c r="T137" s="26" t="str">
        <x:v>4.097540266245411e-05</x:v>
      </x:c>
      <x:c r="U137" s="26" t="str">
        <x:v>4.033688333133362e-05</x:v>
      </x:c>
      <x:c r="V137" s="26" t="str">
        <x:v>4.065614299689387e-05</x:v>
      </x:c>
      <x:c r="W137" s="26" t="str">
        <x:v>3.082039562257721e-05</x:v>
      </x:c>
      <x:c r="X137" s="26" t="str">
        <x:v>2.919771714124386e-05</x:v>
      </x:c>
      <x:c r="Y137" s="26" t="str">
        <x:v>2.919771714124386e-05</x:v>
      </x:c>
      <x:c r="Z137" s="25" t="str">
        <x:v>2022</x:v>
      </x:c>
      <x:c r="AA137" s="25" t="str">
        <x:v>AVAILABLE</x:v>
      </x:c>
      <x:c r="AB137" s="25" t="str">
        <x:v>AVAILABLE</x:v>
      </x:c>
      <x:c r="AC137" s="27" t="str">
        <x:v>Generic corpus string frequency; not climate-specific semantic frequency.</x:v>
      </x:c>
    </x:row>
    <x:row r="138" ht="19" customHeight="1">
      <x:c r="A138" s="23" t="str">
        <x:v>FT-Q-V01-137</x:v>
      </x:c>
      <x:c r="B138" s="24" t="str">
        <x:v>mortality</x:v>
      </x:c>
      <x:c r="C138" s="24" t="str">
        <x:v>mortality</x:v>
      </x:c>
      <x:c r="D138" s="25" t="str">
        <x:v>harm_loss_consequences</x:v>
      </x:c>
      <x:c r="E138" s="25" t="str">
        <x:v>D</x:v>
      </x:c>
      <x:c r="F138" s="25" t="str">
        <x:v>BACKGROUND_AMBIGUOUS</x:v>
      </x:c>
      <x:c r="G138" s="25" t="str">
        <x:v>BACKGROUND_AMBIGUOUS</x:v>
      </x:c>
      <x:c r="H138" s="25" t="str">
        <x:v>eng</x:v>
      </x:c>
      <x:c r="I138" s="25" t="str">
        <x:v>current English corpus (July 2024 dataset; public shorthand eng; mutable current corpus)</x:v>
      </x:c>
      <x:c r="J138" s="25" t="str">
        <x:v>1842</x:v>
      </x:c>
      <x:c r="K138" s="25" t="str">
        <x:v>2022</x:v>
      </x:c>
      <x:c r="L138" s="25" t="str">
        <x:v>1842</x:v>
      </x:c>
      <x:c r="M138" s="25" t="str">
        <x:v>181</x:v>
      </x:c>
      <x:c r="N138" s="25" t="str">
        <x:v>1987</x:v>
      </x:c>
      <x:c r="O138" s="26" t="str">
        <x:v>2.794374572598346e-05</x:v>
      </x:c>
      <x:c r="P138" s="26" t="str">
        <x:v>1.958383349346185e-05</x:v>
      </x:c>
      <x:c r="Q138" s="26" t="str">
        <x:v>1.566694004395686e-05</x:v>
      </x:c>
      <x:c r="R138" s="26" t="str">
        <x:v>1.688718413106471e-05</x:v>
      </x:c>
      <x:c r="S138" s="26" t="str">
        <x:v>2.448060722329629e-05</x:v>
      </x:c>
      <x:c r="T138" s="26" t="str">
        <x:v>2.124850796292321e-05</x:v>
      </x:c>
      <x:c r="U138" s="26" t="str">
        <x:v>2.165015705683782e-05</x:v>
      </x:c>
      <x:c r="V138" s="26" t="str">
        <x:v>2.144933250988051e-05</x:v>
      </x:c>
      <x:c r="W138" s="26" t="str">
        <x:v>1.797212218355992e-05</x:v>
      </x:c>
      <x:c r="X138" s="26" t="str">
        <x:v>1.958383349346185e-05</x:v>
      </x:c>
      <x:c r="Y138" s="26" t="str">
        <x:v>1.958383349346185e-05</x:v>
      </x:c>
      <x:c r="Z138" s="25" t="str">
        <x:v>2022</x:v>
      </x:c>
      <x:c r="AA138" s="25" t="str">
        <x:v>AVAILABLE</x:v>
      </x:c>
      <x:c r="AB138" s="25" t="str">
        <x:v>AVAILABLE</x:v>
      </x:c>
      <x:c r="AC138" s="27" t="str">
        <x:v>Generic corpus string frequency; not climate-specific semantic frequency.</x:v>
      </x:c>
    </x:row>
    <x:row r="139" ht="19" customHeight="1">
      <x:c r="A139" s="23" t="str">
        <x:v>FT-Q-V01-138</x:v>
      </x:c>
      <x:c r="B139" s="24" t="str">
        <x:v>heat of the irons</x:v>
      </x:c>
      <x:c r="C139" s="24" t="str">
        <x:v>physical heat source / state</x:v>
      </x:c>
      <x:c r="D139" s="25" t="str">
        <x:v>heat</x:v>
      </x:c>
      <x:c r="E139" s="25" t="str">
        <x:v>A</x:v>
      </x:c>
      <x:c r="F139" s="25" t="str">
        <x:v>EXECUTABLE_NGRAM</x:v>
      </x:c>
      <x:c r="G139" s="25" t="str">
        <x:v>CONTEXT_REQUIRED</x:v>
      </x:c>
      <x:c r="H139" s="25" t="str">
        <x:v>eng</x:v>
      </x:c>
      <x:c r="I139" s="25" t="str">
        <x:v>current English corpus (July 2024 dataset; public shorthand eng; mutable current corpus)</x:v>
      </x:c>
      <x:c r="J139" s="25" t="str">
        <x:v>1842</x:v>
      </x:c>
      <x:c r="K139" s="25" t="str">
        <x:v>2022</x:v>
      </x:c>
      <x:c r="L139" s="25" t="str">
        <x:v>1842</x:v>
      </x:c>
      <x:c r="M139" s="25" t="str">
        <x:v>108</x:v>
      </x:c>
      <x:c r="N139" s="25" t="str">
        <x:v>1843</x:v>
      </x:c>
      <x:c r="O139" s="26" t="str">
        <x:v>6.583029232842819e-09</x:v>
      </x:c>
      <x:c r="P139" s="26" t="str">
        <x:v>1.016233625028562e-10</x:v>
      </x:c>
      <x:c r="Q139" s="26" t="str">
        <x:v>1.466886390133482e-09</x:v>
      </x:c>
      <x:c r="R139" s="26" t="str">
        <x:v>1.354462930702738e-10</x:v>
      </x:c>
      <x:c r="S139" s="26" t="str">
        <x:v>5.975666489410614e-11</x:v>
      </x:c>
      <x:c r="T139" s="26" t="str">
        <x:v>0</x:v>
      </x:c>
      <x:c r="U139" s="26" t="str">
        <x:v>0</x:v>
      </x:c>
      <x:c r="V139" s="26" t="str">
        <x:v>0</x:v>
      </x:c>
      <x:c r="W139" s="26" t="str">
        <x:v>1.075366740099781e-10</x:v>
      </x:c>
      <x:c r="X139" s="26" t="str">
        <x:v>1.016233625028562e-10</x:v>
      </x:c>
      <x:c r="Y139" s="26" t="str">
        <x:v>1.016233625028562e-10</x:v>
      </x:c>
      <x:c r="Z139" s="25" t="str">
        <x:v>2022</x:v>
      </x:c>
      <x:c r="AA139" s="25" t="str">
        <x:v>AVAILABLE</x:v>
      </x:c>
      <x:c r="AB139" s="25" t="str">
        <x:v>AVAILABLE</x:v>
      </x:c>
      <x:c r="AC139" s="27" t="str">
        <x:v>Climate/temperature-linked lexical frequency; still not evidence of reception, voice, or affect without passage review.</x:v>
      </x:c>
    </x:row>
    <x:row r="140" ht="19" customHeight="1">
      <x:c r="A140" s="23" t="str">
        <x:v>FT-Q-V01-139</x:v>
      </x:c>
      <x:c r="B140" s="24" t="str">
        <x:v>heat wave</x:v>
      </x:c>
      <x:c r="C140" s="24" t="str">
        <x:v>heatwave / weather event</x:v>
      </x:c>
      <x:c r="D140" s="25" t="str">
        <x:v>heat</x:v>
      </x:c>
      <x:c r="E140" s="25" t="str">
        <x:v>A</x:v>
      </x:c>
      <x:c r="F140" s="25" t="str">
        <x:v>EXECUTABLE_NGRAM</x:v>
      </x:c>
      <x:c r="G140" s="25" t="str">
        <x:v>CLIMATE_SPECIFIC</x:v>
      </x:c>
      <x:c r="H140" s="25" t="str">
        <x:v>eng</x:v>
      </x:c>
      <x:c r="I140" s="25" t="str">
        <x:v>current English corpus (July 2024 dataset; public shorthand eng; mutable current corpus)</x:v>
      </x:c>
      <x:c r="J140" s="25" t="str">
        <x:v>1842</x:v>
      </x:c>
      <x:c r="K140" s="25" t="str">
        <x:v>2022</x:v>
      </x:c>
      <x:c r="L140" s="25" t="str">
        <x:v>1842</x:v>
      </x:c>
      <x:c r="M140" s="25" t="str">
        <x:v>169</x:v>
      </x:c>
      <x:c r="N140" s="25" t="str">
        <x:v>2020</x:v>
      </x:c>
      <x:c r="O140" s="26" t="str">
        <x:v>3.703185072062576e-07</x:v>
      </x:c>
      <x:c r="P140" s="26" t="str">
        <x:v>3.006541136052476e-07</x:v>
      </x:c>
      <x:c r="Q140" s="26" t="str">
        <x:v>4.514918217068953e-09</x:v>
      </x:c>
      <x:c r="R140" s="26" t="str">
        <x:v>1.921166252749629e-07</x:v>
      </x:c>
      <x:c r="S140" s="26" t="str">
        <x:v>1.718059701449892e-07</x:v>
      </x:c>
      <x:c r="T140" s="26" t="str">
        <x:v>2.572474944173564e-07</x:v>
      </x:c>
      <x:c r="U140" s="26" t="str">
        <x:v>2.559551631371726e-07</x:v>
      </x:c>
      <x:c r="V140" s="26" t="str">
        <x:v>2.566013287772645e-07</x:v>
      </x:c>
      <x:c r="W140" s="26" t="str">
        <x:v>3.528359153667782e-07</x:v>
      </x:c>
      <x:c r="X140" s="26" t="str">
        <x:v>3.006541136052476e-07</x:v>
      </x:c>
      <x:c r="Y140" s="26" t="str">
        <x:v>3.006541136052476e-07</x:v>
      </x:c>
      <x:c r="Z140" s="25" t="str">
        <x:v>2022</x:v>
      </x:c>
      <x:c r="AA140" s="25" t="str">
        <x:v>AVAILABLE</x:v>
      </x:c>
      <x:c r="AB140" s="25" t="str">
        <x:v>AVAILABLE</x:v>
      </x:c>
      <x:c r="AC140" s="27" t="str">
        <x:v>Climate/temperature-linked lexical frequency; still not evidence of reception, voice, or affect without passage review.</x:v>
      </x:c>
    </x:row>
    <x:row r="141" ht="19" customHeight="1">
      <x:c r="A141" s="23" t="str">
        <x:v>FT-Q-V01-140</x:v>
      </x:c>
      <x:c r="B141" s="24" t="str">
        <x:v>grave threats</x:v>
      </x:c>
      <x:c r="C141" s="24" t="str">
        <x:v>institutional climate threat</x:v>
      </x:c>
      <x:c r="D141" s="25" t="str">
        <x:v>danger_threat</x:v>
      </x:c>
      <x:c r="E141" s="25" t="str">
        <x:v>D</x:v>
      </x:c>
      <x:c r="F141" s="25" t="str">
        <x:v>EXECUTABLE_NGRAM</x:v>
      </x:c>
      <x:c r="G141" s="25" t="str">
        <x:v>CONTEXT_REQUIRED</x:v>
      </x:c>
      <x:c r="H141" s="25" t="str">
        <x:v>eng</x:v>
      </x:c>
      <x:c r="I141" s="25" t="str">
        <x:v>current English corpus (July 2024 dataset; public shorthand eng; mutable current corpus)</x:v>
      </x:c>
      <x:c r="J141" s="25" t="str">
        <x:v>1842</x:v>
      </x:c>
      <x:c r="K141" s="25" t="str">
        <x:v>2022</x:v>
      </x:c>
      <x:c r="L141" s="25" t="str">
        <x:v>1843</x:v>
      </x:c>
      <x:c r="M141" s="25" t="str">
        <x:v>141</x:v>
      </x:c>
      <x:c r="N141" s="25" t="str">
        <x:v>2008</x:v>
      </x:c>
      <x:c r="O141" s="26" t="str">
        <x:v>1.763470425242275e-08</x:v>
      </x:c>
      <x:c r="P141" s="26" t="str">
        <x:v>9.423090391313949e-09</x:v>
      </x:c>
      <x:c r="Q141" s="26" t="str">
        <x:v>0</x:v>
      </x:c>
      <x:c r="R141" s="26" t="str">
        <x:v>2.33881092270849e-09</x:v>
      </x:c>
      <x:c r="S141" s="26" t="str">
        <x:v>1.071011054148974e-08</x:v>
      </x:c>
      <x:c r="T141" s="26" t="str">
        <x:v>1.703080053025441e-08</x:v>
      </x:c>
      <x:c r="U141" s="26" t="str">
        <x:v>1.664090922698369e-08</x:v>
      </x:c>
      <x:c r="V141" s="26" t="str">
        <x:v>1.683585487861905e-08</x:v>
      </x:c>
      <x:c r="W141" s="26" t="str">
        <x:v>1.251621790238078e-08</x:v>
      </x:c>
      <x:c r="X141" s="26" t="str">
        <x:v>9.423090391313949e-09</x:v>
      </x:c>
      <x:c r="Y141" s="26" t="str">
        <x:v>9.423090391313949e-09</x:v>
      </x:c>
      <x:c r="Z141" s="25" t="str">
        <x:v>2022</x:v>
      </x:c>
      <x:c r="AA141" s="25" t="str">
        <x:v>AVAILABLE</x:v>
      </x:c>
      <x:c r="AB141" s="25" t="str">
        <x:v>AVAILABLE</x:v>
      </x:c>
      <x:c r="AC141" s="27" t="str">
        <x:v>Climate/temperature-linked lexical frequency; still not evidence of reception, voice, or affect without passage review.</x:v>
      </x:c>
    </x:row>
    <x:row r="142" ht="19" customHeight="1">
      <x:c r="A142" s="23" t="str">
        <x:v>FT-Q-V01-141</x:v>
      </x:c>
      <x:c r="B142" s="24" t="str">
        <x:v>Be Worried. Be Very Worried.</x:v>
      </x:c>
      <x:c r="C142" s="24" t="str">
        <x:v>prescribed worry</x:v>
      </x:c>
      <x:c r="D142" s="25" t="str">
        <x:v>worry</x:v>
      </x:c>
      <x:c r="E142" s="25" t="str">
        <x:v>C</x:v>
      </x:c>
      <x:c r="F142" s="25" t="str">
        <x:v>EXECUTABLE_CORPUS_ONLY</x:v>
      </x:c>
      <x:c r="G142" s="25" t="str">
        <x:v>CLIMATE_SPECIFIC</x:v>
      </x:c>
      <x:c r="H142" s="25" t="str">
        <x:v>eng</x:v>
      </x:c>
      <x:c r="I142" s="25" t="str">
        <x:v>current English corpus (July 2024 dataset; public shorthand eng; mutable current corpus)</x:v>
      </x:c>
      <x:c r="J142" s="25" t="str">
        <x:v>1842</x:v>
      </x:c>
      <x:c r="K142" s="25" t="str">
        <x:v>2022</x:v>
      </x:c>
      <x:c r="L142" s="25" t="str"/>
      <x:c r="M142" s="25" t="str">
        <x:v>0</x:v>
      </x:c>
      <x:c r="N142" s="25" t="str"/>
      <x:c r="O142" s="26" t="str"/>
      <x:c r="P142" s="26" t="str"/>
      <x:c r="Q142" s="26" t="str"/>
      <x:c r="R142" s="26" t="str"/>
      <x:c r="S142" s="26" t="str"/>
      <x:c r="T142" s="26" t="str"/>
      <x:c r="U142" s="26" t="str"/>
      <x:c r="V142" s="26" t="str"/>
      <x:c r="W142" s="26" t="str"/>
      <x:c r="X142" s="26" t="str"/>
      <x:c r="Y142" s="26" t="str"/>
      <x:c r="Z142" s="25" t="str">
        <x:v>2022</x:v>
      </x:c>
      <x:c r="AA142" s="25" t="str">
        <x:v>NO_SERIES</x:v>
      </x:c>
      <x:c r="AB142" s="25" t="str">
        <x:v>NOT_AVAILABLE</x:v>
      </x:c>
      <x:c r="AC142" s="27" t="str">
        <x:v>Climate/temperature-linked lexical frequency; still not evidence of reception, voice, or affect without passage review.</x:v>
      </x:c>
    </x:row>
    <x:row r="143" ht="19" customHeight="1">
      <x:c r="A143" s="23" t="str">
        <x:v>FT-Q-V01-142</x:v>
      </x:c>
      <x:c r="B143" s="24" t="str">
        <x:v>comprehensive risk assessment and management</x:v>
      </x:c>
      <x:c r="C143" s="24" t="str">
        <x:v>administrative risk assessment</x:v>
      </x:c>
      <x:c r="D143" s="25" t="str">
        <x:v>risk</x:v>
      </x:c>
      <x:c r="E143" s="25" t="str">
        <x:v>D</x:v>
      </x:c>
      <x:c r="F143" s="25" t="str">
        <x:v>EXECUTABLE_NGRAM</x:v>
      </x:c>
      <x:c r="G143" s="25" t="str">
        <x:v>CONTEXT_REQUIRED</x:v>
      </x:c>
      <x:c r="H143" s="25" t="str">
        <x:v>eng</x:v>
      </x:c>
      <x:c r="I143" s="25" t="str">
        <x:v>current English corpus (July 2024 dataset; public shorthand eng; mutable current corpus)</x:v>
      </x:c>
      <x:c r="J143" s="25" t="str">
        <x:v>1842</x:v>
      </x:c>
      <x:c r="K143" s="25" t="str">
        <x:v>2022</x:v>
      </x:c>
      <x:c r="L143" s="25" t="str">
        <x:v>1963</x:v>
      </x:c>
      <x:c r="M143" s="25" t="str">
        <x:v>31</x:v>
      </x:c>
      <x:c r="N143" s="25" t="str">
        <x:v>2018</x:v>
      </x:c>
      <x:c r="O143" s="26" t="str">
        <x:v>1.279491401717792e-09</x:v>
      </x:c>
      <x:c r="P143" s="26" t="str">
        <x:v>7.611056784817549e-10</x:v>
      </x:c>
      <x:c r="Q143" s="26" t="str">
        <x:v>0</x:v>
      </x:c>
      <x:c r="R143" s="26" t="str">
        <x:v>0</x:v>
      </x:c>
      <x:c r="S143" s="26" t="str">
        <x:v>1.303340213532067e-10</x:v>
      </x:c>
      <x:c r="T143" s="26" t="str">
        <x:v>1.746862099416546e-10</x:v>
      </x:c>
      <x:c r="U143" s="26" t="str">
        <x:v>1.707895214142496e-10</x:v>
      </x:c>
      <x:c r="V143" s="26" t="str">
        <x:v>1.727378656779521e-10</x:v>
      </x:c>
      <x:c r="W143" s="26" t="str">
        <x:v>2.879411986622671e-10</x:v>
      </x:c>
      <x:c r="X143" s="26" t="str">
        <x:v>7.611056784817549e-10</x:v>
      </x:c>
      <x:c r="Y143" s="26" t="str">
        <x:v>7.611056784817549e-10</x:v>
      </x:c>
      <x:c r="Z143" s="25" t="str">
        <x:v>2022</x:v>
      </x:c>
      <x:c r="AA143" s="25" t="str">
        <x:v>AVAILABLE</x:v>
      </x:c>
      <x:c r="AB143" s="25" t="str">
        <x:v>AVAILABLE</x:v>
      </x:c>
      <x:c r="AC143" s="27" t="str">
        <x:v>Climate/temperature-linked lexical frequency; still not evidence of reception, voice, or affect without passage review.</x:v>
      </x:c>
    </x:row>
    <x:row r="144" ht="19" customHeight="1">
      <x:c r="A144" s="28" t="str">
        <x:v>FT-Q-V01-143</x:v>
      </x:c>
      <x:c r="B144" s="29" t="str">
        <x:v>guilt</x:v>
      </x:c>
      <x:c r="C144" s="29" t="str">
        <x:v>depressed affect</x:v>
      </x:c>
      <x:c r="D144" s="30" t="str">
        <x:v>distress_depression</x:v>
      </x:c>
      <x:c r="E144" s="30" t="str">
        <x:v>C</x:v>
      </x:c>
      <x:c r="F144" s="30" t="str">
        <x:v>EXECUTABLE_NGRAM</x:v>
      </x:c>
      <x:c r="G144" s="30" t="str">
        <x:v>CONTEXT_REQUIRED</x:v>
      </x:c>
      <x:c r="H144" s="30" t="str">
        <x:v>eng</x:v>
      </x:c>
      <x:c r="I144" s="30" t="str">
        <x:v>current English corpus (July 2024 dataset; public shorthand eng; mutable current corpus)</x:v>
      </x:c>
      <x:c r="J144" s="30" t="str">
        <x:v>1842</x:v>
      </x:c>
      <x:c r="K144" s="30" t="str">
        <x:v>2022</x:v>
      </x:c>
      <x:c r="L144" s="30" t="str">
        <x:v>1842</x:v>
      </x:c>
      <x:c r="M144" s="30" t="str">
        <x:v>181</x:v>
      </x:c>
      <x:c r="N144" s="30" t="str">
        <x:v>1844</x:v>
      </x:c>
      <x:c r="O144" s="31" t="str">
        <x:v>2.078726473087045e-05</x:v>
      </x:c>
      <x:c r="P144" s="31" t="str">
        <x:v>1.681260062724732e-05</x:v>
      </x:c>
      <x:c r="Q144" s="31" t="str">
        <x:v>1.865798427758136e-05</x:v>
      </x:c>
      <x:c r="R144" s="31" t="str">
        <x:v>3.496206829295412e-06</x:v>
      </x:c>
      <x:c r="S144" s="31" t="str">
        <x:v>8.151257723909566e-06</x:v>
      </x:c>
      <x:c r="T144" s="31" t="str">
        <x:v>1.063899859587991e-05</x:v>
      </x:c>
      <x:c r="U144" s="31" t="str">
        <x:v>1.129985992306265e-05</x:v>
      </x:c>
      <x:c r="V144" s="31" t="str">
        <x:v>1.096942925947128e-05</x:v>
      </x:c>
      <x:c r="W144" s="31" t="str">
        <x:v>1.744112144308474e-05</x:v>
      </x:c>
      <x:c r="X144" s="31" t="str">
        <x:v>1.681260062724732e-05</x:v>
      </x:c>
      <x:c r="Y144" s="31" t="str">
        <x:v>1.681260062724732e-05</x:v>
      </x:c>
      <x:c r="Z144" s="30" t="str">
        <x:v>2022</x:v>
      </x:c>
      <x:c r="AA144" s="30" t="str">
        <x:v>AVAILABLE</x:v>
      </x:c>
      <x:c r="AB144" s="30" t="str">
        <x:v>AVAILABLE</x:v>
      </x:c>
      <x:c r="AC144" s="32" t="str">
        <x:v>Climate/temperature-linked lexical frequency; still not evidence of reception, voice, or affect without passage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</x:cols>
  <x:sheetData>
    <x:row r="1" ht="34" customHeight="1">
      <x:c r="A1" s="12" t="str">
        <x:v>query_id</x:v>
      </x:c>
      <x:c r="B1" s="12" t="str">
        <x:v>surface_form</x:v>
      </x:c>
      <x:c r="C1" s="12" t="str">
        <x:v>family</x:v>
      </x:c>
      <x:c r="D1" s="12" t="str">
        <x:v>interpretation_class</x:v>
      </x:c>
      <x:c r="E1" s="12" t="str">
        <x:v>1842_value</x:v>
      </x:c>
      <x:c r="F1" s="12" t="str">
        <x:v>1938_value</x:v>
      </x:c>
      <x:c r="G1" s="12" t="str">
        <x:v>1988_value</x:v>
      </x:c>
      <x:c r="H1" s="12" t="str">
        <x:v>2006_value</x:v>
      </x:c>
      <x:c r="I1" s="12" t="str">
        <x:v>2007_value</x:v>
      </x:c>
      <x:c r="J1" s="12" t="str">
        <x:v>2006_07_mean</x:v>
      </x:c>
      <x:c r="K1" s="12" t="str">
        <x:v>2015_value</x:v>
      </x:c>
      <x:c r="L1" s="12" t="str">
        <x:v>2022_or_latest_value</x:v>
      </x:c>
      <x:c r="M1" s="12" t="str">
        <x:v>latest_supported_year</x:v>
      </x:c>
    </x:row>
    <x:row r="2" ht="19" customHeight="1">
      <x:c r="A2" s="18" t="str">
        <x:v>FT-Q-V01-001</x:v>
      </x:c>
      <x:c r="B2" s="19" t="str">
        <x:v>temperature</x:v>
      </x:c>
      <x:c r="C2" s="20" t="str">
        <x:v>temperature_threshold</x:v>
      </x:c>
      <x:c r="D2" s="20" t="str">
        <x:v>BACKGROUND_AMBIGUOUS</x:v>
      </x:c>
      <x:c r="E2" s="21" t="str">
        <x:v>3.817854639009965e-05</x:v>
      </x:c>
      <x:c r="F2" s="21" t="str">
        <x:v>0.0001075987250857835</x:v>
      </x:c>
      <x:c r="G2" s="21" t="str">
        <x:v>0.0001381082131784381</x:v>
      </x:c>
      <x:c r="H2" s="21" t="str">
        <x:v>9.349962672342699e-05</x:v>
      </x:c>
      <x:c r="I2" s="21" t="str">
        <x:v>9.569523659125334e-05</x:v>
      </x:c>
      <x:c r="J2" s="21" t="str">
        <x:v>9.459743165734016e-05</x:v>
      </x:c>
      <x:c r="K2" s="21" t="str">
        <x:v>7.593630839236587e-05</x:v>
      </x:c>
      <x:c r="L2" s="21" t="str">
        <x:v>9.003187850510977e-05</x:v>
      </x:c>
      <x:c r="M2" s="48" t="str">
        <x:v>2022</x:v>
      </x:c>
    </x:row>
    <x:row r="3" ht="19" customHeight="1">
      <x:c r="A3" s="23" t="str">
        <x:v>FT-Q-V01-002</x:v>
      </x:c>
      <x:c r="B3" s="24" t="str">
        <x:v>mean temperature</x:v>
      </x:c>
      <x:c r="C3" s="25" t="str">
        <x:v>temperature_threshold</x:v>
      </x:c>
      <x:c r="D3" s="25" t="str">
        <x:v>CONTEXT_REQUIRED</x:v>
      </x:c>
      <x:c r="E3" s="26" t="str">
        <x:v>2.365172290907935e-06</x:v>
      </x:c>
      <x:c r="F3" s="26" t="str">
        <x:v>1.06460447896195e-06</x:v>
      </x:c>
      <x:c r="G3" s="26" t="str">
        <x:v>5.396020415979197e-07</x:v>
      </x:c>
      <x:c r="H3" s="26" t="str">
        <x:v>4.059007448348195e-07</x:v>
      </x:c>
      <x:c r="I3" s="26" t="str">
        <x:v>4.200255244168893e-07</x:v>
      </x:c>
      <x:c r="J3" s="26" t="str">
        <x:v>4.129631346258544e-07</x:v>
      </x:c>
      <x:c r="K3" s="26" t="str">
        <x:v>3.047325316460348e-07</x:v>
      </x:c>
      <x:c r="L3" s="26" t="str">
        <x:v>3.990877988080399e-07</x:v>
      </x:c>
      <x:c r="M3" s="49" t="str">
        <x:v>2022</x:v>
      </x:c>
    </x:row>
    <x:row r="4" ht="19" customHeight="1">
      <x:c r="A4" s="23" t="str">
        <x:v>FT-Q-V01-003</x:v>
      </x:c>
      <x:c r="B4" s="24" t="str">
        <x:v>temperature of the air in shade</x:v>
      </x:c>
      <x:c r="C4" s="25" t="str">
        <x:v>temperature_threshold</x:v>
      </x:c>
      <x:c r="D4" s="25" t="str">
        <x:v>CONTEXT_REQUIRED</x:v>
      </x:c>
      <x:c r="E4" s="26" t="str">
        <x:v>0</x:v>
      </x:c>
      <x:c r="F4" s="26" t="str">
        <x:v>0</x:v>
      </x:c>
      <x:c r="G4" s="26" t="str">
        <x:v>0</x:v>
      </x:c>
      <x:c r="H4" s="26" t="str">
        <x:v>0</x:v>
      </x:c>
      <x:c r="I4" s="26" t="str">
        <x:v>0</x:v>
      </x:c>
      <x:c r="J4" s="26" t="str">
        <x:v>0</x:v>
      </x:c>
      <x:c r="K4" s="26" t="str">
        <x:v>6.163167892703214e-11</x:v>
      </x:c>
      <x:c r="L4" s="26" t="str">
        <x:v>5.812207659605662e-11</x:v>
      </x:c>
      <x:c r="M4" s="49" t="str">
        <x:v>2022</x:v>
      </x:c>
    </x:row>
    <x:row r="5" ht="19" customHeight="1">
      <x:c r="A5" s="23" t="str">
        <x:v>FT-Q-V01-004</x:v>
      </x:c>
      <x:c r="B5" s="24" t="str">
        <x:v>maximum temperature</x:v>
      </x:c>
      <x:c r="C5" s="25" t="str">
        <x:v>temperature_threshold</x:v>
      </x:c>
      <x:c r="D5" s="25" t="str">
        <x:v>CONTEXT_REQUIRED</x:v>
      </x:c>
      <x:c r="E5" s="26" t="str">
        <x:v>3.882829831547419e-07</x:v>
      </x:c>
      <x:c r="F5" s="26" t="str">
        <x:v>7.694687983172965e-07</x:v>
      </x:c>
      <x:c r="G5" s="26" t="str">
        <x:v>6.011975100389533e-07</x:v>
      </x:c>
      <x:c r="H5" s="26" t="str">
        <x:v>5.097794715247517e-07</x:v>
      </x:c>
      <x:c r="I5" s="26" t="str">
        <x:v>4.458864027237497e-07</x:v>
      </x:c>
      <x:c r="J5" s="26" t="str">
        <x:v>4.778329371242507e-07</x:v>
      </x:c>
      <x:c r="K5" s="26" t="str">
        <x:v>3.236936924611022e-07</x:v>
      </x:c>
      <x:c r="L5" s="26" t="str">
        <x:v>4.573516876604788e-07</x:v>
      </x:c>
      <x:c r="M5" s="49" t="str">
        <x:v>2022</x:v>
      </x:c>
    </x:row>
    <x:row r="6" ht="19" customHeight="1">
      <x:c r="A6" s="23" t="str">
        <x:v>FT-Q-V01-005</x:v>
      </x:c>
      <x:c r="B6" s="24" t="str">
        <x:v>minimum temperature</x:v>
      </x:c>
      <x:c r="C6" s="25" t="str">
        <x:v>temperature_threshold</x:v>
      </x:c>
      <x:c r="D6" s="25" t="str">
        <x:v>CONTEXT_REQUIRED</x:v>
      </x:c>
      <x:c r="E6" s="26" t="str">
        <x:v>2.334857803210078e-07</x:v>
      </x:c>
      <x:c r="F6" s="26" t="str">
        <x:v>4.141922915756879e-07</x:v>
      </x:c>
      <x:c r="G6" s="26" t="str">
        <x:v>3.655257283935454e-07</x:v>
      </x:c>
      <x:c r="H6" s="26" t="str">
        <x:v>2.540885604349064e-07</x:v>
      </x:c>
      <x:c r="I6" s="26" t="str">
        <x:v>2.430921979997003e-07</x:v>
      </x:c>
      <x:c r="J6" s="26" t="str">
        <x:v>2.485903792173033e-07</x:v>
      </x:c>
      <x:c r="K6" s="26" t="str">
        <x:v>1.545846264848494e-07</x:v>
      </x:c>
      <x:c r="L6" s="26" t="str">
        <x:v>2.218629117367588e-07</x:v>
      </x:c>
      <x:c r="M6" s="49" t="str">
        <x:v>2022</x:v>
      </x:c>
    </x:row>
    <x:row r="7" ht="19" customHeight="1">
      <x:c r="A7" s="23" t="str">
        <x:v>FT-Q-V01-006</x:v>
      </x:c>
      <x:c r="B7" s="24" t="str">
        <x:v>mean temperature of sea at surface</x:v>
      </x:c>
      <x:c r="C7" s="25" t="str">
        <x:v>temperature_threshold</x:v>
      </x:c>
      <x:c r="D7" s="25" t="str">
        <x:v>CONTEXT_REQUIRED</x:v>
      </x:c>
      <x:c r="E7" s="26" t="str"/>
      <x:c r="F7" s="26" t="str"/>
      <x:c r="G7" s="26" t="str"/>
      <x:c r="H7" s="26" t="str"/>
      <x:c r="I7" s="26" t="str"/>
      <x:c r="J7" s="26" t="str"/>
      <x:c r="K7" s="26" t="str"/>
      <x:c r="L7" s="26" t="str"/>
      <x:c r="M7" s="49" t="str">
        <x:v>2022</x:v>
      </x:c>
    </x:row>
    <x:row r="8" ht="19" customHeight="1">
      <x:c r="A8" s="23" t="str">
        <x:v>FT-Q-V01-007</x:v>
      </x:c>
      <x:c r="B8" s="24" t="str">
        <x:v>dew point</x:v>
      </x:c>
      <x:c r="C8" s="25" t="str">
        <x:v>temperature_threshold</x:v>
      </x:c>
      <x:c r="D8" s="25" t="str">
        <x:v>CONTEXT_REQUIRED</x:v>
      </x:c>
      <x:c r="E8" s="26" t="str">
        <x:v>5.02445909766891e-07</x:v>
      </x:c>
      <x:c r="F8" s="26" t="str">
        <x:v>5.571938874737725e-07</x:v>
      </x:c>
      <x:c r="G8" s="26" t="str">
        <x:v>3.645386200609724e-07</x:v>
      </x:c>
      <x:c r="H8" s="26" t="str">
        <x:v>2.918584796063328e-07</x:v>
      </x:c>
      <x:c r="I8" s="26" t="str">
        <x:v>2.695827225132619e-07</x:v>
      </x:c>
      <x:c r="J8" s="26" t="str">
        <x:v>2.807206010597973e-07</x:v>
      </x:c>
      <x:c r="K8" s="26" t="str">
        <x:v>2.239375508326924e-07</x:v>
      </x:c>
      <x:c r="L8" s="26" t="str">
        <x:v>2.297376025528486e-07</x:v>
      </x:c>
      <x:c r="M8" s="49" t="str">
        <x:v>2022</x:v>
      </x:c>
    </x:row>
    <x:row r="9" ht="19" customHeight="1">
      <x:c r="A9" s="23" t="str">
        <x:v>FT-Q-V01-008</x:v>
      </x:c>
      <x:c r="B9" s="24" t="str">
        <x:v>standard thermometer</x:v>
      </x:c>
      <x:c r="C9" s="25" t="str">
        <x:v>temperature_threshold</x:v>
      </x:c>
      <x:c r="D9" s="25" t="str">
        <x:v>CONTEXT_REQUIRED</x:v>
      </x:c>
      <x:c r="E9" s="26" t="str">
        <x:v>8.384848482201335e-09</x:v>
      </x:c>
      <x:c r="F9" s="26" t="str">
        <x:v>3.541628268433072e-08</x:v>
      </x:c>
      <x:c r="G9" s="26" t="str">
        <x:v>5.922642067751616e-09</x:v>
      </x:c>
      <x:c r="H9" s="26" t="str">
        <x:v>2.975811957961483e-09</x:v>
      </x:c>
      <x:c r="I9" s="26" t="str">
        <x:v>4.857346223158254e-09</x:v>
      </x:c>
      <x:c r="J9" s="26" t="str">
        <x:v>3.916579090559869e-09</x:v>
      </x:c>
      <x:c r="K9" s="26" t="str">
        <x:v>2.335115319856973e-09</x:v>
      </x:c>
      <x:c r="L9" s="26" t="str">
        <x:v>2.610151789150805e-09</x:v>
      </x:c>
      <x:c r="M9" s="49" t="str">
        <x:v>2022</x:v>
      </x:c>
    </x:row>
    <x:row r="10" ht="19" customHeight="1">
      <x:c r="A10" s="23" t="str">
        <x:v>FT-Q-V01-009</x:v>
      </x:c>
      <x:c r="B10" s="24" t="str">
        <x:v>attached thermometer</x:v>
      </x:c>
      <x:c r="C10" s="25" t="str">
        <x:v>temperature_threshold</x:v>
      </x:c>
      <x:c r="D10" s="25" t="str">
        <x:v>CONTEXT_REQUIRED</x:v>
      </x:c>
      <x:c r="E10" s="26" t="str">
        <x:v>6.901375293466572e-08</x:v>
      </x:c>
      <x:c r="F10" s="26" t="str">
        <x:v>6.23682937239689e-09</x:v>
      </x:c>
      <x:c r="G10" s="26" t="str">
        <x:v>1.085817696172553e-09</x:v>
      </x:c>
      <x:c r="H10" s="26" t="str">
        <x:v>1.281888230980632e-09</x:v>
      </x:c>
      <x:c r="I10" s="26" t="str">
        <x:v>1.619115414658312e-09</x:v>
      </x:c>
      <x:c r="J10" s="26" t="str">
        <x:v>1.450501822819472e-09</x:v>
      </x:c>
      <x:c r="K10" s="26" t="str">
        <x:v>6.538322626370441e-10</x:v>
      </x:c>
      <x:c r="L10" s="26" t="str">
        <x:v>3.406469412103874e-09</x:v>
      </x:c>
      <x:c r="M10" s="49" t="str">
        <x:v>2022</x:v>
      </x:c>
    </x:row>
    <x:row r="11" ht="19" customHeight="1">
      <x:c r="A11" s="23" t="str">
        <x:v>FT-Q-V01-010</x:v>
      </x:c>
      <x:c r="B11" s="24" t="str">
        <x:v>dry bulb thermometer</x:v>
      </x:c>
      <x:c r="C11" s="25" t="str">
        <x:v>temperature_threshold</x:v>
      </x:c>
      <x:c r="D11" s="25" t="str">
        <x:v>CONTEXT_REQUIRED</x:v>
      </x:c>
      <x:c r="E11" s="26" t="str">
        <x:v>8.854272692815357e-08</x:v>
      </x:c>
      <x:c r="F11" s="26" t="str">
        <x:v>2.359136080931634e-08</x:v>
      </x:c>
      <x:c r="G11" s="26" t="str">
        <x:v>5.081662771133644e-09</x:v>
      </x:c>
      <x:c r="H11" s="26" t="str">
        <x:v>4.013041593475819e-09</x:v>
      </x:c>
      <x:c r="I11" s="26" t="str">
        <x:v>4.081663229626997e-09</x:v>
      </x:c>
      <x:c r="J11" s="26" t="str">
        <x:v>4.047352411551408e-09</x:v>
      </x:c>
      <x:c r="K11" s="26" t="str">
        <x:v>3.149171701188891e-09</x:v>
      </x:c>
      <x:c r="L11" s="26" t="str">
        <x:v>8.466447189159343e-09</x:v>
      </x:c>
      <x:c r="M11" s="49" t="str">
        <x:v>2022</x:v>
      </x:c>
    </x:row>
    <x:row r="12" ht="19" customHeight="1">
      <x:c r="A12" s="23" t="str">
        <x:v>FT-Q-V01-011</x:v>
      </x:c>
      <x:c r="B12" s="24" t="str">
        <x:v>wet bulb thermometer</x:v>
      </x:c>
      <x:c r="C12" s="25" t="str">
        <x:v>temperature_threshold</x:v>
      </x:c>
      <x:c r="D12" s="25" t="str">
        <x:v>CONTEXT_REQUIRED</x:v>
      </x:c>
      <x:c r="E12" s="26" t="str">
        <x:v>7.550155167734829e-09</x:v>
      </x:c>
      <x:c r="F12" s="26" t="str">
        <x:v>2.579159086302241e-08</x:v>
      </x:c>
      <x:c r="G12" s="26" t="str">
        <x:v>5.406024211618288e-09</x:v>
      </x:c>
      <x:c r="H12" s="26" t="str">
        <x:v>5.350721948849113e-09</x:v>
      </x:c>
      <x:c r="I12" s="26" t="str">
        <x:v>4.421801869103348e-09</x:v>
      </x:c>
      <x:c r="J12" s="26" t="str">
        <x:v>4.88626190897623e-09</x:v>
      </x:c>
      <x:c r="K12" s="26" t="str">
        <x:v>2.749276847846538e-09</x:v>
      </x:c>
      <x:c r="L12" s="26" t="str">
        <x:v>7.142087012079745e-09</x:v>
      </x:c>
      <x:c r="M12" s="49" t="str">
        <x:v>2022</x:v>
      </x:c>
    </x:row>
    <x:row r="13" ht="19" customHeight="1">
      <x:c r="A13" s="23" t="str">
        <x:v>FT-Q-V01-012</x:v>
      </x:c>
      <x:c r="B13" s="24" t="str">
        <x:v>meteorological observations</x:v>
      </x:c>
      <x:c r="C13" s="25" t="str">
        <x:v>climate</x:v>
      </x:c>
      <x:c r="D13" s="25" t="str">
        <x:v>CONTEXT_REQUIRED</x:v>
      </x:c>
      <x:c r="E13" s="26" t="str">
        <x:v>9.468428674996865e-07</x:v>
      </x:c>
      <x:c r="F13" s="26" t="str">
        <x:v>1.848774440205148e-07</x:v>
      </x:c>
      <x:c r="G13" s="26" t="str">
        <x:v>1.338023542483968e-07</x:v>
      </x:c>
      <x:c r="H13" s="26" t="str">
        <x:v>5.699824457902625e-08</x:v>
      </x:c>
      <x:c r="I13" s="26" t="str">
        <x:v>5.293608024148355e-08</x:v>
      </x:c>
      <x:c r="J13" s="26" t="str">
        <x:v>5.49671624102549e-08</x:v>
      </x:c>
      <x:c r="K13" s="26" t="str">
        <x:v>3.44663013546187e-08</x:v>
      </x:c>
      <x:c r="L13" s="26" t="str">
        <x:v>6.520955656008631e-08</x:v>
      </x:c>
      <x:c r="M13" s="49" t="str">
        <x:v>2022</x:v>
      </x:c>
    </x:row>
    <x:row r="14" ht="19" customHeight="1">
      <x:c r="A14" s="23" t="str">
        <x:v>FT-Q-V01-013</x:v>
      </x:c>
      <x:c r="B14" s="24" t="str">
        <x:v>meteorological journal</x:v>
      </x:c>
      <x:c r="C14" s="25" t="str">
        <x:v>climate</x:v>
      </x:c>
      <x:c r="D14" s="25" t="str">
        <x:v>CONTEXT_REQUIRED</x:v>
      </x:c>
      <x:c r="E14" s="26" t="str">
        <x:v>5.256654992402687e-07</x:v>
      </x:c>
      <x:c r="F14" s="26" t="str">
        <x:v>4.900366015747615e-09</x:v>
      </x:c>
      <x:c r="G14" s="26" t="str">
        <x:v>2.023569350279031e-09</x:v>
      </x:c>
      <x:c r="H14" s="26" t="str">
        <x:v>2.472213010695778e-09</x:v>
      </x:c>
      <x:c r="I14" s="26" t="str">
        <x:v>3.598034273299966e-09</x:v>
      </x:c>
      <x:c r="J14" s="26" t="str">
        <x:v>3.035123641997872e-09</x:v>
      </x:c>
      <x:c r="K14" s="26" t="str">
        <x:v>3.782886774661431e-09</x:v>
      </x:c>
      <x:c r="L14" s="26" t="str">
        <x:v>2.964070766608984e-09</x:v>
      </x:c>
      <x:c r="M14" s="49" t="str">
        <x:v>2022</x:v>
      </x:c>
    </x:row>
    <x:row r="15" ht="19" customHeight="1">
      <x:c r="A15" s="23" t="str">
        <x:v>FT-Q-V01-014</x:v>
      </x:c>
      <x:c r="B15" s="24" t="str">
        <x:v>weather</x:v>
      </x:c>
      <x:c r="C15" s="25" t="str">
        <x:v>climate</x:v>
      </x:c>
      <x:c r="D15" s="25" t="str">
        <x:v>BACKGROUND_AMBIGUOUS</x:v>
      </x:c>
      <x:c r="E15" s="26" t="str">
        <x:v>4.329318915097247e-05</x:v>
      </x:c>
      <x:c r="F15" s="26" t="str">
        <x:v>5.426566421712353e-05</x:v>
      </x:c>
      <x:c r="G15" s="26" t="str">
        <x:v>2.997015501321476e-05</x:v>
      </x:c>
      <x:c r="H15" s="26" t="str">
        <x:v>2.847566345511032e-05</x:v>
      </x:c>
      <x:c r="I15" s="26" t="str">
        <x:v>2.852544831488668e-05</x:v>
      </x:c>
      <x:c r="J15" s="26" t="str">
        <x:v>2.85005558849985e-05</x:v>
      </x:c>
      <x:c r="K15" s="26" t="str">
        <x:v>3.181802008718482e-05</x:v>
      </x:c>
      <x:c r="L15" s="26" t="str">
        <x:v>3.185808739692569e-05</x:v>
      </x:c>
      <x:c r="M15" s="49" t="str">
        <x:v>2022</x:v>
      </x:c>
    </x:row>
    <x:row r="16" ht="19" customHeight="1">
      <x:c r="A16" s="23" t="str">
        <x:v>FT-Q-V01-015</x:v>
      </x:c>
      <x:c r="B16" s="24" t="str">
        <x:v>climate</x:v>
      </x:c>
      <x:c r="C16" s="25" t="str">
        <x:v>climate</x:v>
      </x:c>
      <x:c r="D16" s="25" t="str">
        <x:v>BACKGROUND_AMBIGUOUS</x:v>
      </x:c>
      <x:c r="E16" s="26" t="str">
        <x:v>3.055828983633546e-05</x:v>
      </x:c>
      <x:c r="F16" s="26" t="str">
        <x:v>1.196127764144239e-05</x:v>
      </x:c>
      <x:c r="G16" s="26" t="str">
        <x:v>2.184559476219039e-05</x:v>
      </x:c>
      <x:c r="H16" s="26" t="str">
        <x:v>3.083595194560557e-05</x:v>
      </x:c>
      <x:c r="I16" s="26" t="str">
        <x:v>3.638060761700784e-05</x:v>
      </x:c>
      <x:c r="J16" s="26" t="str">
        <x:v>3.36082797813067e-05</x:v>
      </x:c>
      <x:c r="K16" s="26" t="str">
        <x:v>4.357352890455024e-05</x:v>
      </x:c>
      <x:c r="L16" s="26" t="str">
        <x:v>6.484931783038578e-05</x:v>
      </x:c>
      <x:c r="M16" s="49" t="str">
        <x:v>2022</x:v>
      </x:c>
    </x:row>
    <x:row r="17" ht="19" customHeight="1">
      <x:c r="A17" s="23" t="str">
        <x:v>FT-Q-V01-016</x:v>
      </x:c>
      <x:c r="B17" s="24" t="str">
        <x:v>sun's heat</x:v>
      </x:c>
      <x:c r="C17" s="25" t="str">
        <x:v>heat</x:v>
      </x:c>
      <x:c r="D17" s="25" t="str">
        <x:v>CONTEXT_REQUIRED</x:v>
      </x:c>
      <x:c r="E17" s="26" t="str"/>
      <x:c r="F17" s="26" t="str"/>
      <x:c r="G17" s="26" t="str"/>
      <x:c r="H17" s="26" t="str"/>
      <x:c r="I17" s="26" t="str"/>
      <x:c r="J17" s="26" t="str"/>
      <x:c r="K17" s="26" t="str"/>
      <x:c r="L17" s="26" t="str"/>
      <x:c r="M17" s="49" t="str">
        <x:v>2022</x:v>
      </x:c>
    </x:row>
    <x:row r="18" ht="19" customHeight="1">
      <x:c r="A18" s="23" t="str">
        <x:v>FT-Q-V01-017</x:v>
      </x:c>
      <x:c r="B18" s="24" t="str">
        <x:v>radiation of the heat</x:v>
      </x:c>
      <x:c r="C18" s="25" t="str">
        <x:v>heat</x:v>
      </x:c>
      <x:c r="D18" s="25" t="str">
        <x:v>CONTEXT_REQUIRED</x:v>
      </x:c>
      <x:c r="E18" s="26" t="str">
        <x:v>5.867545560533927e-09</x:v>
      </x:c>
      <x:c r="F18" s="26" t="str">
        <x:v>2.708925944672202e-09</x:v>
      </x:c>
      <x:c r="G18" s="26" t="str">
        <x:v>1.792699877434245e-10</x:v>
      </x:c>
      <x:c r="H18" s="26" t="str">
        <x:v>4.318347346377038e-10</x:v>
      </x:c>
      <x:c r="I18" s="26" t="str">
        <x:v>7.925886058579579e-10</x:v>
      </x:c>
      <x:c r="J18" s="26" t="str">
        <x:v>6.122116702478309e-10</x:v>
      </x:c>
      <x:c r="K18" s="26" t="str">
        <x:v>4.301466960399125e-10</x:v>
      </x:c>
      <x:c r="L18" s="26" t="str">
        <x:v>5.081168263920688e-10</x:v>
      </x:c>
      <x:c r="M18" s="49" t="str">
        <x:v>2022</x:v>
      </x:c>
    </x:row>
    <x:row r="19" ht="19" customHeight="1">
      <x:c r="A19" s="23" t="str">
        <x:v>FT-Q-V01-018</x:v>
      </x:c>
      <x:c r="B19" s="24" t="str">
        <x:v>changes of temperature</x:v>
      </x:c>
      <x:c r="C19" s="25" t="str">
        <x:v>temperature_threshold</x:v>
      </x:c>
      <x:c r="D19" s="25" t="str">
        <x:v>CONTEXT_REQUIRED</x:v>
      </x:c>
      <x:c r="E19" s="26" t="str">
        <x:v>6.602953730450167e-07</x:v>
      </x:c>
      <x:c r="F19" s="26" t="str">
        <x:v>2.283350331311329e-07</x:v>
      </x:c>
      <x:c r="G19" s="26" t="str">
        <x:v>3.962615856278884e-08</x:v>
      </x:c>
      <x:c r="H19" s="26" t="str">
        <x:v>2.754631066997915e-08</x:v>
      </x:c>
      <x:c r="I19" s="26" t="str">
        <x:v>4.290605436219064e-08</x:v>
      </x:c>
      <x:c r="J19" s="26" t="str">
        <x:v>3.522618251608489e-08</x:v>
      </x:c>
      <x:c r="K19" s="26" t="str">
        <x:v>2.989213794199475e-08</x:v>
      </x:c>
      <x:c r="L19" s="26" t="str">
        <x:v>6.394769389017618e-08</x:v>
      </x:c>
      <x:c r="M19" s="49" t="str">
        <x:v>2022</x:v>
      </x:c>
    </x:row>
    <x:row r="20" ht="19" customHeight="1">
      <x:c r="A20" s="23" t="str">
        <x:v>FT-Q-V01-019</x:v>
      </x:c>
      <x:c r="B20" s="24" t="str">
        <x:v>excessive heat</x:v>
      </x:c>
      <x:c r="C20" s="25" t="str">
        <x:v>heat</x:v>
      </x:c>
      <x:c r="D20" s="25" t="str">
        <x:v>CONTEXT_REQUIRED</x:v>
      </x:c>
      <x:c r="E20" s="26" t="str">
        <x:v>4.727764535417123e-07</x:v>
      </x:c>
      <x:c r="F20" s="26" t="str">
        <x:v>4.204291131626459e-07</x:v>
      </x:c>
      <x:c r="G20" s="26" t="str">
        <x:v>1.919429495761404e-07</x:v>
      </x:c>
      <x:c r="H20" s="26" t="str">
        <x:v>1.719103683017753e-07</x:v>
      </x:c>
      <x:c r="I20" s="26" t="str">
        <x:v>1.945187375618218e-07</x:v>
      </x:c>
      <x:c r="J20" s="26" t="str">
        <x:v>1.832145529317986e-07</x:v>
      </x:c>
      <x:c r="K20" s="26" t="str">
        <x:v>1.528099464187527e-07</x:v>
      </x:c>
      <x:c r="L20" s="26" t="str">
        <x:v>1.668727563908234e-07</x:v>
      </x:c>
      <x:c r="M20" s="49" t="str">
        <x:v>2022</x:v>
      </x:c>
    </x:row>
    <x:row r="21" ht="19" customHeight="1">
      <x:c r="A21" s="23" t="str">
        <x:v>FT-Q-V01-020</x:v>
      </x:c>
      <x:c r="B21" s="24" t="str">
        <x:v>heat of the men</x:v>
      </x:c>
      <x:c r="C21" s="25" t="str">
        <x:v>heat</x:v>
      </x:c>
      <x:c r="D21" s="25" t="str">
        <x:v>CONTEXT_REQUIRED</x:v>
      </x:c>
      <x:c r="E21" s="26" t="str">
        <x:v>7.334431950667408e-10</x:v>
      </x:c>
      <x:c r="F21" s="26" t="str">
        <x:v>0</x:v>
      </x:c>
      <x:c r="G21" s="26" t="str">
        <x:v>5.975666489410614e-11</x:v>
      </x:c>
      <x:c r="H21" s="26" t="str">
        <x:v>5.397934182971298e-11</x:v>
      </x:c>
      <x:c r="I21" s="26" t="str">
        <x:v>1.585177267227067e-10</x:v>
      </x:c>
      <x:c r="J21" s="26" t="str">
        <x:v>1.062485342762098e-10</x:v>
      </x:c>
      <x:c r="K21" s="26" t="str">
        <x:v>1.613050110149672e-10</x:v>
      </x:c>
      <x:c r="L21" s="26" t="str">
        <x:v>1.524350368153904e-10</x:v>
      </x:c>
      <x:c r="M21" s="49" t="str">
        <x:v>2022</x:v>
      </x:c>
    </x:row>
    <x:row r="22" ht="19" customHeight="1">
      <x:c r="A22" s="23" t="str">
        <x:v>FT-Q-V01-021</x:v>
      </x:c>
      <x:c r="B22" s="24" t="str">
        <x:v>artificial production of carbon dioxide</x:v>
      </x:c>
      <x:c r="C22" s="25" t="str">
        <x:v>carbon_greenhouse</x:v>
      </x:c>
      <x:c r="D22" s="25" t="str">
        <x:v>CONTEXT_REQUIRED</x:v>
      </x:c>
      <x:c r="E22" s="26" t="str">
        <x:v>0</x:v>
      </x:c>
      <x:c r="F22" s="26" t="str">
        <x:v>4.288904842386643e-09</x:v>
      </x:c>
      <x:c r="G22" s="26" t="str">
        <x:v>3.258350533830168e-10</x:v>
      </x:c>
      <x:c r="H22" s="26" t="str">
        <x:v>5.240586020693883e-10</x:v>
      </x:c>
      <x:c r="I22" s="26" t="str">
        <x:v>9.678072787622227e-10</x:v>
      </x:c>
      <x:c r="J22" s="26" t="str">
        <x:v>7.459329404158055e-10</x:v>
      </x:c>
      <x:c r="K22" s="26" t="str">
        <x:v>1.151764794649068e-09</x:v>
      </x:c>
      <x:c r="L22" s="26" t="str">
        <x:v>1.794034754087903e-09</x:v>
      </x:c>
      <x:c r="M22" s="49" t="str">
        <x:v>2022</x:v>
      </x:c>
    </x:row>
    <x:row r="23" ht="19" customHeight="1">
      <x:c r="A23" s="23" t="str">
        <x:v>FT-Q-V01-022</x:v>
      </x:c>
      <x:c r="B23" s="24" t="str">
        <x:v>carbon dioxide</x:v>
      </x:c>
      <x:c r="C23" s="25" t="str">
        <x:v>carbon_greenhouse</x:v>
      </x:c>
      <x:c r="D23" s="25" t="str">
        <x:v>CONTEXT_REQUIRED</x:v>
      </x:c>
      <x:c r="E23" s="26" t="str">
        <x:v>7.094871634638622e-09</x:v>
      </x:c>
      <x:c r="F23" s="26" t="str">
        <x:v>9.657730330014935e-06</x:v>
      </x:c>
      <x:c r="G23" s="26" t="str">
        <x:v>7.055988905570881e-06</x:v>
      </x:c>
      <x:c r="H23" s="26" t="str">
        <x:v>6.240827137342364e-06</x:v>
      </x:c>
      <x:c r="I23" s="26" t="str">
        <x:v>7.639031842188865e-06</x:v>
      </x:c>
      <x:c r="J23" s="26" t="str">
        <x:v>6.939929489765614e-06</x:v>
      </x:c>
      <x:c r="K23" s="26" t="str">
        <x:v>7.018469256155763e-06</x:v>
      </x:c>
      <x:c r="L23" s="26" t="str">
        <x:v>7.577890368426488e-06</x:v>
      </x:c>
      <x:c r="M23" s="49" t="str">
        <x:v>2022</x:v>
      </x:c>
    </x:row>
    <x:row r="24" ht="19" customHeight="1">
      <x:c r="A24" s="23" t="str">
        <x:v>FT-Q-V01-023</x:v>
      </x:c>
      <x:c r="B24" s="24" t="str">
        <x:v>fuel combustion</x:v>
      </x:c>
      <x:c r="C24" s="25" t="str">
        <x:v>carbon_greenhouse</x:v>
      </x:c>
      <x:c r="D24" s="25" t="str">
        <x:v>CONTEXT_REQUIRED</x:v>
      </x:c>
      <x:c r="E24" s="26" t="str">
        <x:v>0</x:v>
      </x:c>
      <x:c r="F24" s="26" t="str">
        <x:v>3.608451315528782e-08</x:v>
      </x:c>
      <x:c r="G24" s="26" t="str">
        <x:v>2.62274336634144e-07</x:v>
      </x:c>
      <x:c r="H24" s="26" t="str">
        <x:v>1.396342554360608e-07</x:v>
      </x:c>
      <x:c r="I24" s="26" t="str">
        <x:v>1.814758646689896e-07</x:v>
      </x:c>
      <x:c r="J24" s="26" t="str">
        <x:v>1.605550600525252e-07</x:v>
      </x:c>
      <x:c r="K24" s="26" t="str">
        <x:v>1.964765977136018e-07</x:v>
      </x:c>
      <x:c r="L24" s="26" t="str">
        <x:v>2.188545896730787e-07</x:v>
      </x:c>
      <x:c r="M24" s="49" t="str">
        <x:v>2022</x:v>
      </x:c>
    </x:row>
    <x:row r="25" ht="19" customHeight="1">
      <x:c r="A25" s="23" t="str">
        <x:v>FT-Q-V01-024</x:v>
      </x:c>
      <x:c r="B25" s="24" t="str">
        <x:v>air</x:v>
      </x:c>
      <x:c r="C25" s="25" t="str">
        <x:v>climate</x:v>
      </x:c>
      <x:c r="D25" s="25" t="str">
        <x:v>BACKGROUND_AMBIGUOUS</x:v>
      </x:c>
      <x:c r="E25" s="26" t="str">
        <x:v>0.0001596951176452421</x:v>
      </x:c>
      <x:c r="F25" s="26" t="str">
        <x:v>0.0002449050748590531</x:v>
      </x:c>
      <x:c r="G25" s="26" t="str">
        <x:v>0.000195882758400559</x:v>
      </x:c>
      <x:c r="H25" s="26" t="str">
        <x:v>0.0001554248265307964</x:v>
      </x:c>
      <x:c r="I25" s="26" t="str">
        <x:v>0.0001617948143970288</x:v>
      </x:c>
      <x:c r="J25" s="26" t="str">
        <x:v>0.0001586098204639126</x:v>
      </x:c>
      <x:c r="K25" s="26" t="str">
        <x:v>0.0001673772195566331</x:v>
      </x:c>
      <x:c r="L25" s="26" t="str">
        <x:v>0.0001629262595982672</x:v>
      </x:c>
      <x:c r="M25" s="49" t="str">
        <x:v>2022</x:v>
      </x:c>
    </x:row>
    <x:row r="26" ht="19" customHeight="1">
      <x:c r="A26" s="23" t="str">
        <x:v>FT-Q-V01-025</x:v>
      </x:c>
      <x:c r="B26" s="24" t="str">
        <x:v>atmosphere</x:v>
      </x:c>
      <x:c r="C26" s="25" t="str">
        <x:v>climate</x:v>
      </x:c>
      <x:c r="D26" s="25" t="str">
        <x:v>BACKGROUND_AMBIGUOUS</x:v>
      </x:c>
      <x:c r="E26" s="26" t="str">
        <x:v>2.831485350895946e-05</x:v>
      </x:c>
      <x:c r="F26" s="26" t="str">
        <x:v>1.888270770677991e-05</x:v>
      </x:c>
      <x:c r="G26" s="26" t="str">
        <x:v>2.367981869610958e-05</x:v>
      </x:c>
      <x:c r="H26" s="26" t="str">
        <x:v>2.126778495892268e-05</x:v>
      </x:c>
      <x:c r="I26" s="26" t="str">
        <x:v>2.173044436442478e-05</x:v>
      </x:c>
      <x:c r="J26" s="26" t="str">
        <x:v>2.149911466167373e-05</x:v>
      </x:c>
      <x:c r="K26" s="26" t="str">
        <x:v>2.122521947781064e-05</x:v>
      </x:c>
      <x:c r="L26" s="26" t="str">
        <x:v>2.270211442953474e-05</x:v>
      </x:c>
      <x:c r="M26" s="49" t="str">
        <x:v>2022</x:v>
      </x:c>
    </x:row>
    <x:row r="27" ht="19" customHeight="1">
      <x:c r="A27" s="23" t="str">
        <x:v>FT-Q-V01-026</x:v>
      </x:c>
      <x:c r="B27" s="24" t="str">
        <x:v>radiation absorption coefficients</x:v>
      </x:c>
      <x:c r="C27" s="25" t="str">
        <x:v>climate</x:v>
      </x:c>
      <x:c r="D27" s="25" t="str">
        <x:v>CONTEXT_REQUIRED</x:v>
      </x:c>
      <x:c r="E27" s="26" t="str">
        <x:v>0</x:v>
      </x:c>
      <x:c r="F27" s="26" t="str">
        <x:v>1.222350221041779e-09</x:v>
      </x:c>
      <x:c r="G27" s="26" t="str">
        <x:v>3.784216828783826e-10</x:v>
      </x:c>
      <x:c r="H27" s="26" t="str">
        <x:v>9.908744658115864e-11</x:v>
      </x:c>
      <x:c r="I27" s="26" t="str">
        <x:v>3.887298122284832e-10</x:v>
      </x:c>
      <x:c r="J27" s="26" t="str">
        <x:v>2.439086294048209e-10</x:v>
      </x:c>
      <x:c r="K27" s="26" t="str">
        <x:v>9.997370292724739e-11</x:v>
      </x:c>
      <x:c r="L27" s="26" t="str">
        <x:v>4.729858865681891e-11</x:v>
      </x:c>
      <x:c r="M27" s="49" t="str">
        <x:v>2022</x:v>
      </x:c>
    </x:row>
    <x:row r="28" ht="19" customHeight="1">
      <x:c r="A28" s="23" t="str">
        <x:v>FT-Q-V01-027</x:v>
      </x:c>
      <x:c r="B28" s="24" t="str">
        <x:v>water vapour</x:v>
      </x:c>
      <x:c r="C28" s="25" t="str">
        <x:v>climate</x:v>
      </x:c>
      <x:c r="D28" s="25" t="str">
        <x:v>CONTEXT_REQUIRED</x:v>
      </x:c>
      <x:c r="E28" s="26" t="str">
        <x:v>4.514918217068953e-09</x:v>
      </x:c>
      <x:c r="F28" s="26" t="str">
        <x:v>6.766959614878942e-07</x:v>
      </x:c>
      <x:c r="G28" s="26" t="str">
        <x:v>6.493189931566778e-07</x:v>
      </x:c>
      <x:c r="H28" s="26" t="str">
        <x:v>5.637561245712408e-07</x:v>
      </x:c>
      <x:c r="I28" s="26" t="str">
        <x:v>5.652062349884024e-07</x:v>
      </x:c>
      <x:c r="J28" s="26" t="str">
        <x:v>5.644811797798216e-07</x:v>
      </x:c>
      <x:c r="K28" s="26" t="str">
        <x:v>5.057859777633789e-07</x:v>
      </x:c>
      <x:c r="L28" s="26" t="str">
        <x:v>5.510517200879583e-07</x:v>
      </x:c>
      <x:c r="M28" s="49" t="str">
        <x:v>2022</x:v>
      </x:c>
    </x:row>
    <x:row r="29" ht="19" customHeight="1">
      <x:c r="A29" s="23" t="str">
        <x:v>FT-Q-V01-028</x:v>
      </x:c>
      <x:c r="B29" s="24" t="str">
        <x:v>sky radiation</x:v>
      </x:c>
      <x:c r="C29" s="25" t="str">
        <x:v>climate</x:v>
      </x:c>
      <x:c r="D29" s="25" t="str">
        <x:v>CONTEXT_REQUIRED</x:v>
      </x:c>
      <x:c r="E29" s="26" t="str">
        <x:v>0</x:v>
      </x:c>
      <x:c r="F29" s="26" t="str">
        <x:v>7.016433356543672e-08</x:v>
      </x:c>
      <x:c r="G29" s="26" t="str">
        <x:v>3.519036362309436e-08</x:v>
      </x:c>
      <x:c r="H29" s="26" t="str">
        <x:v>1.011776039339107e-08</x:v>
      </x:c>
      <x:c r="I29" s="26" t="str">
        <x:v>1.097400473965005e-08</x:v>
      </x:c>
      <x:c r="J29" s="26" t="str">
        <x:v>1.054588256652056e-08</x:v>
      </x:c>
      <x:c r="K29" s="26" t="str">
        <x:v>7.612475511065142e-09</x:v>
      </x:c>
      <x:c r="L29" s="26" t="str">
        <x:v>8.007414870059293e-09</x:v>
      </x:c>
      <x:c r="M29" s="49" t="str">
        <x:v>2022</x:v>
      </x:c>
    </x:row>
    <x:row r="30" ht="19" customHeight="1">
      <x:c r="A30" s="23" t="str">
        <x:v>FT-Q-V01-029</x:v>
      </x:c>
      <x:c r="B30" s="24" t="str">
        <x:v>increase in mean temperature</x:v>
      </x:c>
      <x:c r="C30" s="25" t="str">
        <x:v>temperature_threshold</x:v>
      </x:c>
      <x:c r="D30" s="25" t="str">
        <x:v>CONTEXT_REQUIRED</x:v>
      </x:c>
      <x:c r="E30" s="26" t="str">
        <x:v>0</x:v>
      </x:c>
      <x:c r="F30" s="26" t="str">
        <x:v>2.30258700995023e-09</x:v>
      </x:c>
      <x:c r="G30" s="26" t="str">
        <x:v>1.254889969715123e-09</x:v>
      </x:c>
      <x:c r="H30" s="26" t="str">
        <x:v>1.511421543476388e-09</x:v>
      </x:c>
      <x:c r="I30" s="26" t="str">
        <x:v>2.430605078318493e-09</x:v>
      </x:c>
      <x:c r="J30" s="26" t="str">
        <x:v>1.97101331089744e-09</x:v>
      </x:c>
      <x:c r="K30" s="26" t="str">
        <x:v>1.774355107286851e-09</x:v>
      </x:c>
      <x:c r="L30" s="26" t="str">
        <x:v>3.455194436119413e-09</x:v>
      </x:c>
      <x:c r="M30" s="49" t="str">
        <x:v>2022</x:v>
      </x:c>
    </x:row>
    <x:row r="31" ht="19" customHeight="1">
      <x:c r="A31" s="23" t="str">
        <x:v>FT-Q-V01-030</x:v>
      </x:c>
      <x:c r="B31" s="24" t="str">
        <x:v>mean temperature</x:v>
      </x:c>
      <x:c r="C31" s="25" t="str">
        <x:v>temperature_threshold</x:v>
      </x:c>
      <x:c r="D31" s="25" t="str">
        <x:v>CONTEXT_REQUIRED</x:v>
      </x:c>
      <x:c r="E31" s="26" t="str">
        <x:v>2.365172290907935e-06</x:v>
      </x:c>
      <x:c r="F31" s="26" t="str">
        <x:v>1.06460447896195e-06</x:v>
      </x:c>
      <x:c r="G31" s="26" t="str">
        <x:v>5.396020415979197e-07</x:v>
      </x:c>
      <x:c r="H31" s="26" t="str">
        <x:v>4.059007448348195e-07</x:v>
      </x:c>
      <x:c r="I31" s="26" t="str">
        <x:v>4.200255244168893e-07</x:v>
      </x:c>
      <x:c r="J31" s="26" t="str">
        <x:v>4.129631346258544e-07</x:v>
      </x:c>
      <x:c r="K31" s="26" t="str">
        <x:v>3.047325316460348e-07</x:v>
      </x:c>
      <x:c r="L31" s="26" t="str">
        <x:v>3.990877988080399e-07</x:v>
      </x:c>
      <x:c r="M31" s="49" t="str">
        <x:v>2022</x:v>
      </x:c>
    </x:row>
    <x:row r="32" ht="19" customHeight="1">
      <x:c r="A32" s="23" t="str">
        <x:v>FT-Q-V01-031</x:v>
      </x:c>
      <x:c r="B32" s="24" t="str">
        <x:v>temperature observations</x:v>
      </x:c>
      <x:c r="C32" s="25" t="str">
        <x:v>temperature_threshold</x:v>
      </x:c>
      <x:c r="D32" s="25" t="str">
        <x:v>CONTEXT_REQUIRED</x:v>
      </x:c>
      <x:c r="E32" s="26" t="str">
        <x:v>0</x:v>
      </x:c>
      <x:c r="F32" s="26" t="str">
        <x:v>3.630725631253995e-08</x:v>
      </x:c>
      <x:c r="G32" s="26" t="str">
        <x:v>4.333399722389331e-08</x:v>
      </x:c>
      <x:c r="H32" s="26" t="str">
        <x:v>1.327669915673901e-08</x:v>
      </x:c>
      <x:c r="I32" s="26" t="str">
        <x:v>1.196346471887821e-08</x:v>
      </x:c>
      <x:c r="J32" s="26" t="str">
        <x:v>1.262008193780861e-08</x:v>
      </x:c>
      <x:c r="K32" s="26" t="str">
        <x:v>8.032796372514639e-09</x:v>
      </x:c>
      <x:c r="L32" s="26" t="str">
        <x:v>1.079452616181698e-08</x:v>
      </x:c>
      <x:c r="M32" s="49" t="str">
        <x:v>2022</x:v>
      </x:c>
    </x:row>
    <x:row r="33" ht="19" customHeight="1">
      <x:c r="A33" s="23" t="str">
        <x:v>FT-Q-V01-032</x:v>
      </x:c>
      <x:c r="B33" s="24" t="str">
        <x:v>meteorological stations</x:v>
      </x:c>
      <x:c r="C33" s="25" t="str">
        <x:v>climate</x:v>
      </x:c>
      <x:c r="D33" s="25" t="str">
        <x:v>CONTEXT_REQUIRED</x:v>
      </x:c>
      <x:c r="E33" s="26" t="str">
        <x:v>6.449883405146295e-10</x:v>
      </x:c>
      <x:c r="F33" s="26" t="str">
        <x:v>9.076814153075041e-08</x:v>
      </x:c>
      <x:c r="G33" s="26" t="str">
        <x:v>9.47622730285147e-08</x:v>
      </x:c>
      <x:c r="H33" s="26" t="str">
        <x:v>6.752804135312651e-08</x:v>
      </x:c>
      <x:c r="I33" s="26" t="str">
        <x:v>5.707381896605246e-08</x:v>
      </x:c>
      <x:c r="J33" s="26" t="str">
        <x:v>6.230093015958948e-08</x:v>
      </x:c>
      <x:c r="K33" s="26" t="str">
        <x:v>4.119143208469733e-08</x:v>
      </x:c>
      <x:c r="L33" s="26" t="str">
        <x:v>5.706942204919407e-08</x:v>
      </x:c>
      <x:c r="M33" s="49" t="str">
        <x:v>2022</x:v>
      </x:c>
    </x:row>
    <x:row r="34" ht="19" customHeight="1">
      <x:c r="A34" s="23" t="str">
        <x:v>FT-Q-V01-033</x:v>
      </x:c>
      <x:c r="B34" s="24" t="str">
        <x:v>world temperatures</x:v>
      </x:c>
      <x:c r="C34" s="25" t="str">
        <x:v>temperature_threshold</x:v>
      </x:c>
      <x:c r="D34" s="25" t="str">
        <x:v>CONTEXT_REQUIRED</x:v>
      </x:c>
      <x:c r="E34" s="26" t="str">
        <x:v>0</x:v>
      </x:c>
      <x:c r="F34" s="26" t="str">
        <x:v>2.561554982016823e-09</x:v>
      </x:c>
      <x:c r="G34" s="26" t="str">
        <x:v>4.590047536501274e-09</x:v>
      </x:c>
      <x:c r="H34" s="26" t="str">
        <x:v>4.761299195188418e-09</x:v>
      </x:c>
      <x:c r="I34" s="26" t="str">
        <x:v>7.465921342958426e-09</x:v>
      </x:c>
      <x:c r="J34" s="26" t="str">
        <x:v>6.113610269073422e-09</x:v>
      </x:c>
      <x:c r="K34" s="26" t="str">
        <x:v>5.650978740501245e-09</x:v>
      </x:c>
      <x:c r="L34" s="26" t="str">
        <x:v>4.114307144975626e-09</x:v>
      </x:c>
      <x:c r="M34" s="49" t="str">
        <x:v>2022</x:v>
      </x:c>
    </x:row>
    <x:row r="35" ht="19" customHeight="1">
      <x:c r="A35" s="23" t="str">
        <x:v>FT-Q-V01-034</x:v>
      </x:c>
      <x:c r="B35" s="24" t="str">
        <x:v>actually increased</x:v>
      </x:c>
      <x:c r="C35" s="25" t="str">
        <x:v>warming</x:v>
      </x:c>
      <x:c r="D35" s="25" t="str">
        <x:v>CONTEXT_REQUIRED</x:v>
      </x:c>
      <x:c r="E35" s="26" t="str">
        <x:v>5.611398634641773e-08</x:v>
      </x:c>
      <x:c r="F35" s="26" t="str">
        <x:v>1.804225649021385e-07</x:v>
      </x:c>
      <x:c r="G35" s="26" t="str">
        <x:v>2.214574481781972e-07</x:v>
      </x:c>
      <x:c r="H35" s="26" t="str">
        <x:v>2.003408214254487e-07</x:v>
      </x:c>
      <x:c r="I35" s="26" t="str">
        <x:v>2.006803638751609e-07</x:v>
      </x:c>
      <x:c r="J35" s="26" t="str">
        <x:v>2.005105926503048e-07</x:v>
      </x:c>
      <x:c r="K35" s="26" t="str">
        <x:v>1.679881892306667e-07</x:v>
      </x:c>
      <x:c r="L35" s="26" t="str">
        <x:v>1.005129691700191e-07</x:v>
      </x:c>
      <x:c r="M35" s="49" t="str">
        <x:v>2022</x:v>
      </x:c>
    </x:row>
    <x:row r="36" ht="19" customHeight="1">
      <x:c r="A36" s="23" t="str">
        <x:v>FT-Q-V01-035</x:v>
      </x:c>
      <x:c r="B36" s="24" t="str">
        <x:v>average rate</x:v>
      </x:c>
      <x:c r="C36" s="25" t="str">
        <x:v>temperature_threshold</x:v>
      </x:c>
      <x:c r="D36" s="25" t="str">
        <x:v>CONTEXT_REQUIRED</x:v>
      </x:c>
      <x:c r="E36" s="26" t="str">
        <x:v>1.024886465750274e-06</x:v>
      </x:c>
      <x:c r="F36" s="26" t="str">
        <x:v>2.678272757100641e-06</x:v>
      </x:c>
      <x:c r="G36" s="26" t="str">
        <x:v>1.477254987107546e-06</x:v>
      </x:c>
      <x:c r="H36" s="26" t="str">
        <x:v>1.087956885408026e-06</x:v>
      </x:c>
      <x:c r="I36" s="26" t="str">
        <x:v>1.109498924400931e-06</x:v>
      </x:c>
      <x:c r="J36" s="26" t="str">
        <x:v>1.098727904904478e-06</x:v>
      </x:c>
      <x:c r="K36" s="26" t="str">
        <x:v>7.784807402877458e-07</x:v>
      </x:c>
      <x:c r="L36" s="26" t="str">
        <x:v>5.522904276411555e-07</x:v>
      </x:c>
      <x:c r="M36" s="49" t="str">
        <x:v>2022</x:v>
      </x:c>
    </x:row>
    <x:row r="37" ht="19" customHeight="1">
      <x:c r="A37" s="23" t="str">
        <x:v>FT-Q-V01-036</x:v>
      </x:c>
      <x:c r="B37" s="24" t="str">
        <x:v>small increases in mean temperature</x:v>
      </x:c>
      <x:c r="C37" s="25" t="str">
        <x:v>temperature_threshold</x:v>
      </x:c>
      <x:c r="D37" s="25" t="str">
        <x:v>CONTEXT_REQUIRED</x:v>
      </x:c>
      <x:c r="E37" s="26" t="str"/>
      <x:c r="F37" s="26" t="str"/>
      <x:c r="G37" s="26" t="str"/>
      <x:c r="H37" s="26" t="str"/>
      <x:c r="I37" s="26" t="str"/>
      <x:c r="J37" s="26" t="str"/>
      <x:c r="K37" s="26" t="str"/>
      <x:c r="L37" s="26" t="str"/>
      <x:c r="M37" s="49" t="str">
        <x:v>2022</x:v>
      </x:c>
    </x:row>
    <x:row r="38" ht="19" customHeight="1">
      <x:c r="A38" s="23" t="str">
        <x:v>FT-Q-V01-037</x:v>
      </x:c>
      <x:c r="B38" s="24" t="str">
        <x:v>deadly glaciers</x:v>
      </x:c>
      <x:c r="C38" s="25" t="str">
        <x:v>danger_threat</x:v>
      </x:c>
      <x:c r="D38" s="25" t="str">
        <x:v>CONTEXT_REQUIRED</x:v>
      </x:c>
      <x:c r="E38" s="26" t="str">
        <x:v>0</x:v>
      </x:c>
      <x:c r="F38" s="26" t="str">
        <x:v>1.113719533263335e-10</x:v>
      </x:c>
      <x:c r="G38" s="26" t="str">
        <x:v>4.9355349668323e-11</x:v>
      </x:c>
      <x:c r="H38" s="26" t="str">
        <x:v>9.156344432659225e-11</x:v>
      </x:c>
      <x:c r="I38" s="26" t="str">
        <x:v>4.497542963055601e-11</x:v>
      </x:c>
      <x:c r="J38" s="26" t="str">
        <x:v>6.826943697857413e-11</x:v>
      </x:c>
      <x:c r="K38" s="26" t="str">
        <x:v>3.269161330532455e-10</x:v>
      </x:c>
      <x:c r="L38" s="26" t="str">
        <x:v>2.211993088696573e-10</x:v>
      </x:c>
      <x:c r="M38" s="49" t="str">
        <x:v>2022</x:v>
      </x:c>
    </x:row>
    <x:row r="39" ht="19" customHeight="1">
      <x:c r="A39" s="23" t="str">
        <x:v>FT-Q-V01-038</x:v>
      </x:c>
      <x:c r="B39" s="24" t="str">
        <x:v>rather a coincidence</x:v>
      </x:c>
      <x:c r="C39" s="25" t="str">
        <x:v>concern_alarm</x:v>
      </x:c>
      <x:c r="D39" s="25" t="str">
        <x:v>CONTEXT_REQUIRED</x:v>
      </x:c>
      <x:c r="E39" s="26" t="str">
        <x:v>1.372755464856823e-09</x:v>
      </x:c>
      <x:c r="F39" s="26" t="str">
        <x:v>4.644931106412287e-09</x:v>
      </x:c>
      <x:c r="G39" s="26" t="str">
        <x:v>7.027831511186022e-10</x:v>
      </x:c>
      <x:c r="H39" s="26" t="str">
        <x:v>9.413307355821132e-10</x:v>
      </x:c>
      <x:c r="I39" s="26" t="str">
        <x:v>8.746421087391099e-10</x:v>
      </x:c>
      <x:c r="J39" s="26" t="str">
        <x:v>9.079864221606115e-10</x:v>
      </x:c>
      <x:c r="K39" s="26" t="str">
        <x:v>2.049460878783549e-09</x:v>
      </x:c>
      <x:c r="L39" s="26" t="str">
        <x:v>3.216303917641383e-09</x:v>
      </x:c>
      <x:c r="M39" s="49" t="str">
        <x:v>2022</x:v>
      </x:c>
    </x:row>
    <x:row r="40" ht="19" customHeight="1">
      <x:c r="A40" s="23" t="str">
        <x:v>FT-Q-V01-039</x:v>
      </x:c>
      <x:c r="B40" s="24" t="str">
        <x:v>Hottest Day for Ten Years</x:v>
      </x:c>
      <x:c r="C40" s="25" t="str">
        <x:v>heat</x:v>
      </x:c>
      <x:c r="D40" s="25" t="str">
        <x:v>CONTEXT_REQUIRED</x:v>
      </x:c>
      <x:c r="E40" s="26" t="str"/>
      <x:c r="F40" s="26" t="str"/>
      <x:c r="G40" s="26" t="str"/>
      <x:c r="H40" s="26" t="str"/>
      <x:c r="I40" s="26" t="str"/>
      <x:c r="J40" s="26" t="str"/>
      <x:c r="K40" s="26" t="str"/>
      <x:c r="L40" s="26" t="str"/>
      <x:c r="M40" s="49" t="str">
        <x:v>2022</x:v>
      </x:c>
    </x:row>
    <x:row r="41" ht="19" customHeight="1">
      <x:c r="A41" s="23" t="str">
        <x:v>FT-Q-V01-040</x:v>
      </x:c>
      <x:c r="B41" s="24" t="str">
        <x:v>Heat Wave Over Queensland</x:v>
      </x:c>
      <x:c r="C41" s="25" t="str">
        <x:v>heat</x:v>
      </x:c>
      <x:c r="D41" s="25" t="str">
        <x:v>CONTEXT_REQUIRED</x:v>
      </x:c>
      <x:c r="E41" s="26" t="str"/>
      <x:c r="F41" s="26" t="str"/>
      <x:c r="G41" s="26" t="str"/>
      <x:c r="H41" s="26" t="str"/>
      <x:c r="I41" s="26" t="str"/>
      <x:c r="J41" s="26" t="str"/>
      <x:c r="K41" s="26" t="str"/>
      <x:c r="L41" s="26" t="str"/>
      <x:c r="M41" s="49" t="str">
        <x:v>2022</x:v>
      </x:c>
    </x:row>
    <x:row r="42" ht="19" customHeight="1">
      <x:c r="A42" s="23" t="str">
        <x:v>FT-Q-V01-041</x:v>
      </x:c>
      <x:c r="B42" s="24" t="str">
        <x:v>greenhouse effect</x:v>
      </x:c>
      <x:c r="C42" s="25" t="str">
        <x:v>carbon_greenhouse</x:v>
      </x:c>
      <x:c r="D42" s="25" t="str">
        <x:v>CLIMATE_SPECIFIC</x:v>
      </x:c>
      <x:c r="E42" s="26" t="str">
        <x:v>0</x:v>
      </x:c>
      <x:c r="F42" s="26" t="str">
        <x:v>9.689360203068986e-09</x:v>
      </x:c>
      <x:c r="G42" s="26" t="str">
        <x:v>1.086015104533045e-06</x:v>
      </x:c>
      <x:c r="H42" s="26" t="str">
        <x:v>4.812116740637862e-07</x:v>
      </x:c>
      <x:c r="I42" s="26" t="str">
        <x:v>5.082223493886595e-07</x:v>
      </x:c>
      <x:c r="J42" s="26" t="str">
        <x:v>4.947170117262228e-07</x:v>
      </x:c>
      <x:c r="K42" s="26" t="str">
        <x:v>4.161642502796548e-07</x:v>
      </x:c>
      <x:c r="L42" s="26" t="str">
        <x:v>4.531046594036248e-07</x:v>
      </x:c>
      <x:c r="M42" s="49" t="str">
        <x:v>2022</x:v>
      </x:c>
    </x:row>
    <x:row r="43" ht="19" customHeight="1">
      <x:c r="A43" s="23" t="str">
        <x:v>FT-Q-V01-042</x:v>
      </x:c>
      <x:c r="B43" s="24" t="str">
        <x:v>global warming</x:v>
      </x:c>
      <x:c r="C43" s="25" t="str">
        <x:v>warming</x:v>
      </x:c>
      <x:c r="D43" s="25" t="str">
        <x:v>CLIMATE_SPECIFIC</x:v>
      </x:c>
      <x:c r="E43" s="26" t="str">
        <x:v>0</x:v>
      </x:c>
      <x:c r="F43" s="26" t="str">
        <x:v>2.00469511824064e-09</x:v>
      </x:c>
      <x:c r="G43" s="26" t="str">
        <x:v>6.400895369296222e-07</x:v>
      </x:c>
      <x:c r="H43" s="26" t="str">
        <x:v>3.39393631278162e-06</x:v>
      </x:c>
      <x:c r="I43" s="26" t="str">
        <x:v>4.96164442403968e-06</x:v>
      </x:c>
      <x:c r="J43" s="26" t="str">
        <x:v>4.17779036841065e-06</x:v>
      </x:c>
      <x:c r="K43" s="26" t="str">
        <x:v>3.293586607857474e-06</x:v>
      </x:c>
      <x:c r="L43" s="26" t="str">
        <x:v>3.963670369644401e-06</x:v>
      </x:c>
      <x:c r="M43" s="49" t="str">
        <x:v>2022</x:v>
      </x:c>
    </x:row>
    <x:row r="44" ht="19" customHeight="1">
      <x:c r="A44" s="23" t="str">
        <x:v>FT-Q-V01-043</x:v>
      </x:c>
      <x:c r="B44" s="24" t="str">
        <x:v>earth is warmer</x:v>
      </x:c>
      <x:c r="C44" s="25" t="str">
        <x:v>warming</x:v>
      </x:c>
      <x:c r="D44" s="25" t="str">
        <x:v>CONTEXT_REQUIRED</x:v>
      </x:c>
      <x:c r="E44" s="26" t="str">
        <x:v>0</x:v>
      </x:c>
      <x:c r="F44" s="26" t="str">
        <x:v>2.444700553105861e-10</x:v>
      </x:c>
      <x:c r="G44" s="26" t="str">
        <x:v>1.243385561178201e-09</x:v>
      </x:c>
      <x:c r="H44" s="26" t="str">
        <x:v>1.04041819604106e-09</x:v>
      </x:c>
      <x:c r="I44" s="26" t="str">
        <x:v>2.235196472355483e-09</x:v>
      </x:c>
      <x:c r="J44" s="26" t="str">
        <x:v>1.637807334198271e-09</x:v>
      </x:c>
      <x:c r="K44" s="26" t="str">
        <x:v>1.249671310876721e-09</x:v>
      </x:c>
      <x:c r="L44" s="26" t="str">
        <x:v>1.702749219401056e-09</x:v>
      </x:c>
      <x:c r="M44" s="49" t="str">
        <x:v>2022</x:v>
      </x:c>
    </x:row>
    <x:row r="45" ht="19" customHeight="1">
      <x:c r="A45" s="23" t="str">
        <x:v>FT-Q-V01-044</x:v>
      </x:c>
      <x:c r="B45" s="24" t="str">
        <x:v>instrumental measurements</x:v>
      </x:c>
      <x:c r="C45" s="25" t="str">
        <x:v>climate</x:v>
      </x:c>
      <x:c r="D45" s="25" t="str">
        <x:v>CONTEXT_REQUIRED</x:v>
      </x:c>
      <x:c r="E45" s="26" t="str">
        <x:v>0</x:v>
      </x:c>
      <x:c r="F45" s="26" t="str">
        <x:v>4.343506249115947e-09</x:v>
      </x:c>
      <x:c r="G45" s="26" t="str">
        <x:v>6.959104164455665e-09</x:v>
      </x:c>
      <x:c r="H45" s="26" t="str">
        <x:v>9.659943039919128e-09</x:v>
      </x:c>
      <x:c r="I45" s="26" t="str">
        <x:v>1.155868578628372e-08</x:v>
      </x:c>
      <x:c r="J45" s="26" t="str">
        <x:v>1.060931441310142e-08</x:v>
      </x:c>
      <x:c r="K45" s="26" t="str">
        <x:v>7.752582603659519e-09</x:v>
      </x:c>
      <x:c r="L45" s="26" t="str">
        <x:v>8.892212299826951e-09</x:v>
      </x:c>
      <x:c r="M45" s="49" t="str">
        <x:v>2022</x:v>
      </x:c>
    </x:row>
    <x:row r="46" ht="19" customHeight="1">
      <x:c r="A46" s="23" t="str">
        <x:v>FT-Q-V01-045</x:v>
      </x:c>
      <x:c r="B46" s="24" t="str">
        <x:v>cause-and-effect relationship</x:v>
      </x:c>
      <x:c r="C46" s="25" t="str">
        <x:v>harm_loss_consequences</x:v>
      </x:c>
      <x:c r="D46" s="25" t="str">
        <x:v>CONTEXT_REQUIRED</x:v>
      </x:c>
      <x:c r="E46" s="26" t="str">
        <x:v>0</x:v>
      </x:c>
      <x:c r="F46" s="26" t="str">
        <x:v>1.153081288784996e-08</x:v>
      </x:c>
      <x:c r="G46" s="26" t="str">
        <x:v>1.040740936764095e-07</x:v>
      </x:c>
      <x:c r="H46" s="26" t="str">
        <x:v>1.102150947035474e-07</x:v>
      </x:c>
      <x:c r="I46" s="26" t="str">
        <x:v>1.140745307104396e-07</x:v>
      </x:c>
      <x:c r="J46" s="26" t="str">
        <x:v>1.121448127069935e-07</x:v>
      </x:c>
      <x:c r="K46" s="26" t="str">
        <x:v>1.375002782744161e-07</x:v>
      </x:c>
      <x:c r="L46" s="26" t="str">
        <x:v>1.046778577290519e-07</x:v>
      </x:c>
      <x:c r="M46" s="49" t="str">
        <x:v>2022</x:v>
      </x:c>
    </x:row>
    <x:row r="47" ht="19" customHeight="1">
      <x:c r="A47" s="23" t="str">
        <x:v>FT-Q-V01-046</x:v>
      </x:c>
      <x:c r="B47" s="24" t="str">
        <x:v>global temperature</x:v>
      </x:c>
      <x:c r="C47" s="25" t="str">
        <x:v>temperature_threshold</x:v>
      </x:c>
      <x:c r="D47" s="25" t="str">
        <x:v>CONTEXT_REQUIRED</x:v>
      </x:c>
      <x:c r="E47" s="26" t="str">
        <x:v>0</x:v>
      </x:c>
      <x:c r="F47" s="26" t="str">
        <x:v>0</x:v>
      </x:c>
      <x:c r="G47" s="26" t="str">
        <x:v>1.101611393217183e-07</x:v>
      </x:c>
      <x:c r="H47" s="26" t="str">
        <x:v>1.36521097881398e-07</x:v>
      </x:c>
      <x:c r="I47" s="26" t="str">
        <x:v>1.52331783999371e-07</x:v>
      </x:c>
      <x:c r="J47" s="26" t="str">
        <x:v>1.444264409403845e-07</x:v>
      </x:c>
      <x:c r="K47" s="26" t="str">
        <x:v>1.917596575834457e-07</x:v>
      </x:c>
      <x:c r="L47" s="26" t="str">
        <x:v>3.140587651051518e-07</x:v>
      </x:c>
      <x:c r="M47" s="49" t="str">
        <x:v>2022</x:v>
      </x:c>
    </x:row>
    <x:row r="48" ht="19" customHeight="1">
      <x:c r="A48" s="23" t="str">
        <x:v>FT-Q-V01-047</x:v>
      </x:c>
      <x:c r="B48" s="24" t="str">
        <x:v>regional heat waves</x:v>
      </x:c>
      <x:c r="C48" s="25" t="str">
        <x:v>heat</x:v>
      </x:c>
      <x:c r="D48" s="25" t="str">
        <x:v>CONTEXT_REQUIRED</x:v>
      </x:c>
      <x:c r="E48" s="26" t="str">
        <x:v>0</x:v>
      </x:c>
      <x:c r="F48" s="26" t="str">
        <x:v>0</x:v>
      </x:c>
      <x:c r="G48" s="26" t="str">
        <x:v>7.0278316499639e-10</x:v>
      </x:c>
      <x:c r="H48" s="26" t="str">
        <x:v>4.954372329057932e-11</x:v>
      </x:c>
      <x:c r="I48" s="26" t="str">
        <x:v>9.718245652656776e-11</x:v>
      </x:c>
      <x:c r="J48" s="26" t="str">
        <x:v>7.336308990857354e-11</x:v>
      </x:c>
      <x:c r="K48" s="26" t="str">
        <x:v>3.499079706537067e-10</x:v>
      </x:c>
      <x:c r="L48" s="26" t="str">
        <x:v>4.729858865681891e-11</x:v>
      </x:c>
      <x:c r="M48" s="49" t="str">
        <x:v>2022</x:v>
      </x:c>
    </x:row>
    <x:row r="49" ht="19" customHeight="1">
      <x:c r="A49" s="23" t="str">
        <x:v>FT-Q-V01-048</x:v>
      </x:c>
      <x:c r="B49" s="24" t="str">
        <x:v>heat wave</x:v>
      </x:c>
      <x:c r="C49" s="25" t="str">
        <x:v>heat</x:v>
      </x:c>
      <x:c r="D49" s="25" t="str">
        <x:v>CLIMATE_SPECIFIC</x:v>
      </x:c>
      <x:c r="E49" s="26" t="str">
        <x:v>4.514918217068953e-09</x:v>
      </x:c>
      <x:c r="F49" s="26" t="str">
        <x:v>1.921166252749629e-07</x:v>
      </x:c>
      <x:c r="G49" s="26" t="str">
        <x:v>1.718059701449892e-07</x:v>
      </x:c>
      <x:c r="H49" s="26" t="str">
        <x:v>2.572474944173564e-07</x:v>
      </x:c>
      <x:c r="I49" s="26" t="str">
        <x:v>2.559551631371726e-07</x:v>
      </x:c>
      <x:c r="J49" s="26" t="str">
        <x:v>2.566013287772645e-07</x:v>
      </x:c>
      <x:c r="K49" s="26" t="str">
        <x:v>3.528359153667782e-07</x:v>
      </x:c>
      <x:c r="L49" s="26" t="str">
        <x:v>3.006541136052476e-07</x:v>
      </x:c>
      <x:c r="M49" s="49" t="str">
        <x:v>2022</x:v>
      </x:c>
    </x:row>
    <x:row r="50" ht="19" customHeight="1">
      <x:c r="A50" s="23" t="str">
        <x:v>FT-Q-V01-049</x:v>
      </x:c>
      <x:c r="B50" s="24" t="str">
        <x:v>drought</x:v>
      </x:c>
      <x:c r="C50" s="25" t="str">
        <x:v>harm_loss_consequences</x:v>
      </x:c>
      <x:c r="D50" s="25" t="str">
        <x:v>BACKGROUND_AMBIGUOUS</x:v>
      </x:c>
      <x:c r="E50" s="26" t="str">
        <x:v>3.115138760279024e-06</x:v>
      </x:c>
      <x:c r="F50" s="26" t="str">
        <x:v>9.374461029665326e-06</x:v>
      </x:c>
      <x:c r="G50" s="26" t="str">
        <x:v>1.090940310177757e-05</x:v>
      </x:c>
      <x:c r="H50" s="26" t="str">
        <x:v>6.629869545804468e-06</x:v>
      </x:c>
      <x:c r="I50" s="26" t="str">
        <x:v>6.241732602774164e-06</x:v>
      </x:c>
      <x:c r="J50" s="26" t="str">
        <x:v>6.435801074289316e-06</x:v>
      </x:c>
      <x:c r="K50" s="26" t="str">
        <x:v>5.762521983143643e-06</x:v>
      </x:c>
      <x:c r="L50" s="26" t="str">
        <x:v>8.803938708723535e-06</x:v>
      </x:c>
      <x:c r="M50" s="49" t="str">
        <x:v>2022</x:v>
      </x:c>
    </x:row>
    <x:row r="51" ht="19" customHeight="1">
      <x:c r="A51" s="23" t="str">
        <x:v>FT-Q-V01-050</x:v>
      </x:c>
      <x:c r="B51" s="24" t="str">
        <x:v>heat wave/drought occurrences</x:v>
      </x:c>
      <x:c r="C51" s="25" t="str">
        <x:v>heat</x:v>
      </x:c>
      <x:c r="D51" s="25" t="str">
        <x:v>CONTEXT_REQUIRED</x:v>
      </x:c>
      <x:c r="E51" s="26" t="str"/>
      <x:c r="F51" s="26" t="str"/>
      <x:c r="G51" s="26" t="str"/>
      <x:c r="H51" s="26" t="str"/>
      <x:c r="I51" s="26" t="str"/>
      <x:c r="J51" s="26" t="str"/>
      <x:c r="K51" s="26" t="str"/>
      <x:c r="L51" s="26" t="str"/>
      <x:c r="M51" s="49" t="str">
        <x:v>2022</x:v>
      </x:c>
    </x:row>
    <x:row r="52" ht="19" customHeight="1">
      <x:c r="A52" s="23" t="str">
        <x:v>FT-Q-V01-051</x:v>
      </x:c>
      <x:c r="B52" s="24" t="str">
        <x:v>extreme events</x:v>
      </x:c>
      <x:c r="C52" s="25" t="str">
        <x:v>harm_loss_consequences</x:v>
      </x:c>
      <x:c r="D52" s="25" t="str">
        <x:v>CONTEXT_REQUIRED</x:v>
      </x:c>
      <x:c r="E52" s="26" t="str">
        <x:v>0</x:v>
      </x:c>
      <x:c r="F52" s="26" t="str">
        <x:v>3.341158599790006e-10</x:v>
      </x:c>
      <x:c r="G52" s="26" t="str">
        <x:v>5.5376702223775e-08</x:v>
      </x:c>
      <x:c r="H52" s="26" t="str">
        <x:v>2.56927021435871e-07</x:v>
      </x:c>
      <x:c r="I52" s="26" t="str">
        <x:v>2.204695532803669e-07</x:v>
      </x:c>
      <x:c r="J52" s="26" t="str">
        <x:v>2.386982873581189e-07</x:v>
      </x:c>
      <x:c r="K52" s="26" t="str">
        <x:v>3.062737106152014e-07</x:v>
      </x:c>
      <x:c r="L52" s="26" t="str">
        <x:v>4.590328079867589e-07</x:v>
      </x:c>
      <x:c r="M52" s="49" t="str">
        <x:v>2022</x:v>
      </x:c>
    </x:row>
    <x:row r="53" ht="19" customHeight="1">
      <x:c r="A53" s="23" t="str">
        <x:v>FT-Q-V01-052</x:v>
      </x:c>
      <x:c r="B53" s="24" t="str">
        <x:v>global climate models</x:v>
      </x:c>
      <x:c r="C53" s="25" t="str">
        <x:v>climate</x:v>
      </x:c>
      <x:c r="D53" s="25" t="str">
        <x:v>CONTEXT_REQUIRED</x:v>
      </x:c>
      <x:c r="E53" s="26" t="str">
        <x:v>0</x:v>
      </x:c>
      <x:c r="F53" s="26" t="str">
        <x:v>0</x:v>
      </x:c>
      <x:c r="G53" s="26" t="str">
        <x:v>1.378536206020353e-08</x:v>
      </x:c>
      <x:c r="H53" s="26" t="str">
        <x:v>3.141072137807788e-08</x:v>
      </x:c>
      <x:c r="I53" s="26" t="str">
        <x:v>3.527723113627701e-08</x:v>
      </x:c>
      <x:c r="J53" s="26" t="str">
        <x:v>3.334397625717744e-08</x:v>
      </x:c>
      <x:c r="K53" s="26" t="str">
        <x:v>3.734017823067703e-08</x:v>
      </x:c>
      <x:c r="L53" s="26" t="str">
        <x:v>4.237953538099859e-08</x:v>
      </x:c>
      <x:c r="M53" s="49" t="str">
        <x:v>2022</x:v>
      </x:c>
    </x:row>
    <x:row r="54" ht="19" customHeight="1">
      <x:c r="A54" s="23" t="str">
        <x:v>FT-Q-V01-053</x:v>
      </x:c>
      <x:c r="B54" s="24" t="str">
        <x:v>global observations</x:v>
      </x:c>
      <x:c r="C54" s="25" t="str">
        <x:v>climate</x:v>
      </x:c>
      <x:c r="D54" s="25" t="str">
        <x:v>CONTEXT_REQUIRED</x:v>
      </x:c>
      <x:c r="E54" s="26" t="str">
        <x:v>0</x:v>
      </x:c>
      <x:c r="F54" s="26" t="str">
        <x:v>0</x:v>
      </x:c>
      <x:c r="G54" s="26" t="str">
        <x:v>1.599113318151435e-08</x:v>
      </x:c>
      <x:c r="H54" s="26" t="str">
        <x:v>1.16285575613162e-08</x:v>
      </x:c>
      <x:c r="I54" s="26" t="str">
        <x:v>1.421223546141381e-08</x:v>
      </x:c>
      <x:c r="J54" s="26" t="str">
        <x:v>1.292039651136501e-08</x:v>
      </x:c>
      <x:c r="K54" s="26" t="str">
        <x:v>8.17290351715072e-09</x:v>
      </x:c>
      <x:c r="L54" s="26" t="str">
        <x:v>1.190052256738738e-08</x:v>
      </x:c>
      <x:c r="M54" s="49" t="str">
        <x:v>2022</x:v>
      </x:c>
    </x:row>
    <x:row r="55" ht="19" customHeight="1">
      <x:c r="A55" s="23" t="str">
        <x:v>FT-Q-V01-054</x:v>
      </x:c>
      <x:c r="B55" s="24" t="str">
        <x:v>warm air</x:v>
      </x:c>
      <x:c r="C55" s="25" t="str">
        <x:v>temperature_threshold</x:v>
      </x:c>
      <x:c r="D55" s="25" t="str">
        <x:v>CONTEXT_REQUIRED</x:v>
      </x:c>
      <x:c r="E55" s="26" t="str">
        <x:v>4.637466225476672e-07</x:v>
      </x:c>
      <x:c r="F55" s="26" t="str">
        <x:v>1.56020963704151e-06</x:v>
      </x:c>
      <x:c r="G55" s="26" t="str">
        <x:v>4.812640085269382e-07</x:v>
      </x:c>
      <x:c r="H55" s="26" t="str">
        <x:v>5.327618970638048e-07</x:v>
      </x:c>
      <x:c r="I55" s="26" t="str">
        <x:v>5.737065812000397e-07</x:v>
      </x:c>
      <x:c r="J55" s="26" t="str">
        <x:v>5.532342391319223e-07</x:v>
      </x:c>
      <x:c r="K55" s="26" t="str">
        <x:v>6.757823330823254e-07</x:v>
      </x:c>
      <x:c r="L55" s="26" t="str">
        <x:v>5.92194779214239e-07</x:v>
      </x:c>
      <x:c r="M55" s="49" t="str">
        <x:v>2022</x:v>
      </x:c>
    </x:row>
    <x:row r="56" ht="19" customHeight="1">
      <x:c r="A56" s="23" t="str">
        <x:v>FT-Q-V01-055</x:v>
      </x:c>
      <x:c r="B56" s="24" t="str">
        <x:v>changing atmosphere</x:v>
      </x:c>
      <x:c r="C56" s="25" t="str">
        <x:v>climate</x:v>
      </x:c>
      <x:c r="D56" s="25" t="str">
        <x:v>CLIMATE_SPECIFIC</x:v>
      </x:c>
      <x:c r="E56" s="26" t="str">
        <x:v>1.93496507705504e-09</x:v>
      </x:c>
      <x:c r="F56" s="26" t="str">
        <x:v>2.450182945423762e-09</x:v>
      </x:c>
      <x:c r="G56" s="26" t="str">
        <x:v>3.622682637205443e-08</x:v>
      </x:c>
      <x:c r="H56" s="26" t="str">
        <x:v>9.110562668862565e-09</x:v>
      </x:c>
      <x:c r="I56" s="26" t="str">
        <x:v>9.534791317600266e-09</x:v>
      </x:c>
      <x:c r="J56" s="26" t="str">
        <x:v>9.322676993231416e-09</x:v>
      </x:c>
      <x:c r="K56" s="26" t="str">
        <x:v>8.266307967991215e-09</x:v>
      </x:c>
      <x:c r="L56" s="26" t="str">
        <x:v>1.070604704889178e-08</x:v>
      </x:c>
      <x:c r="M56" s="49" t="str">
        <x:v>2022</x:v>
      </x:c>
    </x:row>
    <x:row r="57" ht="19" customHeight="1">
      <x:c r="A57" s="23" t="str">
        <x:v>FT-Q-V01-056</x:v>
      </x:c>
      <x:c r="B57" s="24" t="str">
        <x:v>global security</x:v>
      </x:c>
      <x:c r="C57" s="25" t="str">
        <x:v>danger_threat</x:v>
      </x:c>
      <x:c r="D57" s="25" t="str">
        <x:v>CONTEXT_REQUIRED</x:v>
      </x:c>
      <x:c r="E57" s="26" t="str">
        <x:v>0</x:v>
      </x:c>
      <x:c r="F57" s="26" t="str">
        <x:v>0</x:v>
      </x:c>
      <x:c r="G57" s="26" t="str">
        <x:v>1.697824010271631e-07</x:v>
      </x:c>
      <x:c r="H57" s="26" t="str">
        <x:v>3.610804458209493e-07</x:v>
      </x:c>
      <x:c r="I57" s="26" t="str">
        <x:v>3.68618609414284e-07</x:v>
      </x:c>
      <x:c r="J57" s="26" t="str">
        <x:v>3.648495276176167e-07</x:v>
      </x:c>
      <x:c r="K57" s="26" t="str">
        <x:v>2.910487669725847e-07</x:v>
      </x:c>
      <x:c r="L57" s="26" t="str">
        <x:v>2.638022949807972e-07</x:v>
      </x:c>
      <x:c r="M57" s="49" t="str">
        <x:v>2022</x:v>
      </x:c>
    </x:row>
    <x:row r="58" ht="19" customHeight="1">
      <x:c r="A58" s="23" t="str">
        <x:v>FT-Q-V01-057</x:v>
      </x:c>
      <x:c r="B58" s="24" t="str">
        <x:v>climate warming</x:v>
      </x:c>
      <x:c r="C58" s="25" t="str">
        <x:v>warming</x:v>
      </x:c>
      <x:c r="D58" s="25" t="str">
        <x:v>CONTEXT_REQUIRED</x:v>
      </x:c>
      <x:c r="E58" s="26" t="str">
        <x:v>0</x:v>
      </x:c>
      <x:c r="F58" s="26" t="str">
        <x:v>0</x:v>
      </x:c>
      <x:c r="G58" s="26" t="str">
        <x:v>3.632553680077422e-08</x:v>
      </x:c>
      <x:c r="H58" s="26" t="str">
        <x:v>9.815601531570906e-08</x:v>
      </x:c>
      <x:c r="I58" s="26" t="str">
        <x:v>9.899091737985977e-08</x:v>
      </x:c>
      <x:c r="J58" s="26" t="str">
        <x:v>9.857346634778441e-08</x:v>
      </x:c>
      <x:c r="K58" s="26" t="str">
        <x:v>8.350372171506137e-08</x:v>
      </x:c>
      <x:c r="L58" s="26" t="str">
        <x:v>1.583787058723196e-07</x:v>
      </x:c>
      <x:c r="M58" s="49" t="str">
        <x:v>2022</x:v>
      </x:c>
    </x:row>
    <x:row r="59" ht="19" customHeight="1">
      <x:c r="A59" s="23" t="str">
        <x:v>FT-Q-V01-058</x:v>
      </x:c>
      <x:c r="B59" s="24" t="str">
        <x:v>changed climatic extremes</x:v>
      </x:c>
      <x:c r="C59" s="25" t="str">
        <x:v>harm_loss_consequences</x:v>
      </x:c>
      <x:c r="D59" s="25" t="str">
        <x:v>CONTEXT_REQUIRED</x:v>
      </x:c>
      <x:c r="E59" s="26" t="str"/>
      <x:c r="F59" s="26" t="str"/>
      <x:c r="G59" s="26" t="str"/>
      <x:c r="H59" s="26" t="str"/>
      <x:c r="I59" s="26" t="str"/>
      <x:c r="J59" s="26" t="str"/>
      <x:c r="K59" s="26" t="str"/>
      <x:c r="L59" s="26" t="str"/>
      <x:c r="M59" s="49" t="str">
        <x:v>2022</x:v>
      </x:c>
    </x:row>
    <x:row r="60" ht="19" customHeight="1">
      <x:c r="A60" s="23" t="str">
        <x:v>FT-Q-V01-059</x:v>
      </x:c>
      <x:c r="B60" s="24" t="str">
        <x:v>major threat</x:v>
      </x:c>
      <x:c r="C60" s="25" t="str">
        <x:v>danger_threat</x:v>
      </x:c>
      <x:c r="D60" s="25" t="str">
        <x:v>CONTEXT_REQUIRED</x:v>
      </x:c>
      <x:c r="E60" s="26" t="str">
        <x:v>0</x:v>
      </x:c>
      <x:c r="F60" s="26" t="str">
        <x:v>1.403286584156227e-08</x:v>
      </x:c>
      <x:c r="G60" s="26" t="str">
        <x:v>2.255045952748169e-07</x:v>
      </x:c>
      <x:c r="H60" s="26" t="str">
        <x:v>2.440623619870408e-07</x:v>
      </x:c>
      <x:c r="I60" s="26" t="str">
        <x:v>2.354463725096068e-07</x:v>
      </x:c>
      <x:c r="J60" s="26" t="str">
        <x:v>2.397543672483238e-07</x:v>
      </x:c>
      <x:c r="K60" s="26" t="str">
        <x:v>2.18847005184486e-07</x:v>
      </x:c>
      <x:c r="L60" s="26" t="str">
        <x:v>2.351791106303125e-07</x:v>
      </x:c>
      <x:c r="M60" s="49" t="str">
        <x:v>2022</x:v>
      </x:c>
    </x:row>
    <x:row r="61" ht="19" customHeight="1">
      <x:c r="A61" s="23" t="str">
        <x:v>FT-Q-V01-060</x:v>
      </x:c>
      <x:c r="B61" s="24" t="str">
        <x:v>harmful consequences</x:v>
      </x:c>
      <x:c r="C61" s="25" t="str">
        <x:v>harm_loss_consequences</x:v>
      </x:c>
      <x:c r="D61" s="25" t="str">
        <x:v>CONTEXT_REQUIRED</x:v>
      </x:c>
      <x:c r="E61" s="26" t="str">
        <x:v>0</x:v>
      </x:c>
      <x:c r="F61" s="26" t="str">
        <x:v>2.706338442237666e-08</x:v>
      </x:c>
      <x:c r="G61" s="26" t="str">
        <x:v>8.069599446991482e-08</x:v>
      </x:c>
      <x:c r="H61" s="26" t="str">
        <x:v>1.050232736748979e-07</x:v>
      </x:c>
      <x:c r="I61" s="26" t="str">
        <x:v>1.079860063382676e-07</x:v>
      </x:c>
      <x:c r="J61" s="26" t="str">
        <x:v>1.065046400065828e-07</x:v>
      </x:c>
      <x:c r="K61" s="26" t="str">
        <x:v>1.12132235940976e-07</x:v>
      </x:c>
      <x:c r="L61" s="26" t="str">
        <x:v>1.412578776172069e-07</x:v>
      </x:c>
      <x:c r="M61" s="49" t="str">
        <x:v>2022</x:v>
      </x:c>
    </x:row>
    <x:row r="62" ht="19" customHeight="1">
      <x:c r="A62" s="23" t="str">
        <x:v>FT-Q-V01-061</x:v>
      </x:c>
      <x:c r="B62" s="24" t="str">
        <x:v>warming of the climate system</x:v>
      </x:c>
      <x:c r="C62" s="25" t="str">
        <x:v>warming</x:v>
      </x:c>
      <x:c r="D62" s="25" t="str">
        <x:v>CONTEXT_REQUIRED</x:v>
      </x:c>
      <x:c r="E62" s="26" t="str">
        <x:v>0</x:v>
      </x:c>
      <x:c r="F62" s="26" t="str">
        <x:v>0</x:v>
      </x:c>
      <x:c r="G62" s="26" t="str">
        <x:v>1.303340213532067e-10</x:v>
      </x:c>
      <x:c r="H62" s="26" t="str">
        <x:v>1.048117204138777e-09</x:v>
      </x:c>
      <x:c r="I62" s="26" t="str">
        <x:v>7.173159843887333e-09</x:v>
      </x:c>
      <x:c r="J62" s="26" t="str">
        <x:v>4.110638524013055e-09</x:v>
      </x:c>
      <x:c r="K62" s="26" t="str">
        <x:v>1.336047139588459e-08</x:v>
      </x:c>
      <x:c r="L62" s="26" t="str">
        <x:v>4.892822147439801e-09</x:v>
      </x:c>
      <x:c r="M62" s="49" t="str">
        <x:v>2022</x:v>
      </x:c>
    </x:row>
    <x:row r="63" ht="19" customHeight="1">
      <x:c r="A63" s="23" t="str">
        <x:v>FT-Q-V01-062</x:v>
      </x:c>
      <x:c r="B63" s="24" t="str">
        <x:v>unequivocal</x:v>
      </x:c>
      <x:c r="C63" s="25" t="str">
        <x:v>climate</x:v>
      </x:c>
      <x:c r="D63" s="25" t="str">
        <x:v>CONTEXT_REQUIRED</x:v>
      </x:c>
      <x:c r="E63" s="26" t="str">
        <x:v>2.489191224697151e-06</x:v>
      </x:c>
      <x:c r="F63" s="26" t="str">
        <x:v>6.214660617231971e-07</x:v>
      </x:c>
      <x:c r="G63" s="26" t="str">
        <x:v>1.265813166506646e-06</x:v>
      </x:c>
      <x:c r="H63" s="26" t="str">
        <x:v>1.163251503566443e-06</x:v>
      </x:c>
      <x:c r="I63" s="26" t="str">
        <x:v>1.199470233470556e-06</x:v>
      </x:c>
      <x:c r="J63" s="26" t="str">
        <x:v>1.1813608685185e-06</x:v>
      </x:c>
      <x:c r="K63" s="26" t="str">
        <x:v>1.04477917728385e-06</x:v>
      </x:c>
      <x:c r="L63" s="26" t="str">
        <x:v>9.735799887389263e-07</x:v>
      </x:c>
      <x:c r="M63" s="49" t="str">
        <x:v>2022</x:v>
      </x:c>
    </x:row>
    <x:row r="64" ht="19" customHeight="1">
      <x:c r="A64" s="23" t="str">
        <x:v>FT-Q-V01-063</x:v>
      </x:c>
      <x:c r="B64" s="24" t="str">
        <x:v>global average air and ocean temperatures</x:v>
      </x:c>
      <x:c r="C64" s="25" t="str">
        <x:v>temperature_threshold</x:v>
      </x:c>
      <x:c r="D64" s="25" t="str">
        <x:v>CONTEXT_REQUIRED</x:v>
      </x:c>
      <x:c r="E64" s="26" t="str">
        <x:v>0</x:v>
      </x:c>
      <x:c r="F64" s="26" t="str">
        <x:v>0</x:v>
      </x:c>
      <x:c r="G64" s="26" t="str">
        <x:v>0</x:v>
      </x:c>
      <x:c r="H64" s="26" t="str">
        <x:v>1.877599464794599e-10</x:v>
      </x:c>
      <x:c r="I64" s="26" t="str">
        <x:v>3.851390761866469e-09</x:v>
      </x:c>
      <x:c r="J64" s="26" t="str">
        <x:v>2.019575354172964e-09</x:v>
      </x:c>
      <x:c r="K64" s="26" t="str">
        <x:v>2.896688888753829e-09</x:v>
      </x:c>
      <x:c r="L64" s="26" t="str">
        <x:v>9.299532255369058e-10</x:v>
      </x:c>
      <x:c r="M64" s="49" t="str">
        <x:v>2022</x:v>
      </x:c>
    </x:row>
    <x:row r="65" ht="19" customHeight="1">
      <x:c r="A65" s="23" t="str">
        <x:v>FT-Q-V01-064</x:v>
      </x:c>
      <x:c r="B65" s="24" t="str">
        <x:v>global surface temperature</x:v>
      </x:c>
      <x:c r="C65" s="25" t="str">
        <x:v>temperature_threshold</x:v>
      </x:c>
      <x:c r="D65" s="25" t="str">
        <x:v>CONTEXT_REQUIRED</x:v>
      </x:c>
      <x:c r="E65" s="26" t="str">
        <x:v>0</x:v>
      </x:c>
      <x:c r="F65" s="26" t="str">
        <x:v>0</x:v>
      </x:c>
      <x:c r="G65" s="26" t="str">
        <x:v>7.406253152431042e-09</x:v>
      </x:c>
      <x:c r="H65" s="26" t="str">
        <x:v>1.441722324857508e-08</x:v>
      </x:c>
      <x:c r="I65" s="26" t="str">
        <x:v>1.423723021420908e-08</x:v>
      </x:c>
      <x:c r="J65" s="26" t="str">
        <x:v>1.432722673139208e-08</x:v>
      </x:c>
      <x:c r="K65" s="26" t="str">
        <x:v>2.654301840820938e-08</x:v>
      </x:c>
      <x:c r="L65" s="26" t="str">
        <x:v>3.419688007766375e-08</x:v>
      </x:c>
      <x:c r="M65" s="49" t="str">
        <x:v>2022</x:v>
      </x:c>
    </x:row>
    <x:row r="66" ht="19" customHeight="1">
      <x:c r="A66" s="23" t="str">
        <x:v>FT-Q-V01-065</x:v>
      </x:c>
      <x:c r="B66" s="24" t="str">
        <x:v>temperature increase</x:v>
      </x:c>
      <x:c r="C66" s="25" t="str">
        <x:v>warming</x:v>
      </x:c>
      <x:c r="D66" s="25" t="str">
        <x:v>CLIMATE_SPECIFIC</x:v>
      </x:c>
      <x:c r="E66" s="26" t="str">
        <x:v>2.579953362058518e-09</x:v>
      </x:c>
      <x:c r="F66" s="26" t="str">
        <x:v>7.439646565465807e-08</x:v>
      </x:c>
      <x:c r="G66" s="26" t="str">
        <x:v>2.921836819713697e-07</x:v>
      </x:c>
      <x:c r="H66" s="26" t="str">
        <x:v>3.161227772885411e-07</x:v>
      </x:c>
      <x:c r="I66" s="26" t="str">
        <x:v>3.19865252479401e-07</x:v>
      </x:c>
      <x:c r="J66" s="26" t="str">
        <x:v>3.179940148839711e-07</x:v>
      </x:c>
      <x:c r="K66" s="26" t="str">
        <x:v>3.016501993191589e-07</x:v>
      </x:c>
      <x:c r="L66" s="26" t="str">
        <x:v>3.553787956689369e-07</x:v>
      </x:c>
      <x:c r="M66" s="49" t="str">
        <x:v>2022</x:v>
      </x:c>
    </x:row>
    <x:row r="67" ht="19" customHeight="1">
      <x:c r="A67" s="23" t="str">
        <x:v>FT-Q-V01-066</x:v>
      </x:c>
      <x:c r="B67" s="24" t="str">
        <x:v>rising global average sea level</x:v>
      </x:c>
      <x:c r="C67" s="25" t="str">
        <x:v>harm_loss_consequences</x:v>
      </x:c>
      <x:c r="D67" s="25" t="str">
        <x:v>CONTEXT_REQUIRED</x:v>
      </x:c>
      <x:c r="E67" s="26" t="str">
        <x:v>0</x:v>
      </x:c>
      <x:c r="F67" s="26" t="str">
        <x:v>0</x:v>
      </x:c>
      <x:c r="G67" s="26" t="str">
        <x:v>0</x:v>
      </x:c>
      <x:c r="H67" s="26" t="str">
        <x:v>0</x:v>
      </x:c>
      <x:c r="I67" s="26" t="str">
        <x:v>2.22026375062967e-09</x:v>
      </x:c>
      <x:c r="J67" s="26" t="str">
        <x:v>1.110131875314835e-09</x:v>
      </x:c>
      <x:c r="K67" s="26" t="str">
        <x:v>2.130764897856352e-09</x:v>
      </x:c>
      <x:c r="L67" s="26" t="str">
        <x:v>6.523762641208464e-10</x:v>
      </x:c>
      <x:c r="M67" s="49" t="str">
        <x:v>2022</x:v>
      </x:c>
    </x:row>
    <x:row r="68" ht="19" customHeight="1">
      <x:c r="A68" s="23" t="str">
        <x:v>FT-Q-V01-067</x:v>
      </x:c>
      <x:c r="B68" s="24" t="str">
        <x:v>widespread melting of snow and ice</x:v>
      </x:c>
      <x:c r="C68" s="25" t="str">
        <x:v>harm_loss_consequences</x:v>
      </x:c>
      <x:c r="D68" s="25" t="str">
        <x:v>CONTEXT_REQUIRED</x:v>
      </x:c>
      <x:c r="E68" s="26" t="str">
        <x:v>0</x:v>
      </x:c>
      <x:c r="F68" s="26" t="str">
        <x:v>0</x:v>
      </x:c>
      <x:c r="G68" s="26" t="str">
        <x:v>0</x:v>
      </x:c>
      <x:c r="H68" s="26" t="str">
        <x:v>2.503466045578051e-10</x:v>
      </x:c>
      <x:c r="I68" s="26" t="str">
        <x:v>5.074054509890402e-09</x:v>
      </x:c>
      <x:c r="J68" s="26" t="str">
        <x:v>2.662200557224104e-09</x:v>
      </x:c>
      <x:c r="K68" s="26" t="str">
        <x:v>3.451374075424951e-09</x:v>
      </x:c>
      <x:c r="L68" s="26" t="str">
        <x:v>1.104319413691712e-09</x:v>
      </x:c>
      <x:c r="M68" s="49" t="str">
        <x:v>2022</x:v>
      </x:c>
    </x:row>
    <x:row r="69" ht="19" customHeight="1">
      <x:c r="A69" s="23" t="str">
        <x:v>FT-Q-V01-068</x:v>
      </x:c>
      <x:c r="B69" s="24" t="str">
        <x:v>anthropogenic CO₂</x:v>
      </x:c>
      <x:c r="C69" s="25" t="str">
        <x:v>carbon_greenhouse</x:v>
      </x:c>
      <x:c r="D69" s="25" t="str">
        <x:v>CONTEXT_REQUIRED</x:v>
      </x:c>
      <x:c r="E69" s="26" t="str"/>
      <x:c r="F69" s="26" t="str"/>
      <x:c r="G69" s="26" t="str"/>
      <x:c r="H69" s="26" t="str"/>
      <x:c r="I69" s="26" t="str"/>
      <x:c r="J69" s="26" t="str"/>
      <x:c r="K69" s="26" t="str"/>
      <x:c r="L69" s="26" t="str"/>
      <x:c r="M69" s="49" t="str">
        <x:v>2022</x:v>
      </x:c>
    </x:row>
    <x:row r="70" ht="19" customHeight="1">
      <x:c r="A70" s="23" t="str">
        <x:v>FT-Q-V01-069</x:v>
      </x:c>
      <x:c r="B70" s="24" t="str">
        <x:v>anthropogenic GHG emissions</x:v>
      </x:c>
      <x:c r="C70" s="25" t="str">
        <x:v>carbon_greenhouse</x:v>
      </x:c>
      <x:c r="D70" s="25" t="str">
        <x:v>CONTEXT_REQUIRED</x:v>
      </x:c>
      <x:c r="E70" s="26" t="str">
        <x:v>0</x:v>
      </x:c>
      <x:c r="F70" s="26" t="str">
        <x:v>0</x:v>
      </x:c>
      <x:c r="G70" s="26" t="str">
        <x:v>0</x:v>
      </x:c>
      <x:c r="H70" s="26" t="str">
        <x:v>1.585399145298538e-09</x:v>
      </x:c>
      <x:c r="I70" s="26" t="str">
        <x:v>2.915473612530306e-09</x:v>
      </x:c>
      <x:c r="J70" s="26" t="str">
        <x:v>2.250436378914422e-09</x:v>
      </x:c>
      <x:c r="K70" s="26" t="str">
        <x:v>1.43962131382569e-08</x:v>
      </x:c>
      <x:c r="L70" s="26" t="str">
        <x:v>1.622341538887184e-08</x:v>
      </x:c>
      <x:c r="M70" s="49" t="str">
        <x:v>2022</x:v>
      </x:c>
    </x:row>
    <x:row r="71" ht="19" customHeight="1">
      <x:c r="A71" s="23" t="str">
        <x:v>FT-Q-V01-070</x:v>
      </x:c>
      <x:c r="B71" s="24" t="str">
        <x:v>climate change</x:v>
      </x:c>
      <x:c r="C71" s="25" t="str">
        <x:v>climate</x:v>
      </x:c>
      <x:c r="D71" s="25" t="str">
        <x:v>CLIMATE_SPECIFIC</x:v>
      </x:c>
      <x:c r="E71" s="26" t="str">
        <x:v>5.159906557583582e-09</x:v>
      </x:c>
      <x:c r="F71" s="26" t="str">
        <x:v>2.561554912627884e-09</x:v>
      </x:c>
      <x:c r="G71" s="26" t="str">
        <x:v>1.240793510930149e-06</x:v>
      </x:c>
      <x:c r="H71" s="26" t="str">
        <x:v>8.716473492563492e-06</x:v>
      </x:c>
      <x:c r="I71" s="26" t="str">
        <x:v>1.319138383155949e-05</x:v>
      </x:c>
      <x:c r="J71" s="26" t="str">
        <x:v>1.095392866206149e-05</x:v>
      </x:c>
      <x:c r="K71" s="26" t="str">
        <x:v>1.967096413684616e-05</x:v>
      </x:c>
      <x:c r="L71" s="26" t="str">
        <x:v>2.890008815206735e-05</x:v>
      </x:c>
      <x:c r="M71" s="49" t="str">
        <x:v>2022</x:v>
      </x:c>
    </x:row>
    <x:row r="72" ht="19" customHeight="1">
      <x:c r="A72" s="23" t="str">
        <x:v>FT-Q-V01-071</x:v>
      </x:c>
      <x:c r="B72" s="24" t="str">
        <x:v>global warming</x:v>
      </x:c>
      <x:c r="C72" s="25" t="str">
        <x:v>warming</x:v>
      </x:c>
      <x:c r="D72" s="25" t="str">
        <x:v>CLIMATE_SPECIFIC</x:v>
      </x:c>
      <x:c r="E72" s="26" t="str">
        <x:v>0</x:v>
      </x:c>
      <x:c r="F72" s="26" t="str">
        <x:v>2.00469511824064e-09</x:v>
      </x:c>
      <x:c r="G72" s="26" t="str">
        <x:v>6.400895369296222e-07</x:v>
      </x:c>
      <x:c r="H72" s="26" t="str">
        <x:v>3.39393631278162e-06</x:v>
      </x:c>
      <x:c r="I72" s="26" t="str">
        <x:v>4.96164442403968e-06</x:v>
      </x:c>
      <x:c r="J72" s="26" t="str">
        <x:v>4.17779036841065e-06</x:v>
      </x:c>
      <x:c r="K72" s="26" t="str">
        <x:v>3.293586607857474e-06</x:v>
      </x:c>
      <x:c r="L72" s="26" t="str">
        <x:v>3.963670369644401e-06</x:v>
      </x:c>
      <x:c r="M72" s="49" t="str">
        <x:v>2022</x:v>
      </x:c>
    </x:row>
    <x:row r="73" ht="19" customHeight="1">
      <x:c r="A73" s="23" t="str">
        <x:v>FT-Q-V01-072</x:v>
      </x:c>
      <x:c r="B73" s="24" t="str">
        <x:v>serious global threat</x:v>
      </x:c>
      <x:c r="C73" s="25" t="str">
        <x:v>danger_threat</x:v>
      </x:c>
      <x:c r="D73" s="25" t="str">
        <x:v>CONTEXT_REQUIRED</x:v>
      </x:c>
      <x:c r="E73" s="26" t="str">
        <x:v>0</x:v>
      </x:c>
      <x:c r="F73" s="26" t="str">
        <x:v>0</x:v>
      </x:c>
      <x:c r="G73" s="26" t="str">
        <x:v>7.568433657567653e-10</x:v>
      </x:c>
      <x:c r="H73" s="26" t="str">
        <x:v>8.422432751231668e-10</x:v>
      </x:c>
      <x:c r="I73" s="26" t="str">
        <x:v>1.749284272989371e-09</x:v>
      </x:c>
      <x:c r="J73" s="26" t="str">
        <x:v>1.295763774056269e-09</x:v>
      </x:c>
      <x:c r="K73" s="26" t="str">
        <x:v>6.498290794354489e-10</x:v>
      </x:c>
      <x:c r="L73" s="26" t="str">
        <x:v>2.317630753978506e-09</x:v>
      </x:c>
      <x:c r="M73" s="49" t="str">
        <x:v>2022</x:v>
      </x:c>
    </x:row>
    <x:row r="74" ht="19" customHeight="1">
      <x:c r="A74" s="23" t="str">
        <x:v>FT-Q-V01-073</x:v>
      </x:c>
      <x:c r="B74" s="24" t="str">
        <x:v>urgent global response</x:v>
      </x:c>
      <x:c r="C74" s="25" t="str">
        <x:v>harm_loss_consequences</x:v>
      </x:c>
      <x:c r="D74" s="25" t="str">
        <x:v>CONTEXT_REQUIRED</x:v>
      </x:c>
      <x:c r="E74" s="26" t="str">
        <x:v>0</x:v>
      </x:c>
      <x:c r="F74" s="26" t="str">
        <x:v>0</x:v>
      </x:c>
      <x:c r="G74" s="26" t="str">
        <x:v>5.406024239373863e-11</x:v>
      </x:c>
      <x:c r="H74" s="26" t="str">
        <x:v>6.440684097164251e-10</x:v>
      </x:c>
      <x:c r="I74" s="26" t="str">
        <x:v>1.652101788707228e-09</x:v>
      </x:c>
      <x:c r="J74" s="26" t="str">
        <x:v>1.148085099211826e-09</x:v>
      </x:c>
      <x:c r="K74" s="26" t="str">
        <x:v>7.997896234179791e-10</x:v>
      </x:c>
      <x:c r="L74" s="26" t="str">
        <x:v>3.783887092545513e-10</x:v>
      </x:c>
      <x:c r="M74" s="49" t="str">
        <x:v>2022</x:v>
      </x:c>
    </x:row>
    <x:row r="75" ht="19" customHeight="1">
      <x:c r="A75" s="23" t="str">
        <x:v>FT-Q-V01-074</x:v>
      </x:c>
      <x:c r="B75" s="24" t="str">
        <x:v>costs and risks of climate change</x:v>
      </x:c>
      <x:c r="C75" s="25" t="str">
        <x:v>climate</x:v>
      </x:c>
      <x:c r="D75" s="25" t="str">
        <x:v>CONTEXT_REQUIRED</x:v>
      </x:c>
      <x:c r="E75" s="26" t="str">
        <x:v>0</x:v>
      </x:c>
      <x:c r="F75" s="26" t="str">
        <x:v>0</x:v>
      </x:c>
      <x:c r="G75" s="26" t="str">
        <x:v>7.065451002041812e-11</x:v>
      </x:c>
      <x:c r="H75" s="26" t="str">
        <x:v>7.510397859178397e-10</x:v>
      </x:c>
      <x:c r="I75" s="26" t="str">
        <x:v>1.650596104241231e-09</x:v>
      </x:c>
      <x:c r="J75" s="26" t="str">
        <x:v>1.200817945079535e-09</x:v>
      </x:c>
      <x:c r="K75" s="26" t="str">
        <x:v>4.930534314162571e-10</x:v>
      </x:c>
      <x:c r="L75" s="26" t="str">
        <x:v>8.137091001003682e-10</x:v>
      </x:c>
      <x:c r="M75" s="49" t="str">
        <x:v>2022</x:v>
      </x:c>
    </x:row>
    <x:row r="76" ht="19" customHeight="1">
      <x:c r="A76" s="23" t="str">
        <x:v>FT-Q-V01-075</x:v>
      </x:c>
      <x:c r="B76" s="24" t="str">
        <x:v>impacts of climate change</x:v>
      </x:c>
      <x:c r="C76" s="25" t="str">
        <x:v>climate</x:v>
      </x:c>
      <x:c r="D76" s="25" t="str">
        <x:v>CONTEXT_REQUIRED</x:v>
      </x:c>
      <x:c r="E76" s="26" t="str">
        <x:v>0</x:v>
      </x:c>
      <x:c r="F76" s="26" t="str">
        <x:v>0</x:v>
      </x:c>
      <x:c r="G76" s="26" t="str">
        <x:v>4.559433364192955e-08</x:v>
      </x:c>
      <x:c r="H76" s="26" t="str">
        <x:v>2.229886647206469e-07</x:v>
      </x:c>
      <x:c r="I76" s="26" t="str">
        <x:v>3.110645994466865e-07</x:v>
      </x:c>
      <x:c r="J76" s="26" t="str">
        <x:v>2.670266320836667e-07</x:v>
      </x:c>
      <x:c r="K76" s="26" t="str">
        <x:v>5.157996520455121e-07</x:v>
      </x:c>
      <x:c r="L76" s="26" t="str">
        <x:v>7.144630615740777e-07</x:v>
      </x:c>
      <x:c r="M76" s="49" t="str">
        <x:v>2022</x:v>
      </x:c>
    </x:row>
    <x:row r="77" ht="19" customHeight="1">
      <x:c r="A77" s="23" t="str">
        <x:v>FT-Q-V01-076</x:v>
      </x:c>
      <x:c r="B77" s="24" t="str">
        <x:v>damage</x:v>
      </x:c>
      <x:c r="C77" s="25" t="str">
        <x:v>harm_loss_consequences</x:v>
      </x:c>
      <x:c r="D77" s="25" t="str">
        <x:v>BACKGROUND_AMBIGUOUS</x:v>
      </x:c>
      <x:c r="E77" s="26" t="str">
        <x:v>1.40214699513308e-05</x:v>
      </x:c>
      <x:c r="F77" s="26" t="str">
        <x:v>4.59952369169514e-05</x:v>
      </x:c>
      <x:c r="G77" s="26" t="str">
        <x:v>5.460717676498972e-05</x:v>
      </x:c>
      <x:c r="H77" s="26" t="str">
        <x:v>4.860308943087019e-05</x:v>
      </x:c>
      <x:c r="I77" s="26" t="str">
        <x:v>4.797855570867759e-05</x:v>
      </x:c>
      <x:c r="J77" s="26" t="str">
        <x:v>4.829082256977389e-05</x:v>
      </x:c>
      <x:c r="K77" s="26" t="str">
        <x:v>4.768336144450602e-05</x:v>
      </x:c>
      <x:c r="L77" s="26" t="str">
        <x:v>4.813777670335459e-05</x:v>
      </x:c>
      <x:c r="M77" s="49" t="str">
        <x:v>2022</x:v>
      </x:c>
    </x:row>
    <x:row r="78" ht="19" customHeight="1">
      <x:c r="A78" s="23" t="str">
        <x:v>FT-Q-V01-077</x:v>
      </x:c>
      <x:c r="B78" s="24" t="str">
        <x:v>hunger</x:v>
      </x:c>
      <x:c r="C78" s="25" t="str">
        <x:v>harm_loss_consequences</x:v>
      </x:c>
      <x:c r="D78" s="25" t="str">
        <x:v>CONTEXT_REQUIRED</x:v>
      </x:c>
      <x:c r="E78" s="26" t="str">
        <x:v>8.491353739259466e-06</x:v>
      </x:c>
      <x:c r="F78" s="26" t="str">
        <x:v>3.766231525759167e-06</x:v>
      </x:c>
      <x:c r="G78" s="26" t="str">
        <x:v>6.137961449326212e-06</x:v>
      </x:c>
      <x:c r="H78" s="26" t="str">
        <x:v>7.45067320195858e-06</x:v>
      </x:c>
      <x:c r="I78" s="26" t="str">
        <x:v>8.010337945583978e-06</x:v>
      </x:c>
      <x:c r="J78" s="26" t="str">
        <x:v>7.730505573771279e-06</x:v>
      </x:c>
      <x:c r="K78" s="26" t="str">
        <x:v>1.191392740906849e-05</x:v>
      </x:c>
      <x:c r="L78" s="26" t="str">
        <x:v>1.147104043752734e-05</x:v>
      </x:c>
      <x:c r="M78" s="49" t="str">
        <x:v>2022</x:v>
      </x:c>
    </x:row>
    <x:row r="79" ht="19" customHeight="1">
      <x:c r="A79" s="23" t="str">
        <x:v>FT-Q-V01-078</x:v>
      </x:c>
      <x:c r="B79" s="24" t="str">
        <x:v>water shortages</x:v>
      </x:c>
      <x:c r="C79" s="25" t="str">
        <x:v>harm_loss_consequences</x:v>
      </x:c>
      <x:c r="D79" s="25" t="str">
        <x:v>CONTEXT_REQUIRED</x:v>
      </x:c>
      <x:c r="E79" s="26" t="str">
        <x:v>0</x:v>
      </x:c>
      <x:c r="F79" s="26" t="str">
        <x:v>4.131899500325886e-08</x:v>
      </x:c>
      <x:c r="G79" s="26" t="str">
        <x:v>1.448085923394515e-07</x:v>
      </x:c>
      <x:c r="H79" s="26" t="str">
        <x:v>2.040491388077825e-07</x:v>
      </x:c>
      <x:c r="I79" s="26" t="str">
        <x:v>2.140380712667422e-07</x:v>
      </x:c>
      <x:c r="J79" s="26" t="str">
        <x:v>2.090436050372624e-07</x:v>
      </x:c>
      <x:c r="K79" s="26" t="str">
        <x:v>1.87883369612285e-07</x:v>
      </x:c>
      <x:c r="L79" s="26" t="str">
        <x:v>1.740838606878459e-07</x:v>
      </x:c>
      <x:c r="M79" s="49" t="str">
        <x:v>2022</x:v>
      </x:c>
    </x:row>
    <x:row r="80" ht="19" customHeight="1">
      <x:c r="A80" s="23" t="str">
        <x:v>FT-Q-V01-079</x:v>
      </x:c>
      <x:c r="B80" s="24" t="str">
        <x:v>coastal flooding</x:v>
      </x:c>
      <x:c r="C80" s="25" t="str">
        <x:v>harm_loss_consequences</x:v>
      </x:c>
      <x:c r="D80" s="25" t="str">
        <x:v>CONTEXT_REQUIRED</x:v>
      </x:c>
      <x:c r="E80" s="26" t="str">
        <x:v>0</x:v>
      </x:c>
      <x:c r="F80" s="26" t="str">
        <x:v>4.454877994275463e-10</x:v>
      </x:c>
      <x:c r="G80" s="26" t="str">
        <x:v>2.620769057326555e-08</x:v>
      </x:c>
      <x:c r="H80" s="26" t="str">
        <x:v>4.335529258867044e-08</x:v>
      </x:c>
      <x:c r="I80" s="26" t="str">
        <x:v>5.518485168831688e-08</x:v>
      </x:c>
      <x:c r="J80" s="26" t="str">
        <x:v>4.927007213849366e-08</x:v>
      </x:c>
      <x:c r="K80" s="26" t="str">
        <x:v>5.272690167812399e-08</x:v>
      </x:c>
      <x:c r="L80" s="26" t="str">
        <x:v>1.034327956617176e-07</x:v>
      </x:c>
      <x:c r="M80" s="49" t="str">
        <x:v>2022</x:v>
      </x:c>
    </x:row>
    <x:row r="81" ht="19" customHeight="1">
      <x:c r="A81" s="23" t="str">
        <x:v>FT-Q-V01-080</x:v>
      </x:c>
      <x:c r="B81" s="24" t="str">
        <x:v>worst impacts</x:v>
      </x:c>
      <x:c r="C81" s="25" t="str">
        <x:v>harm_loss_consequences</x:v>
      </x:c>
      <x:c r="D81" s="25" t="str">
        <x:v>CONTEXT_REQUIRED</x:v>
      </x:c>
      <x:c r="E81" s="26" t="str">
        <x:v>0</x:v>
      </x:c>
      <x:c r="F81" s="26" t="str">
        <x:v>1.113719533263335e-10</x:v>
      </x:c>
      <x:c r="G81" s="26" t="str">
        <x:v>1.332594479208637e-09</x:v>
      </x:c>
      <x:c r="H81" s="26" t="str">
        <x:v>7.691329351189324e-09</x:v>
      </x:c>
      <x:c r="I81" s="26" t="str">
        <x:v>8.09557739248068e-09</x:v>
      </x:c>
      <x:c r="J81" s="26" t="str">
        <x:v>7.893453371835002e-09</x:v>
      </x:c>
      <x:c r="K81" s="26" t="str">
        <x:v>1.125525539436012e-08</x:v>
      </x:c>
      <x:c r="L81" s="26" t="str">
        <x:v>1.9288579872212e-08</x:v>
      </x:c>
      <x:c r="M81" s="49" t="str">
        <x:v>2022</x:v>
      </x:c>
    </x:row>
    <x:row r="82" ht="19" customHeight="1">
      <x:c r="A82" s="23" t="str">
        <x:v>FT-Q-V01-081</x:v>
      </x:c>
      <x:c r="B82" s="24" t="str">
        <x:v>climate change</x:v>
      </x:c>
      <x:c r="C82" s="25" t="str">
        <x:v>climate</x:v>
      </x:c>
      <x:c r="D82" s="25" t="str">
        <x:v>CLIMATE_SPECIFIC</x:v>
      </x:c>
      <x:c r="E82" s="26" t="str">
        <x:v>5.159906557583582e-09</x:v>
      </x:c>
      <x:c r="F82" s="26" t="str">
        <x:v>2.561554912627884e-09</x:v>
      </x:c>
      <x:c r="G82" s="26" t="str">
        <x:v>1.240793510930149e-06</x:v>
      </x:c>
      <x:c r="H82" s="26" t="str">
        <x:v>8.716473492563492e-06</x:v>
      </x:c>
      <x:c r="I82" s="26" t="str">
        <x:v>1.319138383155949e-05</x:v>
      </x:c>
      <x:c r="J82" s="26" t="str">
        <x:v>1.095392866206149e-05</x:v>
      </x:c>
      <x:c r="K82" s="26" t="str">
        <x:v>1.967096413684616e-05</x:v>
      </x:c>
      <x:c r="L82" s="26" t="str">
        <x:v>2.890008815206735e-05</x:v>
      </x:c>
      <x:c r="M82" s="49" t="str">
        <x:v>2022</x:v>
      </x:c>
    </x:row>
    <x:row r="83" ht="19" customHeight="1">
      <x:c r="A83" s="23" t="str">
        <x:v>FT-Q-V01-082</x:v>
      </x:c>
      <x:c r="B83" s="24" t="str">
        <x:v>threat of climate change</x:v>
      </x:c>
      <x:c r="C83" s="25" t="str">
        <x:v>climate</x:v>
      </x:c>
      <x:c r="D83" s="25" t="str">
        <x:v>CONTEXT_REQUIRED</x:v>
      </x:c>
      <x:c r="E83" s="26" t="str">
        <x:v>0</x:v>
      </x:c>
      <x:c r="F83" s="26" t="str">
        <x:v>0</x:v>
      </x:c>
      <x:c r="G83" s="26" t="str">
        <x:v>2.210996594143033e-09</x:v>
      </x:c>
      <x:c r="H83" s="26" t="str">
        <x:v>2.31571378392359e-08</x:v>
      </x:c>
      <x:c r="I83" s="26" t="str">
        <x:v>3.566648866526467e-08</x:v>
      </x:c>
      <x:c r="J83" s="26" t="str">
        <x:v>2.941181325225029e-08</x:v>
      </x:c>
      <x:c r="K83" s="26" t="str">
        <x:v>4.538047629343289e-08</x:v>
      </x:c>
      <x:c r="L83" s="26" t="str">
        <x:v>1.140722242637393e-07</x:v>
      </x:c>
      <x:c r="M83" s="49" t="str">
        <x:v>2022</x:v>
      </x:c>
    </x:row>
    <x:row r="84" ht="19" customHeight="1">
      <x:c r="A84" s="23" t="str">
        <x:v>FT-Q-V01-083</x:v>
      </x:c>
      <x:c r="B84" s="24" t="str">
        <x:v>global average temperature</x:v>
      </x:c>
      <x:c r="C84" s="25" t="str">
        <x:v>temperature_threshold</x:v>
      </x:c>
      <x:c r="D84" s="25" t="str">
        <x:v>CLIMATE_SPECIFIC</x:v>
      </x:c>
      <x:c r="E84" s="26" t="str">
        <x:v>0</x:v>
      </x:c>
      <x:c r="F84" s="26" t="str">
        <x:v>0</x:v>
      </x:c>
      <x:c r="G84" s="26" t="str">
        <x:v>6.216928000180033e-09</x:v>
      </x:c>
      <x:c r="H84" s="26" t="str">
        <x:v>1.575490385374856e-08</x:v>
      </x:c>
      <x:c r="I84" s="26" t="str">
        <x:v>2.793995544647654e-08</x:v>
      </x:c>
      <x:c r="J84" s="26" t="str">
        <x:v>2.184742965011255e-08</x:v>
      </x:c>
      <x:c r="K84" s="26" t="str">
        <x:v>4.038937463646253e-08</x:v>
      </x:c>
      <x:c r="L84" s="26" t="str">
        <x:v>7.577234045763603e-08</x:v>
      </x:c>
      <x:c r="M84" s="49" t="str">
        <x:v>2022</x:v>
      </x:c>
    </x:row>
    <x:row r="85" ht="19" customHeight="1">
      <x:c r="A85" s="23" t="str">
        <x:v>FT-Q-V01-084</x:v>
      </x:c>
      <x:c r="B85" s="24" t="str">
        <x:v>well below 2°C above pre-industrial levels</x:v>
      </x:c>
      <x:c r="C85" s="25" t="str">
        <x:v>temperature_threshold</x:v>
      </x:c>
      <x:c r="D85" s="25" t="str">
        <x:v>CONTEXT_REQUIRED</x:v>
      </x:c>
      <x:c r="E85" s="26" t="str"/>
      <x:c r="F85" s="26" t="str"/>
      <x:c r="G85" s="26" t="str"/>
      <x:c r="H85" s="26" t="str"/>
      <x:c r="I85" s="26" t="str"/>
      <x:c r="J85" s="26" t="str"/>
      <x:c r="K85" s="26" t="str"/>
      <x:c r="L85" s="26" t="str"/>
      <x:c r="M85" s="49" t="str">
        <x:v>2022</x:v>
      </x:c>
    </x:row>
    <x:row r="86" ht="19" customHeight="1">
      <x:c r="A86" s="23" t="str">
        <x:v>FT-Q-V01-085</x:v>
      </x:c>
      <x:c r="B86" s="24" t="str">
        <x:v>1.5°C above pre-industrial levels</x:v>
      </x:c>
      <x:c r="C86" s="25" t="str">
        <x:v>temperature_threshold</x:v>
      </x:c>
      <x:c r="D86" s="25" t="str">
        <x:v>CONTEXT_REQUIRED</x:v>
      </x:c>
      <x:c r="E86" s="26" t="str"/>
      <x:c r="F86" s="26" t="str"/>
      <x:c r="G86" s="26" t="str"/>
      <x:c r="H86" s="26" t="str"/>
      <x:c r="I86" s="26" t="str"/>
      <x:c r="J86" s="26" t="str"/>
      <x:c r="K86" s="26" t="str"/>
      <x:c r="L86" s="26" t="str"/>
      <x:c r="M86" s="49" t="str">
        <x:v>2022</x:v>
      </x:c>
    </x:row>
    <x:row r="87" ht="19" customHeight="1">
      <x:c r="A87" s="23" t="str">
        <x:v>FT-Q-V01-086</x:v>
      </x:c>
      <x:c r="B87" s="24" t="str">
        <x:v>pre-industrial levels</x:v>
      </x:c>
      <x:c r="C87" s="25" t="str">
        <x:v>climate</x:v>
      </x:c>
      <x:c r="D87" s="25" t="str">
        <x:v>CONTEXT_REQUIRED</x:v>
      </x:c>
      <x:c r="E87" s="26" t="str">
        <x:v>0</x:v>
      </x:c>
      <x:c r="F87" s="26" t="str">
        <x:v>0</x:v>
      </x:c>
      <x:c r="G87" s="26" t="str">
        <x:v>3.406129822636217e-09</x:v>
      </x:c>
      <x:c r="H87" s="26" t="str">
        <x:v>1.92166460591392e-08</x:v>
      </x:c>
      <x:c r="I87" s="26" t="str">
        <x:v>2.43588904463854e-08</x:v>
      </x:c>
      <x:c r="J87" s="26" t="str">
        <x:v>2.17877682527623e-08</x:v>
      </x:c>
      <x:c r="K87" s="26" t="str">
        <x:v>3.183085471591962e-08</x:v>
      </x:c>
      <x:c r="L87" s="26" t="str">
        <x:v>1.564491737549023e-07</x:v>
      </x:c>
      <x:c r="M87" s="49" t="str">
        <x:v>2022</x:v>
      </x:c>
    </x:row>
    <x:row r="88" ht="19" customHeight="1">
      <x:c r="A88" s="23" t="str">
        <x:v>FT-Q-V01-087</x:v>
      </x:c>
      <x:c r="B88" s="24" t="str">
        <x:v>risks and impacts</x:v>
      </x:c>
      <x:c r="C88" s="25" t="str">
        <x:v>risk</x:v>
      </x:c>
      <x:c r="D88" s="25" t="str">
        <x:v>CONTEXT_REQUIRED</x:v>
      </x:c>
      <x:c r="E88" s="26" t="str">
        <x:v>0</x:v>
      </x:c>
      <x:c r="F88" s="26" t="str">
        <x:v>0</x:v>
      </x:c>
      <x:c r="G88" s="26" t="str">
        <x:v>3.730156780679117e-09</x:v>
      </x:c>
      <x:c r="H88" s="26" t="str">
        <x:v>8.719695195058552e-09</x:v>
      </x:c>
      <x:c r="I88" s="26" t="str">
        <x:v>1.171048619186266e-08</x:v>
      </x:c>
      <x:c r="J88" s="26" t="str">
        <x:v>1.02150906934606e-08</x:v>
      </x:c>
      <x:c r="K88" s="26" t="str">
        <x:v>1.904498948129829e-08</x:v>
      </x:c>
      <x:c r="L88" s="26" t="str">
        <x:v>4.441337393690237e-08</x:v>
      </x:c>
      <x:c r="M88" s="49" t="str">
        <x:v>2022</x:v>
      </x:c>
    </x:row>
    <x:row r="89" ht="19" customHeight="1">
      <x:c r="A89" s="23" t="str">
        <x:v>FT-Q-V01-088</x:v>
      </x:c>
      <x:c r="B89" s="24" t="str">
        <x:v>adverse impacts</x:v>
      </x:c>
      <x:c r="C89" s="25" t="str">
        <x:v>harm_loss_consequences</x:v>
      </x:c>
      <x:c r="D89" s="25" t="str">
        <x:v>CONTEXT_REQUIRED</x:v>
      </x:c>
      <x:c r="E89" s="26" t="str">
        <x:v>0</x:v>
      </x:c>
      <x:c r="F89" s="26" t="str">
        <x:v>3.341158461012128e-10</x:v>
      </x:c>
      <x:c r="G89" s="26" t="str">
        <x:v>7.824303560610701e-07</x:v>
      </x:c>
      <x:c r="H89" s="26" t="str">
        <x:v>1.002482367784552e-06</x:v>
      </x:c>
      <x:c r="I89" s="26" t="str">
        <x:v>8.86375771003145e-07</x:v>
      </x:c>
      <x:c r="J89" s="26" t="str">
        <x:v>9.444290693938484e-07</x:v>
      </x:c>
      <x:c r="K89" s="26" t="str">
        <x:v>2.372477044543242e-07</x:v>
      </x:c>
      <x:c r="L89" s="26" t="str">
        <x:v>3.134836589757661e-07</x:v>
      </x:c>
      <x:c r="M89" s="49" t="str">
        <x:v>2022</x:v>
      </x:c>
    </x:row>
    <x:row r="90" ht="19" customHeight="1">
      <x:c r="A90" s="23" t="str">
        <x:v>FT-Q-V01-089</x:v>
      </x:c>
      <x:c r="B90" s="24" t="str">
        <x:v>adverse effects of climate change</x:v>
      </x:c>
      <x:c r="C90" s="25" t="str">
        <x:v>climate</x:v>
      </x:c>
      <x:c r="D90" s="25" t="str">
        <x:v>CONTEXT_REQUIRED</x:v>
      </x:c>
      <x:c r="E90" s="26" t="str">
        <x:v>0</x:v>
      </x:c>
      <x:c r="F90" s="26" t="str">
        <x:v>0</x:v>
      </x:c>
      <x:c r="G90" s="26" t="str">
        <x:v>8.47171111040268e-10</x:v>
      </x:c>
      <x:c r="H90" s="26" t="str">
        <x:v>1.892433779820957e-08</x:v>
      </x:c>
      <x:c r="I90" s="26" t="str">
        <x:v>1.759132076811776e-08</x:v>
      </x:c>
      <x:c r="J90" s="26" t="str">
        <x:v>1.825782928316366e-08</x:v>
      </x:c>
      <x:c r="K90" s="26" t="str">
        <x:v>3.449535698751838e-08</x:v>
      </x:c>
      <x:c r="L90" s="26" t="str">
        <x:v>6.007298156140983e-08</x:v>
      </x:c>
      <x:c r="M90" s="49" t="str">
        <x:v>2022</x:v>
      </x:c>
    </x:row>
    <x:row r="91" ht="19" customHeight="1">
      <x:c r="A91" s="23" t="str">
        <x:v>FT-Q-V01-090</x:v>
      </x:c>
      <x:c r="B91" s="24" t="str">
        <x:v>greenhouse gas emissions</x:v>
      </x:c>
      <x:c r="C91" s="25" t="str">
        <x:v>carbon_greenhouse</x:v>
      </x:c>
      <x:c r="D91" s="25" t="str">
        <x:v>CONTEXT_REQUIRED</x:v>
      </x:c>
      <x:c r="E91" s="26" t="str">
        <x:v>0</x:v>
      </x:c>
      <x:c r="F91" s="26" t="str">
        <x:v>0</x:v>
      </x:c>
      <x:c r="G91" s="26" t="str">
        <x:v>6.1250253577394e-08</x:v>
      </x:c>
      <x:c r="H91" s="26" t="str">
        <x:v>1.090903233809393e-06</x:v>
      </x:c>
      <x:c r="I91" s="26" t="str">
        <x:v>1.668671410881561e-06</x:v>
      </x:c>
      <x:c r="J91" s="26" t="str">
        <x:v>1.379787322345477e-06</x:v>
      </x:c>
      <x:c r="K91" s="26" t="str">
        <x:v>1.287461367946441e-06</x:v>
      </x:c>
      <x:c r="L91" s="26" t="str">
        <x:v>1.669261770767538e-06</x:v>
      </x:c>
      <x:c r="M91" s="49" t="str">
        <x:v>2022</x:v>
      </x:c>
    </x:row>
    <x:row r="92" ht="19" customHeight="1">
      <x:c r="A92" s="23" t="str">
        <x:v>FT-Q-V01-091</x:v>
      </x:c>
      <x:c r="B92" s="24" t="str">
        <x:v>climate resilience</x:v>
      </x:c>
      <x:c r="C92" s="25" t="str">
        <x:v>harm_loss_consequences</x:v>
      </x:c>
      <x:c r="D92" s="25" t="str">
        <x:v>CONTEXT_REQUIRED</x:v>
      </x:c>
      <x:c r="E92" s="26" t="str">
        <x:v>0</x:v>
      </x:c>
      <x:c r="F92" s="26" t="str">
        <x:v>0</x:v>
      </x:c>
      <x:c r="G92" s="26" t="str">
        <x:v>0</x:v>
      </x:c>
      <x:c r="H92" s="26" t="str">
        <x:v>7.782892767760341e-10</x:v>
      </x:c>
      <x:c r="I92" s="26" t="str">
        <x:v>1.07941033888892e-09</x:v>
      </x:c>
      <x:c r="J92" s="26" t="str">
        <x:v>9.288498078324769e-10</x:v>
      </x:c>
      <x:c r="K92" s="26" t="str">
        <x:v>6.192725596904092e-08</x:v>
      </x:c>
      <x:c r="L92" s="26" t="str">
        <x:v>2.377892628357969e-07</x:v>
      </x:c>
      <x:c r="M92" s="49" t="str">
        <x:v>2022</x:v>
      </x:c>
    </x:row>
    <x:row r="93" ht="19" customHeight="1">
      <x:c r="A93" s="23" t="str">
        <x:v>FT-Q-V01-092</x:v>
      </x:c>
      <x:c r="B93" s="24" t="str">
        <x:v>vulnerability</x:v>
      </x:c>
      <x:c r="C93" s="25" t="str">
        <x:v>harm_loss_consequences</x:v>
      </x:c>
      <x:c r="D93" s="25" t="str">
        <x:v>CONTEXT_REQUIRED</x:v>
      </x:c>
      <x:c r="E93" s="26" t="str">
        <x:v>4.866453906515744e-09</x:v>
      </x:c>
      <x:c r="F93" s="26" t="str">
        <x:v>3.175859246695723e-07</x:v>
      </x:c>
      <x:c r="G93" s="26" t="str">
        <x:v>3.529738691554485e-06</x:v>
      </x:c>
      <x:c r="H93" s="26" t="str">
        <x:v>7.107033283659803e-06</x:v>
      </x:c>
      <x:c r="I93" s="26" t="str">
        <x:v>7.274388785560859e-06</x:v>
      </x:c>
      <x:c r="J93" s="26" t="str">
        <x:v>7.190711034610331e-06</x:v>
      </x:c>
      <x:c r="K93" s="26" t="str">
        <x:v>9.355508542086e-06</x:v>
      </x:c>
      <x:c r="L93" s="26" t="str">
        <x:v>1.17803589603227e-05</x:v>
      </x:c>
      <x:c r="M93" s="49" t="str">
        <x:v>2022</x:v>
      </x:c>
    </x:row>
    <x:row r="94" ht="19" customHeight="1">
      <x:c r="A94" s="23" t="str">
        <x:v>FT-Q-V01-093</x:v>
      </x:c>
      <x:c r="B94" s="24" t="str">
        <x:v>vulnerable groups</x:v>
      </x:c>
      <x:c r="C94" s="25" t="str">
        <x:v>harm_loss_consequences</x:v>
      </x:c>
      <x:c r="D94" s="25" t="str">
        <x:v>CONTEXT_REQUIRED</x:v>
      </x:c>
      <x:c r="E94" s="26" t="str">
        <x:v>0</x:v>
      </x:c>
      <x:c r="F94" s="26" t="str">
        <x:v>2.561554898750096e-09</x:v>
      </x:c>
      <x:c r="G94" s="26" t="str">
        <x:v>1.830589990703402e-07</x:v>
      </x:c>
      <x:c r="H94" s="26" t="str">
        <x:v>5.319378349119552e-07</x:v>
      </x:c>
      <x:c r="I94" s="26" t="str">
        <x:v>4.877135600170335e-07</x:v>
      </x:c>
      <x:c r="J94" s="26" t="str">
        <x:v>5.098256974644944e-07</x:v>
      </x:c>
      <x:c r="K94" s="26" t="str">
        <x:v>4.145763595753138e-07</x:v>
      </x:c>
      <x:c r="L94" s="26" t="str">
        <x:v>6.561656151760076e-07</x:v>
      </x:c>
      <x:c r="M94" s="49" t="str">
        <x:v>2022</x:v>
      </x:c>
    </x:row>
    <x:row r="95" ht="19" customHeight="1">
      <x:c r="A95" s="23" t="str">
        <x:v>FT-Q-V01-094</x:v>
      </x:c>
      <x:c r="B95" s="24" t="str">
        <x:v>loss and damage</x:v>
      </x:c>
      <x:c r="C95" s="25" t="str">
        <x:v>harm_loss_consequences</x:v>
      </x:c>
      <x:c r="D95" s="25" t="str">
        <x:v>CLIMATE_SPECIFIC</x:v>
      </x:c>
      <x:c r="E95" s="26" t="str">
        <x:v>1.379619247732222e-07</x:v>
      </x:c>
      <x:c r="F95" s="26" t="str">
        <x:v>8.379211266507092e-07</x:v>
      </x:c>
      <x:c r="G95" s="26" t="str">
        <x:v>1.054715317444499e-07</x:v>
      </x:c>
      <x:c r="H95" s="26" t="str">
        <x:v>7.471193348013161e-08</x:v>
      </x:c>
      <x:c r="I95" s="26" t="str">
        <x:v>7.050587146062437e-08</x:v>
      </x:c>
      <x:c r="J95" s="26" t="str">
        <x:v>7.260890247037799e-08</x:v>
      </x:c>
      <x:c r="K95" s="26" t="str">
        <x:v>8.407788263178895e-08</x:v>
      </x:c>
      <x:c r="L95" s="26" t="str">
        <x:v>1.615246781744295e-07</x:v>
      </x:c>
      <x:c r="M95" s="49" t="str">
        <x:v>2022</x:v>
      </x:c>
    </x:row>
    <x:row r="96" ht="19" customHeight="1">
      <x:c r="A96" s="23" t="str">
        <x:v>FT-Q-V01-095</x:v>
      </x:c>
      <x:c r="B96" s="24" t="str">
        <x:v>extreme weather events</x:v>
      </x:c>
      <x:c r="C96" s="25" t="str">
        <x:v>harm_loss_consequences</x:v>
      </x:c>
      <x:c r="D96" s="25" t="str">
        <x:v>CONTEXT_REQUIRED</x:v>
      </x:c>
      <x:c r="E96" s="26" t="str">
        <x:v>0</x:v>
      </x:c>
      <x:c r="F96" s="26" t="str">
        <x:v>0</x:v>
      </x:c>
      <x:c r="G96" s="26" t="str">
        <x:v>3.405795367950049e-09</x:v>
      </x:c>
      <x:c r="H96" s="26" t="str">
        <x:v>8.521520449000786e-08</x:v>
      </x:c>
      <x:c r="I96" s="26" t="str">
        <x:v>1.065605648165047e-07</x:v>
      </x:c>
      <x:c r="J96" s="26" t="str">
        <x:v>9.588788465325626e-08</x:v>
      </x:c>
      <x:c r="K96" s="26" t="str">
        <x:v>2.641805035841216e-07</x:v>
      </x:c>
      <x:c r="L96" s="26" t="str">
        <x:v>4.511812501384327e-07</x:v>
      </x:c>
      <x:c r="M96" s="49" t="str">
        <x:v>2022</x:v>
      </x:c>
    </x:row>
    <x:row r="97" ht="19" customHeight="1">
      <x:c r="A97" s="23" t="str">
        <x:v>FT-Q-V01-096</x:v>
      </x:c>
      <x:c r="B97" s="24" t="str">
        <x:v>slow onset events</x:v>
      </x:c>
      <x:c r="C97" s="25" t="str">
        <x:v>harm_loss_consequences</x:v>
      </x:c>
      <x:c r="D97" s="25" t="str">
        <x:v>CONTEXT_REQUIRED</x:v>
      </x:c>
      <x:c r="E97" s="26" t="str">
        <x:v>0</x:v>
      </x:c>
      <x:c r="F97" s="26" t="str">
        <x:v>0</x:v>
      </x:c>
      <x:c r="G97" s="26" t="str">
        <x:v>0</x:v>
      </x:c>
      <x:c r="H97" s="26" t="str">
        <x:v>2.477186233917905e-10</x:v>
      </x:c>
      <x:c r="I97" s="26" t="str">
        <x:v>4.859122965106266e-10</x:v>
      </x:c>
      <x:c r="J97" s="26" t="str">
        <x:v>3.668154599512086e-10</x:v>
      </x:c>
      <x:c r="K97" s="26" t="str">
        <x:v>2.049460948172488e-09</x:v>
      </x:c>
      <x:c r="L97" s="26" t="str">
        <x:v>5.013650494767319e-09</x:v>
      </x:c>
      <x:c r="M97" s="49" t="str">
        <x:v>2022</x:v>
      </x:c>
    </x:row>
    <x:row r="98" ht="19" customHeight="1">
      <x:c r="A98" s="23" t="str">
        <x:v>FT-Q-V01-097</x:v>
      </x:c>
      <x:c r="B98" s="24" t="str">
        <x:v>risk of loss and damage</x:v>
      </x:c>
      <x:c r="C98" s="25" t="str">
        <x:v>risk</x:v>
      </x:c>
      <x:c r="D98" s="25" t="str">
        <x:v>CONTEXT_REQUIRED</x:v>
      </x:c>
      <x:c r="E98" s="26" t="str">
        <x:v>7.81099351865322e-10</x:v>
      </x:c>
      <x:c r="F98" s="26" t="str">
        <x:v>5.767837332748549e-09</x:v>
      </x:c>
      <x:c r="G98" s="26" t="str">
        <x:v>6.516700790104579e-10</x:v>
      </x:c>
      <x:c r="H98" s="26" t="str">
        <x:v>8.152023084351256e-10</x:v>
      </x:c>
      <x:c r="I98" s="26" t="str">
        <x:v>6.262282359337235e-10</x:v>
      </x:c>
      <x:c r="J98" s="26" t="str">
        <x:v>7.207152721844245e-10</x:v>
      </x:c>
      <x:c r="K98" s="26" t="str">
        <x:v>9.214118357192547e-10</x:v>
      </x:c>
      <x:c r="L98" s="26" t="str">
        <x:v>2.065858161620637e-09</x:v>
      </x:c>
      <x:c r="M98" s="49" t="str">
        <x:v>2022</x:v>
      </x:c>
    </x:row>
    <x:row r="99" ht="19" customHeight="1">
      <x:c r="A99" s="23" t="str">
        <x:v>FT-Q-V01-098</x:v>
      </x:c>
      <x:c r="B99" s="24" t="str">
        <x:v>early warning systems</x:v>
      </x:c>
      <x:c r="C99" s="25" t="str">
        <x:v>harm_loss_consequences</x:v>
      </x:c>
      <x:c r="D99" s="25" t="str">
        <x:v>CONTEXT_REQUIRED</x:v>
      </x:c>
      <x:c r="E99" s="26" t="str">
        <x:v>0</x:v>
      </x:c>
      <x:c r="F99" s="26" t="str">
        <x:v>0</x:v>
      </x:c>
      <x:c r="G99" s="26" t="str">
        <x:v>9.379452314828285e-08</x:v>
      </x:c>
      <x:c r="H99" s="26" t="str">
        <x:v>1.387224217164196e-07</x:v>
      </x:c>
      <x:c r="I99" s="26" t="str">
        <x:v>1.297385822940367e-07</x:v>
      </x:c>
      <x:c r="J99" s="26" t="str">
        <x:v>1.342305020052281e-07</x:v>
      </x:c>
      <x:c r="K99" s="26" t="str">
        <x:v>1.42312563317093e-07</x:v>
      </x:c>
      <x:c r="L99" s="26" t="str">
        <x:v>2.00640613789993e-07</x:v>
      </x:c>
      <x:c r="M99" s="49" t="str">
        <x:v>2022</x:v>
      </x:c>
    </x:row>
    <x:row r="100" ht="19" customHeight="1">
      <x:c r="A100" s="23" t="str">
        <x:v>FT-Q-V01-099</x:v>
      </x:c>
      <x:c r="B100" s="24" t="str">
        <x:v>emergency preparedness</x:v>
      </x:c>
      <x:c r="C100" s="25" t="str">
        <x:v>crisis_emergency</x:v>
      </x:c>
      <x:c r="D100" s="25" t="str">
        <x:v>CONTEXT_REQUIRED</x:v>
      </x:c>
      <x:c r="E100" s="26" t="str">
        <x:v>0</x:v>
      </x:c>
      <x:c r="F100" s="26" t="str">
        <x:v>3.563902506442673e-09</x:v>
      </x:c>
      <x:c r="G100" s="26" t="str">
        <x:v>1.046481490560303e-06</x:v>
      </x:c>
      <x:c r="H100" s="26" t="str">
        <x:v>8.403235325082914e-07</x:v>
      </x:c>
      <x:c r="I100" s="26" t="str">
        <x:v>7.499652697369463e-07</x:v>
      </x:c>
      <x:c r="J100" s="26" t="str">
        <x:v>7.951444011226189e-07</x:v>
      </x:c>
      <x:c r="K100" s="26" t="str">
        <x:v>3.295314575553487e-07</x:v>
      </x:c>
      <x:c r="L100" s="26" t="str">
        <x:v>2.663239674349782e-07</x:v>
      </x:c>
      <x:c r="M100" s="49" t="str">
        <x:v>2022</x:v>
      </x:c>
    </x:row>
    <x:row r="101" ht="19" customHeight="1">
      <x:c r="A101" s="23" t="str">
        <x:v>FT-Q-V01-100</x:v>
      </x:c>
      <x:c r="B101" s="24" t="str">
        <x:v>irreversible and permanent loss and damage</x:v>
      </x:c>
      <x:c r="C101" s="25" t="str">
        <x:v>harm_loss_consequences</x:v>
      </x:c>
      <x:c r="D101" s="25" t="str">
        <x:v>CONTEXT_REQUIRED</x:v>
      </x:c>
      <x:c r="E101" s="26" t="str">
        <x:v>0</x:v>
      </x:c>
      <x:c r="F101" s="26" t="str">
        <x:v>0</x:v>
      </x:c>
      <x:c r="G101" s="26" t="str">
        <x:v>0</x:v>
      </x:c>
      <x:c r="H101" s="26" t="str">
        <x:v>0</x:v>
      </x:c>
      <x:c r="I101" s="26" t="str">
        <x:v>0</x:v>
      </x:c>
      <x:c r="J101" s="26" t="str">
        <x:v>0</x:v>
      </x:c>
      <x:c r="K101" s="26" t="str">
        <x:v>6.163167892703214e-11</x:v>
      </x:c>
      <x:c r="L101" s="26" t="str">
        <x:v>6.393428564344106e-10</x:v>
      </x:c>
      <x:c r="M101" s="49" t="str">
        <x:v>2022</x:v>
      </x:c>
    </x:row>
    <x:row r="102" ht="19" customHeight="1">
      <x:c r="A102" s="23" t="str">
        <x:v>FT-Q-V01-101</x:v>
      </x:c>
      <x:c r="B102" s="24" t="str">
        <x:v>climate change</x:v>
      </x:c>
      <x:c r="C102" s="25" t="str">
        <x:v>climate</x:v>
      </x:c>
      <x:c r="D102" s="25" t="str">
        <x:v>CLIMATE_SPECIFIC</x:v>
      </x:c>
      <x:c r="E102" s="26" t="str">
        <x:v>5.159906557583582e-09</x:v>
      </x:c>
      <x:c r="F102" s="26" t="str">
        <x:v>2.561554912627884e-09</x:v>
      </x:c>
      <x:c r="G102" s="26" t="str">
        <x:v>1.240793510930149e-06</x:v>
      </x:c>
      <x:c r="H102" s="26" t="str">
        <x:v>8.716473492563492e-06</x:v>
      </x:c>
      <x:c r="I102" s="26" t="str">
        <x:v>1.319138383155949e-05</x:v>
      </x:c>
      <x:c r="J102" s="26" t="str">
        <x:v>1.095392866206149e-05</x:v>
      </x:c>
      <x:c r="K102" s="26" t="str">
        <x:v>1.967096413684616e-05</x:v>
      </x:c>
      <x:c r="L102" s="26" t="str">
        <x:v>2.890008815206735e-05</x:v>
      </x:c>
      <x:c r="M102" s="49" t="str">
        <x:v>2022</x:v>
      </x:c>
    </x:row>
    <x:row r="103" ht="19" customHeight="1">
      <x:c r="A103" s="23" t="str">
        <x:v>FT-Q-V01-102</x:v>
      </x:c>
      <x:c r="B103" s="24" t="str">
        <x:v>global warming</x:v>
      </x:c>
      <x:c r="C103" s="25" t="str">
        <x:v>warming</x:v>
      </x:c>
      <x:c r="D103" s="25" t="str">
        <x:v>CLIMATE_SPECIFIC</x:v>
      </x:c>
      <x:c r="E103" s="26" t="str">
        <x:v>0</x:v>
      </x:c>
      <x:c r="F103" s="26" t="str">
        <x:v>2.00469511824064e-09</x:v>
      </x:c>
      <x:c r="G103" s="26" t="str">
        <x:v>6.400895369296222e-07</x:v>
      </x:c>
      <x:c r="H103" s="26" t="str">
        <x:v>3.39393631278162e-06</x:v>
      </x:c>
      <x:c r="I103" s="26" t="str">
        <x:v>4.96164442403968e-06</x:v>
      </x:c>
      <x:c r="J103" s="26" t="str">
        <x:v>4.17779036841065e-06</x:v>
      </x:c>
      <x:c r="K103" s="26" t="str">
        <x:v>3.293586607857474e-06</x:v>
      </x:c>
      <x:c r="L103" s="26" t="str">
        <x:v>3.963670369644401e-06</x:v>
      </x:c>
      <x:c r="M103" s="49" t="str">
        <x:v>2022</x:v>
      </x:c>
    </x:row>
    <x:row r="104" ht="19" customHeight="1">
      <x:c r="A104" s="23" t="str">
        <x:v>FT-Q-V01-103</x:v>
      </x:c>
      <x:c r="B104" s="24" t="str">
        <x:v>very worried</x:v>
      </x:c>
      <x:c r="C104" s="25" t="str">
        <x:v>worry</x:v>
      </x:c>
      <x:c r="D104" s="25" t="str">
        <x:v>CONTEXT_REQUIRED</x:v>
      </x:c>
      <x:c r="E104" s="26" t="str">
        <x:v>0</x:v>
      </x:c>
      <x:c r="F104" s="26" t="str">
        <x:v>5.757930103544862e-08</x:v>
      </x:c>
      <x:c r="G104" s="26" t="str">
        <x:v>1.573942034760467e-07</x:v>
      </x:c>
      <x:c r="H104" s="26" t="str">
        <x:v>2.430551577989326e-07</x:v>
      </x:c>
      <x:c r="I104" s="26" t="str">
        <x:v>2.654000055557493e-07</x:v>
      </x:c>
      <x:c r="J104" s="26" t="str">
        <x:v>2.542275816773409e-07</x:v>
      </x:c>
      <x:c r="K104" s="26" t="str">
        <x:v>4.244305496919898e-07</x:v>
      </x:c>
      <x:c r="L104" s="26" t="str">
        <x:v>3.79268325273463e-07</x:v>
      </x:c>
      <x:c r="M104" s="49" t="str">
        <x:v>2022</x:v>
      </x:c>
    </x:row>
    <x:row r="105" ht="19" customHeight="1">
      <x:c r="A105" s="23" t="str">
        <x:v>FT-Q-V01-104</x:v>
      </x:c>
      <x:c r="B105" s="24" t="str">
        <x:v>somewhat worried</x:v>
      </x:c>
      <x:c r="C105" s="25" t="str">
        <x:v>worry</x:v>
      </x:c>
      <x:c r="D105" s="25" t="str">
        <x:v>CONTEXT_REQUIRED</x:v>
      </x:c>
      <x:c r="E105" s="26" t="str">
        <x:v>1.289976681029259e-09</x:v>
      </x:c>
      <x:c r="F105" s="26" t="str">
        <x:v>1.046896380696438e-08</x:v>
      </x:c>
      <x:c r="G105" s="26" t="str">
        <x:v>8.686541097535638e-09</x:v>
      </x:c>
      <x:c r="H105" s="26" t="str">
        <x:v>1.190324738775672e-08</x:v>
      </x:c>
      <x:c r="I105" s="26" t="str">
        <x:v>1.241321874456691e-08</x:v>
      </x:c>
      <x:c r="J105" s="26" t="str">
        <x:v>1.215823306616182e-08</x:v>
      </x:c>
      <x:c r="K105" s="26" t="str">
        <x:v>1.569197416104173e-08</x:v>
      </x:c>
      <x:c r="L105" s="26" t="str">
        <x:v>1.698810697670083e-08</x:v>
      </x:c>
      <x:c r="M105" s="49" t="str">
        <x:v>2022</x:v>
      </x:c>
    </x:row>
    <x:row r="106" ht="19" customHeight="1">
      <x:c r="A106" s="23" t="str">
        <x:v>FT-Q-V01-105</x:v>
      </x:c>
      <x:c r="B106" s="24" t="str">
        <x:v>afraid</x:v>
      </x:c>
      <x:c r="C106" s="25" t="str">
        <x:v>fear_afraid</x:v>
      </x:c>
      <x:c r="D106" s="25" t="str">
        <x:v>BACKGROUND_AMBIGUOUS</x:v>
      </x:c>
      <x:c r="E106" s="26" t="str">
        <x:v>2.212168256576774e-05</x:v>
      </x:c>
      <x:c r="F106" s="26" t="str">
        <x:v>1.400559003883473e-05</x:v>
      </x:c>
      <x:c r="G106" s="26" t="str">
        <x:v>1.09846374348882e-05</x:v>
      </x:c>
      <x:c r="H106" s="26" t="str">
        <x:v>1.976880774634537e-05</x:v>
      </x:c>
      <x:c r="I106" s="26" t="str">
        <x:v>2.159649101456107e-05</x:v>
      </x:c>
      <x:c r="J106" s="26" t="str">
        <x:v>2.068264938045322e-05</x:v>
      </x:c>
      <x:c r="K106" s="26" t="str">
        <x:v>4.288384451456295e-05</x:v>
      </x:c>
      <x:c r="L106" s="26" t="str">
        <x:v>4.233809789883428e-05</x:v>
      </x:c>
      <x:c r="M106" s="49" t="str">
        <x:v>2022</x:v>
      </x:c>
    </x:row>
    <x:row r="107" ht="19" customHeight="1">
      <x:c r="A107" s="23" t="str">
        <x:v>FT-Q-V01-106</x:v>
      </x:c>
      <x:c r="B107" s="24" t="str">
        <x:v>anxious</x:v>
      </x:c>
      <x:c r="C107" s="25" t="str">
        <x:v>anxiety</x:v>
      </x:c>
      <x:c r="D107" s="25" t="str">
        <x:v>CONTEXT_REQUIRED</x:v>
      </x:c>
      <x:c r="E107" s="26" t="str">
        <x:v>3.869925836497146e-05</x:v>
      </x:c>
      <x:c r="F107" s="26" t="str">
        <x:v>1.130616075784019e-05</x:v>
      </x:c>
      <x:c r="G107" s="26" t="str">
        <x:v>6.107358935025786e-06</x:v>
      </x:c>
      <x:c r="H107" s="26" t="str">
        <x:v>8.508186313434252e-06</x:v>
      </x:c>
      <x:c r="I107" s="26" t="str">
        <x:v>9.368124114672582e-06</x:v>
      </x:c>
      <x:c r="J107" s="26" t="str">
        <x:v>8.938155214053417e-06</x:v>
      </x:c>
      <x:c r="K107" s="26" t="str">
        <x:v>1.482205210834309e-05</x:v>
      </x:c>
      <x:c r="L107" s="26" t="str">
        <x:v>1.753054791498593e-05</x:v>
      </x:c>
      <x:c r="M107" s="49" t="str">
        <x:v>2022</x:v>
      </x:c>
    </x:row>
    <x:row r="108" ht="19" customHeight="1">
      <x:c r="A108" s="23" t="str">
        <x:v>FT-Q-V01-107</x:v>
      </x:c>
      <x:c r="B108" s="24" t="str">
        <x:v>hopeless</x:v>
      </x:c>
      <x:c r="C108" s="25" t="str">
        <x:v>distress_depression</x:v>
      </x:c>
      <x:c r="D108" s="25" t="str">
        <x:v>CONTEXT_REQUIRED</x:v>
      </x:c>
      <x:c r="E108" s="26" t="str">
        <x:v>7.749827982905799e-06</x:v>
      </x:c>
      <x:c r="F108" s="26" t="str">
        <x:v>3.078077401852397e-06</x:v>
      </x:c>
      <x:c r="G108" s="26" t="str">
        <x:v>1.574195990450278e-06</x:v>
      </x:c>
      <x:c r="H108" s="26" t="str">
        <x:v>2.366883613547088e-06</x:v>
      </x:c>
      <x:c r="I108" s="26" t="str">
        <x:v>2.603596225725369e-06</x:v>
      </x:c>
      <x:c r="J108" s="26" t="str">
        <x:v>2.485239919636228e-06</x:v>
      </x:c>
      <x:c r="K108" s="26" t="str">
        <x:v>4.200327168746298e-06</x:v>
      </x:c>
      <x:c r="L108" s="26" t="str">
        <x:v>4.716772487256549e-06</x:v>
      </x:c>
      <x:c r="M108" s="49" t="str">
        <x:v>2022</x:v>
      </x:c>
    </x:row>
    <x:row r="109" ht="19" customHeight="1">
      <x:c r="A109" s="23" t="str">
        <x:v>FT-Q-V01-108</x:v>
      </x:c>
      <x:c r="B109" s="24" t="str">
        <x:v>sad</x:v>
      </x:c>
      <x:c r="C109" s="25" t="str">
        <x:v>distress_depression</x:v>
      </x:c>
      <x:c r="D109" s="25" t="str">
        <x:v>CONTEXT_REQUIRED</x:v>
      </x:c>
      <x:c r="E109" s="26" t="str">
        <x:v>2.810681350240429e-05</x:v>
      </x:c>
      <x:c r="F109" s="26" t="str">
        <x:v>7.116686279312612e-06</x:v>
      </x:c>
      <x:c r="G109" s="26" t="str">
        <x:v>7.082451503964693e-06</x:v>
      </x:c>
      <x:c r="H109" s="26" t="str">
        <x:v>1.270232452813339e-05</x:v>
      </x:c>
      <x:c r="I109" s="26" t="str">
        <x:v>1.357899595096079e-05</x:v>
      </x:c>
      <x:c r="J109" s="26" t="str">
        <x:v>1.314066023954709e-05</x:v>
      </x:c>
      <x:c r="K109" s="26" t="str">
        <x:v>2.244314198969477e-05</x:v>
      </x:c>
      <x:c r="L109" s="26" t="str">
        <x:v>2.540873449891415e-05</x:v>
      </x:c>
      <x:c r="M109" s="49" t="str">
        <x:v>2022</x:v>
      </x:c>
    </x:row>
    <x:row r="110" ht="19" customHeight="1">
      <x:c r="A110" s="23" t="str">
        <x:v>FT-Q-V01-109</x:v>
      </x:c>
      <x:c r="B110" s="24" t="str">
        <x:v>angry</x:v>
      </x:c>
      <x:c r="C110" s="25" t="str">
        <x:v>distress_depression</x:v>
      </x:c>
      <x:c r="D110" s="25" t="str">
        <x:v>CONTEXT_REQUIRED</x:v>
      </x:c>
      <x:c r="E110" s="26" t="str">
        <x:v>1.486580042708852e-05</x:v>
      </x:c>
      <x:c r="F110" s="26" t="str">
        <x:v>4.559940654402794e-06</x:v>
      </x:c>
      <x:c r="G110" s="26" t="str">
        <x:v>7.51778329544095e-06</x:v>
      </x:c>
      <x:c r="H110" s="26" t="str">
        <x:v>1.53830203544203e-05</x:v>
      </x:c>
      <x:c r="I110" s="26" t="str">
        <x:v>1.647590850950564e-05</x:v>
      </x:c>
      <x:c r="J110" s="26" t="str">
        <x:v>1.592946443196297e-05</x:v>
      </x:c>
      <x:c r="K110" s="26" t="str">
        <x:v>3.206412924328106e-05</x:v>
      </x:c>
      <x:c r="L110" s="26" t="str">
        <x:v>3.134844381236235e-05</x:v>
      </x:c>
      <x:c r="M110" s="49" t="str">
        <x:v>2022</x:v>
      </x:c>
    </x:row>
    <x:row r="111" ht="19" customHeight="1">
      <x:c r="A111" s="23" t="str">
        <x:v>FT-Q-V01-110</x:v>
      </x:c>
      <x:c r="B111" s="24" t="str">
        <x:v>frustrated</x:v>
      </x:c>
      <x:c r="C111" s="25" t="str">
        <x:v>distress_depression</x:v>
      </x:c>
      <x:c r="D111" s="25" t="str">
        <x:v>CONTEXT_REQUIRED</x:v>
      </x:c>
      <x:c r="E111" s="26" t="str">
        <x:v>2.472158670219216e-06</x:v>
      </x:c>
      <x:c r="F111" s="26" t="str">
        <x:v>9.431432204110024e-07</x:v>
      </x:c>
      <x:c r="G111" s="26" t="str">
        <x:v>3.289961124863794e-06</x:v>
      </x:c>
      <x:c r="H111" s="26" t="str">
        <x:v>5.059109890126479e-06</x:v>
      </x:c>
      <x:c r="I111" s="26" t="str">
        <x:v>5.217783510147456e-06</x:v>
      </x:c>
      <x:c r="J111" s="26" t="str">
        <x:v>5.138446700136967e-06</x:v>
      </x:c>
      <x:c r="K111" s="26" t="str">
        <x:v>8.185089514611832e-06</x:v>
      </x:c>
      <x:c r="L111" s="26" t="str">
        <x:v>7.597455986996238e-06</x:v>
      </x:c>
      <x:c r="M111" s="49" t="str">
        <x:v>2022</x:v>
      </x:c>
    </x:row>
    <x:row r="112" ht="19" customHeight="1">
      <x:c r="A112" s="23" t="str">
        <x:v>FT-Q-V01-111</x:v>
      </x:c>
      <x:c r="B112" s="24" t="str">
        <x:v>hopeful</x:v>
      </x:c>
      <x:c r="C112" s="25" t="str">
        <x:v>concern_alarm</x:v>
      </x:c>
      <x:c r="D112" s="25" t="str">
        <x:v>CONTEXT_REQUIRED</x:v>
      </x:c>
      <x:c r="E112" s="26" t="str">
        <x:v>2.357188563451018e-06</x:v>
      </x:c>
      <x:c r="F112" s="26" t="str">
        <x:v>3.194065403278046e-06</x:v>
      </x:c>
      <x:c r="G112" s="26" t="str">
        <x:v>2.021741480007222e-06</x:v>
      </x:c>
      <x:c r="H112" s="26" t="str">
        <x:v>2.639803955872821e-06</x:v>
      </x:c>
      <x:c r="I112" s="26" t="str">
        <x:v>2.804317349003327e-06</x:v>
      </x:c>
      <x:c r="J112" s="26" t="str">
        <x:v>2.722060652438074e-06</x:v>
      </x:c>
      <x:c r="K112" s="26" t="str">
        <x:v>4.381402916919797e-06</x:v>
      </x:c>
      <x:c r="L112" s="26" t="str">
        <x:v>4.994718922901598e-06</x:v>
      </x:c>
      <x:c r="M112" s="49" t="str">
        <x:v>2022</x:v>
      </x:c>
    </x:row>
    <x:row r="113" ht="19" customHeight="1">
      <x:c r="A113" s="23" t="str">
        <x:v>FT-Q-V01-112</x:v>
      </x:c>
      <x:c r="B113" s="24" t="str">
        <x:v>disgusted</x:v>
      </x:c>
      <x:c r="C113" s="25" t="str">
        <x:v>distress_depression</x:v>
      </x:c>
      <x:c r="D113" s="25" t="str">
        <x:v>CONTEXT_REQUIRED</x:v>
      </x:c>
      <x:c r="E113" s="26" t="str">
        <x:v>2.792127986595005e-06</x:v>
      </x:c>
      <x:c r="F113" s="26" t="str">
        <x:v>8.480208872896355e-07</x:v>
      </x:c>
      <x:c r="G113" s="26" t="str">
        <x:v>5.909761447986384e-07</x:v>
      </x:c>
      <x:c r="H113" s="26" t="str">
        <x:v>1.171719041792585e-06</x:v>
      </x:c>
      <x:c r="I113" s="26" t="str">
        <x:v>1.319191128779096e-06</x:v>
      </x:c>
      <x:c r="J113" s="26" t="str">
        <x:v>1.24545508528584e-06</x:v>
      </x:c>
      <x:c r="K113" s="26" t="str">
        <x:v>2.510783113862658e-06</x:v>
      </x:c>
      <x:c r="L113" s="26" t="str">
        <x:v>2.543607640959067e-06</x:v>
      </x:c>
      <x:c r="M113" s="49" t="str">
        <x:v>2022</x:v>
      </x:c>
    </x:row>
    <x:row r="114" ht="19" customHeight="1">
      <x:c r="A114" s="23" t="str">
        <x:v>FT-Q-V01-113</x:v>
      </x:c>
      <x:c r="B114" s="24" t="str">
        <x:v>outraged</x:v>
      </x:c>
      <x:c r="C114" s="25" t="str">
        <x:v>distress_depression</x:v>
      </x:c>
      <x:c r="D114" s="25" t="str">
        <x:v>CONTEXT_REQUIRED</x:v>
      </x:c>
      <x:c r="E114" s="26" t="str">
        <x:v>1.254328481969935e-06</x:v>
      </x:c>
      <x:c r="F114" s="26" t="str">
        <x:v>6.021347390694487e-07</x:v>
      </x:c>
      <x:c r="G114" s="26" t="str">
        <x:v>8.586316730951893e-07</x:v>
      </x:c>
      <x:c r="H114" s="26" t="str">
        <x:v>1.27507472225119e-06</x:v>
      </x:c>
      <x:c r="I114" s="26" t="str">
        <x:v>1.373316791397627e-06</x:v>
      </x:c>
      <x:c r="J114" s="26" t="str">
        <x:v>1.324195756824409e-06</x:v>
      </x:c>
      <x:c r="K114" s="26" t="str">
        <x:v>1.949325438399541e-06</x:v>
      </x:c>
      <x:c r="L114" s="26" t="str">
        <x:v>1.70548937417081e-06</x:v>
      </x:c>
      <x:c r="M114" s="49" t="str">
        <x:v>2022</x:v>
      </x:c>
    </x:row>
    <x:row r="115" ht="19" customHeight="1">
      <x:c r="A115" s="23" t="str">
        <x:v>FT-Q-V01-114</x:v>
      </x:c>
      <x:c r="B115" s="24" t="str">
        <x:v>depressed</x:v>
      </x:c>
      <x:c r="C115" s="25" t="str">
        <x:v>distress_depression</x:v>
      </x:c>
      <x:c r="D115" s="25" t="str">
        <x:v>BACKGROUND_AMBIGUOUS</x:v>
      </x:c>
      <x:c r="E115" s="26" t="str">
        <x:v>9.307701199112728e-06</x:v>
      </x:c>
      <x:c r="F115" s="26" t="str">
        <x:v>6.043337837269291e-06</x:v>
      </x:c>
      <x:c r="G115" s="26" t="str">
        <x:v>7.711703084112287e-06</x:v>
      </x:c>
      <x:c r="H115" s="26" t="str">
        <x:v>6.793051444020648e-06</x:v>
      </x:c>
      <x:c r="I115" s="26" t="str">
        <x:v>7.274933071954592e-06</x:v>
      </x:c>
      <x:c r="J115" s="26" t="str">
        <x:v>7.03399225798762e-06</x:v>
      </x:c>
      <x:c r="K115" s="26" t="str">
        <x:v>7.909356614987928e-06</x:v>
      </x:c>
      <x:c r="L115" s="26" t="str">
        <x:v>6.592711166319987e-06</x:v>
      </x:c>
      <x:c r="M115" s="49" t="str">
        <x:v>2022</x:v>
      </x:c>
    </x:row>
    <x:row r="116" ht="19" customHeight="1">
      <x:c r="A116" s="23" t="str">
        <x:v>FT-Q-V01-115</x:v>
      </x:c>
      <x:c r="B116" s="24" t="str">
        <x:v>symptoms of anxiety</x:v>
      </x:c>
      <x:c r="C116" s="25" t="str">
        <x:v>anxiety</x:v>
      </x:c>
      <x:c r="D116" s="25" t="str">
        <x:v>CONTEXT_REQUIRED</x:v>
      </x:c>
      <x:c r="E116" s="26" t="str">
        <x:v>4.118266616615074e-09</x:v>
      </x:c>
      <x:c r="F116" s="26" t="str">
        <x:v>4.033755884869095e-09</x:v>
      </x:c>
      <x:c r="G116" s="26" t="str">
        <x:v>7.033237547915405e-08</x:v>
      </x:c>
      <x:c r="H116" s="26" t="str">
        <x:v>1.017628106780855e-07</x:v>
      </x:c>
      <x:c r="I116" s="26" t="str">
        <x:v>1.071436565580619e-07</x:v>
      </x:c>
      <x:c r="J116" s="26" t="str">
        <x:v>1.044532336180737e-07</x:v>
      </x:c>
      <x:c r="K116" s="26" t="str">
        <x:v>1.362641557159372e-07</x:v>
      </x:c>
      <x:c r="L116" s="26" t="str">
        <x:v>1.926471570046218e-07</x:v>
      </x:c>
      <x:c r="M116" s="49" t="str">
        <x:v>2022</x:v>
      </x:c>
    </x:row>
    <x:row r="117" ht="19" customHeight="1">
      <x:c r="A117" s="23" t="str">
        <x:v>FT-Q-V01-116</x:v>
      </x:c>
      <x:c r="B117" s="24" t="str">
        <x:v>climate anxiety</x:v>
      </x:c>
      <x:c r="C117" s="25" t="str">
        <x:v>anxiety</x:v>
      </x:c>
      <x:c r="D117" s="25" t="str">
        <x:v>CLIMATE_SPECIFIC</x:v>
      </x:c>
      <x:c r="E117" s="26" t="str">
        <x:v>0</x:v>
      </x:c>
      <x:c r="F117" s="26" t="str">
        <x:v>0</x:v>
      </x:c>
      <x:c r="G117" s="26" t="str">
        <x:v>0</x:v>
      </x:c>
      <x:c r="H117" s="26" t="str">
        <x:v>0</x:v>
      </x:c>
      <x:c r="I117" s="26" t="str">
        <x:v>4.497542963055601e-11</x:v>
      </x:c>
      <x:c r="J117" s="26" t="str">
        <x:v>2.2487714815278e-11</x:v>
      </x:c>
      <x:c r="K117" s="26" t="str">
        <x:v>1.86809217400663e-10</x:v>
      </x:c>
      <x:c r="L117" s="26" t="str">
        <x:v>3.579004737019886e-08</x:v>
      </x:c>
      <x:c r="M117" s="49" t="str">
        <x:v>2022</x:v>
      </x:c>
    </x:row>
    <x:row r="118" ht="19" customHeight="1">
      <x:c r="A118" s="23" t="str">
        <x:v>FT-Q-V01-117</x:v>
      </x:c>
      <x:c r="B118" s="24" t="str">
        <x:v>eco-anxiety</x:v>
      </x:c>
      <x:c r="C118" s="25" t="str">
        <x:v>anxiety</x:v>
      </x:c>
      <x:c r="D118" s="25" t="str">
        <x:v>CLIMATE_SPECIFIC</x:v>
      </x:c>
      <x:c r="E118" s="26" t="str">
        <x:v>0</x:v>
      </x:c>
      <x:c r="F118" s="26" t="str">
        <x:v>0</x:v>
      </x:c>
      <x:c r="G118" s="26" t="str">
        <x:v>0</x:v>
      </x:c>
      <x:c r="H118" s="26" t="str">
        <x:v>4.954372329057932e-11</x:v>
      </x:c>
      <x:c r="I118" s="26" t="str">
        <x:v>7.774596660903299e-10</x:v>
      </x:c>
      <x:c r="J118" s="26" t="str">
        <x:v>4.135016946904546e-10</x:v>
      </x:c>
      <x:c r="K118" s="26" t="str">
        <x:v>8.997633402230143e-10</x:v>
      </x:c>
      <x:c r="L118" s="26" t="str">
        <x:v>5.496096178170262e-08</x:v>
      </x:c>
      <x:c r="M118" s="49" t="str">
        <x:v>2022</x:v>
      </x:c>
    </x:row>
    <x:row r="119" ht="19" customHeight="1">
      <x:c r="A119" s="23" t="str">
        <x:v>FT-Q-V01-118</x:v>
      </x:c>
      <x:c r="B119" s="24" t="str">
        <x:v>psychological distress</x:v>
      </x:c>
      <x:c r="C119" s="25" t="str">
        <x:v>distress_depression</x:v>
      </x:c>
      <x:c r="D119" s="25" t="str">
        <x:v>CONTEXT_REQUIRED</x:v>
      </x:c>
      <x:c r="E119" s="26" t="str">
        <x:v>0</x:v>
      </x:c>
      <x:c r="F119" s="26" t="str">
        <x:v>6.682316922024256e-10</x:v>
      </x:c>
      <x:c r="G119" s="26" t="str">
        <x:v>1.915481164793675e-07</x:v>
      </x:c>
      <x:c r="H119" s="26" t="str">
        <x:v>4.426177031557899e-07</x:v>
      </x:c>
      <x:c r="I119" s="26" t="str">
        <x:v>3.763993797756271e-07</x:v>
      </x:c>
      <x:c r="J119" s="26" t="str">
        <x:v>4.095085414657085e-07</x:v>
      </x:c>
      <x:c r="K119" s="26" t="str">
        <x:v>4.692647605497591e-07</x:v>
      </x:c>
      <x:c r="L119" s="26" t="str">
        <x:v>8.442735095481879e-07</x:v>
      </x:c>
      <x:c r="M119" s="49" t="str">
        <x:v>2022</x:v>
      </x:c>
    </x:row>
    <x:row r="120" ht="19" customHeight="1">
      <x:c r="A120" s="23" t="str">
        <x:v>FT-Q-V01-119</x:v>
      </x:c>
      <x:c r="B120" s="24" t="str">
        <x:v>distress</x:v>
      </x:c>
      <x:c r="C120" s="25" t="str">
        <x:v>distress_depression</x:v>
      </x:c>
      <x:c r="D120" s="25" t="str">
        <x:v>BACKGROUND_AMBIGUOUS</x:v>
      </x:c>
      <x:c r="E120" s="26" t="str">
        <x:v>4.52841779292612e-05</x:v>
      </x:c>
      <x:c r="F120" s="26" t="str">
        <x:v>7.339661380001417e-06</x:v>
      </x:c>
      <x:c r="G120" s="26" t="str">
        <x:v>8.156161257488748e-06</x:v>
      </x:c>
      <x:c r="H120" s="26" t="str">
        <x:v>1.067856989322991e-05</x:v>
      </x:c>
      <x:c r="I120" s="26" t="str">
        <x:v>1.097895778201519e-05</x:v>
      </x:c>
      <x:c r="J120" s="26" t="str">
        <x:v>1.082876383762255e-05</x:v>
      </x:c>
      <x:c r="K120" s="26" t="str">
        <x:v>1.367328086843145e-05</x:v>
      </x:c>
      <x:c r="L120" s="26" t="str">
        <x:v>1.530569114294167e-05</x:v>
      </x:c>
      <x:c r="M120" s="49" t="str">
        <x:v>2022</x:v>
      </x:c>
    </x:row>
    <x:row r="121" ht="19" customHeight="1">
      <x:c r="A121" s="23" t="str">
        <x:v>FT-Q-V01-120</x:v>
      </x:c>
      <x:c r="B121" s="24" t="str">
        <x:v>powerlessness</x:v>
      </x:c>
      <x:c r="C121" s="25" t="str">
        <x:v>distress_depression</x:v>
      </x:c>
      <x:c r="D121" s="25" t="str">
        <x:v>CONTEXT_REQUIRED</x:v>
      </x:c>
      <x:c r="E121" s="26" t="str">
        <x:v>4.805623099457534e-08</x:v>
      </x:c>
      <x:c r="F121" s="26" t="str">
        <x:v>4.725432958818665e-08</x:v>
      </x:c>
      <x:c r="G121" s="26" t="str">
        <x:v>5.816229462496381e-07</x:v>
      </x:c>
      <x:c r="H121" s="26" t="str">
        <x:v>7.747634387378355e-07</x:v>
      </x:c>
      <x:c r="I121" s="26" t="str">
        <x:v>7.41349112098888e-07</x:v>
      </x:c>
      <x:c r="J121" s="26" t="str">
        <x:v>7.580562754183617e-07</x:v>
      </x:c>
      <x:c r="K121" s="26" t="str">
        <x:v>8.678666019168446e-07</x:v>
      </x:c>
      <x:c r="L121" s="26" t="str">
        <x:v>8.604735197703661e-07</x:v>
      </x:c>
      <x:c r="M121" s="49" t="str">
        <x:v>2022</x:v>
      </x:c>
    </x:row>
    <x:row r="122" ht="19" customHeight="1">
      <x:c r="A122" s="23" t="str">
        <x:v>FT-Q-V01-121</x:v>
      </x:c>
      <x:c r="B122" s="24" t="str">
        <x:v>climatic change</x:v>
      </x:c>
      <x:c r="C122" s="25" t="str">
        <x:v>climate</x:v>
      </x:c>
      <x:c r="D122" s="25" t="str">
        <x:v>CLIMATE_SPECIFIC</x:v>
      </x:c>
      <x:c r="E122" s="26" t="str">
        <x:v>0</x:v>
      </x:c>
      <x:c r="F122" s="26" t="str">
        <x:v>5.535186192728858e-08</x:v>
      </x:c>
      <x:c r="G122" s="26" t="str">
        <x:v>6.100814835992285e-07</x:v>
      </x:c>
      <x:c r="H122" s="26" t="str">
        <x:v>3.489940754372589e-07</x:v>
      </x:c>
      <x:c r="I122" s="26" t="str">
        <x:v>3.570599467934976e-07</x:v>
      </x:c>
      <x:c r="J122" s="26" t="str">
        <x:v>3.530270111153783e-07</x:v>
      </x:c>
      <x:c r="K122" s="26" t="str">
        <x:v>3.089357515362323e-07</x:v>
      </x:c>
      <x:c r="L122" s="26" t="str">
        <x:v>3.561308840049904e-07</x:v>
      </x:c>
      <x:c r="M122" s="49" t="str">
        <x:v>2022</x:v>
      </x:c>
    </x:row>
    <x:row r="123" ht="19" customHeight="1">
      <x:c r="A123" s="23" t="str">
        <x:v>FT-Q-V01-122</x:v>
      </x:c>
      <x:c r="B123" s="24" t="str">
        <x:v>climate system</x:v>
      </x:c>
      <x:c r="C123" s="25" t="str">
        <x:v>climate</x:v>
      </x:c>
      <x:c r="D123" s="25" t="str">
        <x:v>CLIMATE_SPECIFIC</x:v>
      </x:c>
      <x:c r="E123" s="26" t="str">
        <x:v>0</x:v>
      </x:c>
      <x:c r="F123" s="26" t="str">
        <x:v>6.682317199580012e-10</x:v>
      </x:c>
      <x:c r="G123" s="26" t="str">
        <x:v>1.403666166632789e-07</x:v>
      </x:c>
      <x:c r="H123" s="26" t="str">
        <x:v>2.739578170152246e-07</x:v>
      </x:c>
      <x:c r="I123" s="26" t="str">
        <x:v>3.127591374774141e-07</x:v>
      </x:c>
      <x:c r="J123" s="26" t="str">
        <x:v>2.933584772463194e-07</x:v>
      </x:c>
      <x:c r="K123" s="26" t="str">
        <x:v>2.867988619925654e-07</x:v>
      </x:c>
      <x:c r="L123" s="26" t="str">
        <x:v>2.992826562686624e-07</x:v>
      </x:c>
      <x:c r="M123" s="49" t="str">
        <x:v>2022</x:v>
      </x:c>
    </x:row>
    <x:row r="124" ht="19" customHeight="1">
      <x:c r="A124" s="23" t="str">
        <x:v>FT-Q-V01-123</x:v>
      </x:c>
      <x:c r="B124" s="24" t="str">
        <x:v>climate crisis</x:v>
      </x:c>
      <x:c r="C124" s="25" t="str">
        <x:v>crisis_emergency</x:v>
      </x:c>
      <x:c r="D124" s="25" t="str">
        <x:v>CLIMATE_SPECIFIC</x:v>
      </x:c>
      <x:c r="E124" s="26" t="str">
        <x:v>0</x:v>
      </x:c>
      <x:c r="F124" s="26" t="str">
        <x:v>0</x:v>
      </x:c>
      <x:c r="G124" s="26" t="str">
        <x:v>1.974213945099557e-09</x:v>
      </x:c>
      <x:c r="H124" s="26" t="str">
        <x:v>1.721392753339934e-08</x:v>
      </x:c>
      <x:c r="I124" s="26" t="str">
        <x:v>4.511035556209464e-08</x:v>
      </x:c>
      <x:c r="J124" s="26" t="str">
        <x:v>3.116214154774699e-08</x:v>
      </x:c>
      <x:c r="K124" s="26" t="str">
        <x:v>8.700639558822942e-08</x:v>
      </x:c>
      <x:c r="L124" s="26" t="str">
        <x:v>9.38814122442011e-07</x:v>
      </x:c>
      <x:c r="M124" s="49" t="str">
        <x:v>2022</x:v>
      </x:c>
    </x:row>
    <x:row r="125" ht="19" customHeight="1">
      <x:c r="A125" s="23" t="str">
        <x:v>FT-Q-V01-124</x:v>
      </x:c>
      <x:c r="B125" s="24" t="str">
        <x:v>climate emergency</x:v>
      </x:c>
      <x:c r="C125" s="25" t="str">
        <x:v>crisis_emergency</x:v>
      </x:c>
      <x:c r="D125" s="25" t="str">
        <x:v>CLIMATE_SPECIFIC</x:v>
      </x:c>
      <x:c r="E125" s="26" t="str">
        <x:v>0</x:v>
      </x:c>
      <x:c r="F125" s="26" t="str">
        <x:v>0</x:v>
      </x:c>
      <x:c r="G125" s="26" t="str">
        <x:v>0</x:v>
      </x:c>
      <x:c r="H125" s="26" t="str">
        <x:v>4.578172285718551e-10</x:v>
      </x:c>
      <x:c r="I125" s="26" t="str">
        <x:v>1.079410283377769e-09</x:v>
      </x:c>
      <x:c r="J125" s="26" t="str">
        <x:v>7.686137559748119e-10</x:v>
      </x:c>
      <x:c r="K125" s="26" t="str">
        <x:v>6.398215714187305e-09</x:v>
      </x:c>
      <x:c r="L125" s="26" t="str">
        <x:v>2.626078123846298e-07</x:v>
      </x:c>
      <x:c r="M125" s="49" t="str">
        <x:v>2022</x:v>
      </x:c>
    </x:row>
    <x:row r="126" ht="19" customHeight="1">
      <x:c r="A126" s="23" t="str">
        <x:v>FT-Q-V01-125</x:v>
      </x:c>
      <x:c r="B126" s="24" t="str">
        <x:v>heat</x:v>
      </x:c>
      <x:c r="C126" s="25" t="str">
        <x:v>heat</x:v>
      </x:c>
      <x:c r="D126" s="25" t="str">
        <x:v>BACKGROUND_AMBIGUOUS</x:v>
      </x:c>
      <x:c r="E126" s="26" t="str">
        <x:v>7.384357303408251e-05</x:v>
      </x:c>
      <x:c r="F126" s="26" t="str">
        <x:v>8.523965218273921e-05</x:v>
      </x:c>
      <x:c r="G126" s="26" t="str">
        <x:v>8.679989608225552e-05</x:v>
      </x:c>
      <x:c r="H126" s="26" t="str">
        <x:v>6.360847071413406e-05</x:v>
      </x:c>
      <x:c r="I126" s="26" t="str">
        <x:v>6.960987830585685e-05</x:v>
      </x:c>
      <x:c r="J126" s="26" t="str">
        <x:v>6.660917450999546e-05</x:v>
      </x:c>
      <x:c r="K126" s="26" t="str">
        <x:v>8.562833311283324e-05</x:v>
      </x:c>
      <x:c r="L126" s="26" t="str">
        <x:v>8.563693643673723e-05</x:v>
      </x:c>
      <x:c r="M126" s="49" t="str">
        <x:v>2022</x:v>
      </x:c>
    </x:row>
    <x:row r="127" ht="19" customHeight="1">
      <x:c r="A127" s="23" t="str">
        <x:v>FT-Q-V01-126</x:v>
      </x:c>
      <x:c r="B127" s="24" t="str">
        <x:v>extreme heat</x:v>
      </x:c>
      <x:c r="C127" s="25" t="str">
        <x:v>heat</x:v>
      </x:c>
      <x:c r="D127" s="25" t="str">
        <x:v>CLIMATE_SPECIFIC</x:v>
      </x:c>
      <x:c r="E127" s="26" t="str">
        <x:v>3.295890467214235e-07</x:v>
      </x:c>
      <x:c r="F127" s="26" t="str">
        <x:v>1.961260114313745e-07</x:v>
      </x:c>
      <x:c r="G127" s="26" t="str">
        <x:v>1.261029182117457e-07</x:v>
      </x:c>
      <x:c r="H127" s="26" t="str">
        <x:v>1.71086288733302e-07</x:v>
      </x:c>
      <x:c r="I127" s="26" t="str">
        <x:v>1.790471816642825e-07</x:v>
      </x:c>
      <x:c r="J127" s="26" t="str">
        <x:v>1.750667351987922e-07</x:v>
      </x:c>
      <x:c r="K127" s="26" t="str">
        <x:v>2.309896030561198e-07</x:v>
      </x:c>
      <x:c r="L127" s="26" t="str">
        <x:v>3.640498242307721e-07</x:v>
      </x:c>
      <x:c r="M127" s="49" t="str">
        <x:v>2022</x:v>
      </x:c>
    </x:row>
    <x:row r="128" ht="19" customHeight="1">
      <x:c r="A128" s="23" t="str">
        <x:v>FT-Q-V01-127</x:v>
      </x:c>
      <x:c r="B128" s="24" t="str">
        <x:v>fear</x:v>
      </x:c>
      <x:c r="C128" s="25" t="str">
        <x:v>fear_afraid</x:v>
      </x:c>
      <x:c r="D128" s="25" t="str">
        <x:v>BACKGROUND_AMBIGUOUS</x:v>
      </x:c>
      <x:c r="E128" s="26" t="str">
        <x:v>9.290729823874244e-05</x:v>
      </x:c>
      <x:c r="F128" s="26" t="str">
        <x:v>2.982965392561709e-05</x:v>
      </x:c>
      <x:c r="G128" s="26" t="str">
        <x:v>3.016979552554824e-05</x:v>
      </x:c>
      <x:c r="H128" s="26" t="str">
        <x:v>5.018035645446006e-05</x:v>
      </x:c>
      <x:c r="I128" s="26" t="str">
        <x:v>5.328952276396903e-05</x:v>
      </x:c>
      <x:c r="J128" s="26" t="str">
        <x:v>5.173493960921455e-05</x:v>
      </x:c>
      <x:c r="K128" s="26" t="str">
        <x:v>8.53677230498312e-05</x:v>
      </x:c>
      <x:c r="L128" s="26" t="str">
        <x:v>8.766914891196811e-05</x:v>
      </x:c>
      <x:c r="M128" s="49" t="str">
        <x:v>2022</x:v>
      </x:c>
    </x:row>
    <x:row r="129" ht="19" customHeight="1">
      <x:c r="A129" s="23" t="str">
        <x:v>FT-Q-V01-128</x:v>
      </x:c>
      <x:c r="B129" s="24" t="str">
        <x:v>worry</x:v>
      </x:c>
      <x:c r="C129" s="25" t="str">
        <x:v>worry</x:v>
      </x:c>
      <x:c r="D129" s="25" t="str">
        <x:v>BACKGROUND_AMBIGUOUS</x:v>
      </x:c>
      <x:c r="E129" s="26" t="str">
        <x:v>4.805623241566082e-07</x:v>
      </x:c>
      <x:c r="F129" s="26" t="str">
        <x:v>7.171509579961821e-06</x:v>
      </x:c>
      <x:c r="G129" s="26" t="str">
        <x:v>8.552264262107201e-06</x:v>
      </x:c>
      <x:c r="H129" s="26" t="str">
        <x:v>1.784828057793675e-05</x:v>
      </x:c>
      <x:c r="I129" s="26" t="str">
        <x:v>1.894994632323233e-05</x:v>
      </x:c>
      <x:c r="J129" s="26" t="str">
        <x:v>1.839911345058454e-05</x:v>
      </x:c>
      <x:c r="K129" s="26" t="str">
        <x:v>3.979197197168105e-05</x:v>
      </x:c>
      <x:c r="L129" s="26" t="str">
        <x:v>3.846438818300157e-05</x:v>
      </x:c>
      <x:c r="M129" s="49" t="str">
        <x:v>2022</x:v>
      </x:c>
    </x:row>
    <x:row r="130" ht="19" customHeight="1">
      <x:c r="A130" s="23" t="str">
        <x:v>FT-Q-V01-129</x:v>
      </x:c>
      <x:c r="B130" s="24" t="str">
        <x:v>worried</x:v>
      </x:c>
      <x:c r="C130" s="25" t="str">
        <x:v>worry</x:v>
      </x:c>
      <x:c r="D130" s="25" t="str">
        <x:v>BACKGROUND_AMBIGUOUS</x:v>
      </x:c>
      <x:c r="E130" s="26" t="str">
        <x:v>4.769124855030782e-07</x:v>
      </x:c>
      <x:c r="F130" s="26" t="str">
        <x:v>3.260957816664245e-06</x:v>
      </x:c>
      <x:c r="G130" s="26" t="str">
        <x:v>5.68047238402869e-06</x:v>
      </x:c>
      <x:c r="H130" s="26" t="str">
        <x:v>1.124815432973492e-05</x:v>
      </x:c>
      <x:c r="I130" s="26" t="str">
        <x:v>1.229906930433344e-05</x:v>
      </x:c>
      <x:c r="J130" s="26" t="str">
        <x:v>1.177361181703418e-05</x:v>
      </x:c>
      <x:c r="K130" s="26" t="str">
        <x:v>2.799075704729148e-05</x:v>
      </x:c>
      <x:c r="L130" s="26" t="str">
        <x:v>2.789063478303433e-05</x:v>
      </x:c>
      <x:c r="M130" s="49" t="str">
        <x:v>2022</x:v>
      </x:c>
    </x:row>
    <x:row r="131" ht="19" customHeight="1">
      <x:c r="A131" s="23" t="str">
        <x:v>FT-Q-V01-130</x:v>
      </x:c>
      <x:c r="B131" s="24" t="str">
        <x:v>concern</x:v>
      </x:c>
      <x:c r="C131" s="25" t="str">
        <x:v>concern_alarm</x:v>
      </x:c>
      <x:c r="D131" s="25" t="str">
        <x:v>BACKGROUND_AMBIGUOUS</x:v>
      </x:c>
      <x:c r="E131" s="26" t="str">
        <x:v>1.612012939489205e-05</x:v>
      </x:c>
      <x:c r="F131" s="26" t="str">
        <x:v>2.328789579256196e-05</x:v>
      </x:c>
      <x:c r="G131" s="26" t="str">
        <x:v>5.265726562726086e-05</x:v>
      </x:c>
      <x:c r="H131" s="26" t="str">
        <x:v>4.750323816384017e-05</x:v>
      </x:c>
      <x:c r="I131" s="26" t="str">
        <x:v>4.754463289202704e-05</x:v>
      </x:c>
      <x:c r="J131" s="26" t="str">
        <x:v>4.75239355279336e-05</x:v>
      </x:c>
      <x:c r="K131" s="26" t="str">
        <x:v>4.886092219905103e-05</x:v>
      </x:c>
      <x:c r="L131" s="26" t="str">
        <x:v>4.295100018327641e-05</x:v>
      </x:c>
      <x:c r="M131" s="49" t="str">
        <x:v>2022</x:v>
      </x:c>
    </x:row>
    <x:row r="132" ht="19" customHeight="1">
      <x:c r="A132" s="23" t="str">
        <x:v>FT-Q-V01-131</x:v>
      </x:c>
      <x:c r="B132" s="24" t="str">
        <x:v>anxiety</x:v>
      </x:c>
      <x:c r="C132" s="25" t="str">
        <x:v>anxiety</x:v>
      </x:c>
      <x:c r="D132" s="25" t="str">
        <x:v>BACKGROUND_AMBIGUOUS</x:v>
      </x:c>
      <x:c r="E132" s="26" t="str">
        <x:v>2.187045254231634e-05</x:v>
      </x:c>
      <x:c r="F132" s="26" t="str">
        <x:v>5.693942370044169e-06</x:v>
      </x:c>
      <x:c r="G132" s="26" t="str">
        <x:v>1.336584155353648e-05</x:v>
      </x:c>
      <x:c r="H132" s="26" t="str">
        <x:v>1.985612161092831e-05</x:v>
      </x:c>
      <x:c r="I132" s="26" t="str">
        <x:v>2.133666293957504e-05</x:v>
      </x:c>
      <x:c r="J132" s="26" t="str">
        <x:v>2.059639227525167e-05</x:v>
      </x:c>
      <x:c r="K132" s="26" t="str">
        <x:v>3.08450222803458e-05</x:v>
      </x:c>
      <x:c r="L132" s="26" t="str">
        <x:v>3.612426158383641e-05</x:v>
      </x:c>
      <x:c r="M132" s="49" t="str">
        <x:v>2022</x:v>
      </x:c>
    </x:row>
    <x:row r="133" ht="19" customHeight="1">
      <x:c r="A133" s="23" t="str">
        <x:v>FT-Q-V01-132</x:v>
      </x:c>
      <x:c r="B133" s="24" t="str">
        <x:v>danger</x:v>
      </x:c>
      <x:c r="C133" s="25" t="str">
        <x:v>danger_threat</x:v>
      </x:c>
      <x:c r="D133" s="25" t="str">
        <x:v>BACKGROUND_AMBIGUOUS</x:v>
      </x:c>
      <x:c r="E133" s="26" t="str">
        <x:v>6.476216250916877e-05</x:v>
      </x:c>
      <x:c r="F133" s="26" t="str">
        <x:v>3.397146667794004e-05</x:v>
      </x:c>
      <x:c r="G133" s="26" t="str">
        <x:v>1.925716885878628e-05</x:v>
      </x:c>
      <x:c r="H133" s="26" t="str">
        <x:v>2.236469851597117e-05</x:v>
      </x:c>
      <x:c r="I133" s="26" t="str">
        <x:v>2.336907294875346e-05</x:v>
      </x:c>
      <x:c r="J133" s="26" t="str">
        <x:v>2.286688573236231e-05</x:v>
      </x:c>
      <x:c r="K133" s="26" t="str">
        <x:v>3.182665381018523e-05</x:v>
      </x:c>
      <x:c r="L133" s="26" t="str">
        <x:v>3.447699095004975e-05</x:v>
      </x:c>
      <x:c r="M133" s="49" t="str">
        <x:v>2022</x:v>
      </x:c>
    </x:row>
    <x:row r="134" ht="19" customHeight="1">
      <x:c r="A134" s="23" t="str">
        <x:v>FT-Q-V01-133</x:v>
      </x:c>
      <x:c r="B134" s="24" t="str">
        <x:v>threat</x:v>
      </x:c>
      <x:c r="C134" s="25" t="str">
        <x:v>danger_threat</x:v>
      </x:c>
      <x:c r="D134" s="25" t="str">
        <x:v>BACKGROUND_AMBIGUOUS</x:v>
      </x:c>
      <x:c r="E134" s="26" t="str">
        <x:v>2.933255078829689e-06</x:v>
      </x:c>
      <x:c r="F134" s="26" t="str">
        <x:v>6.94792089461771e-06</x:v>
      </x:c>
      <x:c r="G134" s="26" t="str">
        <x:v>2.416082722334068e-05</x:v>
      </x:c>
      <x:c r="H134" s="26" t="str">
        <x:v>3.019828658068491e-05</x:v>
      </x:c>
      <x:c r="I134" s="26" t="str">
        <x:v>3.021426681470984e-05</x:v>
      </x:c>
      <x:c r="J134" s="26" t="str">
        <x:v>3.020627669769738e-05</x:v>
      </x:c>
      <x:c r="K134" s="26" t="str">
        <x:v>3.481453398990197e-05</x:v>
      </x:c>
      <x:c r="L134" s="26" t="str">
        <x:v>3.306681564652081e-05</x:v>
      </x:c>
      <x:c r="M134" s="49" t="str">
        <x:v>2022</x:v>
      </x:c>
    </x:row>
    <x:row r="135" ht="19" customHeight="1">
      <x:c r="A135" s="23" t="str">
        <x:v>FT-Q-V01-134</x:v>
      </x:c>
      <x:c r="B135" s="24" t="str">
        <x:v>risk</x:v>
      </x:c>
      <x:c r="C135" s="25" t="str">
        <x:v>risk</x:v>
      </x:c>
      <x:c r="D135" s="25" t="str">
        <x:v>BACKGROUND_AMBIGUOUS</x:v>
      </x:c>
      <x:c r="E135" s="26" t="str">
        <x:v>1.945669182745746e-05</x:v>
      </x:c>
      <x:c r="F135" s="26" t="str">
        <x:v>2.148629917542166e-05</x:v>
      </x:c>
      <x:c r="G135" s="26" t="str">
        <x:v>9.523120202559188e-05</x:v>
      </x:c>
      <x:c r="H135" s="26" t="str">
        <x:v>0.0001531028393812021</x:v>
      </x:c>
      <x:c r="I135" s="26" t="str">
        <x:v>0.0001609916869453679</x:v>
      </x:c>
      <x:c r="J135" s="26" t="str">
        <x:v>0.000157047263163285</x:v>
      </x:c>
      <x:c r="K135" s="26" t="str">
        <x:v>0.0001617306934208473</x:v>
      </x:c>
      <x:c r="L135" s="26" t="str">
        <x:v>0.0001606175536089036</x:v>
      </x:c>
      <x:c r="M135" s="49" t="str">
        <x:v>2022</x:v>
      </x:c>
    </x:row>
    <x:row r="136" ht="19" customHeight="1">
      <x:c r="A136" s="23" t="str">
        <x:v>FT-Q-V01-135</x:v>
      </x:c>
      <x:c r="B136" s="24" t="str">
        <x:v>crisis</x:v>
      </x:c>
      <x:c r="C136" s="25" t="str">
        <x:v>crisis_emergency</x:v>
      </x:c>
      <x:c r="D136" s="25" t="str">
        <x:v>BACKGROUND_AMBIGUOUS</x:v>
      </x:c>
      <x:c r="E136" s="26" t="str">
        <x:v>7.94996059028108e-06</x:v>
      </x:c>
      <x:c r="F136" s="26" t="str">
        <x:v>1.376144248865785e-05</x:v>
      </x:c>
      <x:c r="G136" s="26" t="str">
        <x:v>3.130539030934618e-05</x:v>
      </x:c>
      <x:c r="H136" s="26" t="str">
        <x:v>3.28408971757288e-05</x:v>
      </x:c>
      <x:c r="I136" s="26" t="str">
        <x:v>3.38174911674663e-05</x:v>
      </x:c>
      <x:c r="J136" s="26" t="str">
        <x:v>3.332919417159755e-05</x:v>
      </x:c>
      <x:c r="K136" s="26" t="str">
        <x:v>4.455437012765295e-05</x:v>
      </x:c>
      <x:c r="L136" s="26" t="str">
        <x:v>4.809110998900065e-05</x:v>
      </x:c>
      <x:c r="M136" s="49" t="str">
        <x:v>2022</x:v>
      </x:c>
    </x:row>
    <x:row r="137" ht="19" customHeight="1">
      <x:c r="A137" s="23" t="str">
        <x:v>FT-Q-V01-136</x:v>
      </x:c>
      <x:c r="B137" s="24" t="str">
        <x:v>emergency</x:v>
      </x:c>
      <x:c r="C137" s="25" t="str">
        <x:v>crisis_emergency</x:v>
      </x:c>
      <x:c r="D137" s="25" t="str">
        <x:v>BACKGROUND_AMBIGUOUS</x:v>
      </x:c>
      <x:c r="E137" s="26" t="str">
        <x:v>4.67909548618195e-06</x:v>
      </x:c>
      <x:c r="F137" s="26" t="str">
        <x:v>4.044305869846387e-05</x:v>
      </x:c>
      <x:c r="G137" s="26" t="str">
        <x:v>4.546920429717924e-05</x:v>
      </x:c>
      <x:c r="H137" s="26" t="str">
        <x:v>4.097540266245411e-05</x:v>
      </x:c>
      <x:c r="I137" s="26" t="str">
        <x:v>4.033688333133362e-05</x:v>
      </x:c>
      <x:c r="J137" s="26" t="str">
        <x:v>4.065614299689387e-05</x:v>
      </x:c>
      <x:c r="K137" s="26" t="str">
        <x:v>3.082039562257721e-05</x:v>
      </x:c>
      <x:c r="L137" s="26" t="str">
        <x:v>2.919771714124386e-05</x:v>
      </x:c>
      <x:c r="M137" s="49" t="str">
        <x:v>2022</x:v>
      </x:c>
    </x:row>
    <x:row r="138" ht="19" customHeight="1">
      <x:c r="A138" s="23" t="str">
        <x:v>FT-Q-V01-137</x:v>
      </x:c>
      <x:c r="B138" s="24" t="str">
        <x:v>mortality</x:v>
      </x:c>
      <x:c r="C138" s="25" t="str">
        <x:v>harm_loss_consequences</x:v>
      </x:c>
      <x:c r="D138" s="25" t="str">
        <x:v>BACKGROUND_AMBIGUOUS</x:v>
      </x:c>
      <x:c r="E138" s="26" t="str">
        <x:v>1.566694004395686e-05</x:v>
      </x:c>
      <x:c r="F138" s="26" t="str">
        <x:v>1.688718413106471e-05</x:v>
      </x:c>
      <x:c r="G138" s="26" t="str">
        <x:v>2.448060722329629e-05</x:v>
      </x:c>
      <x:c r="H138" s="26" t="str">
        <x:v>2.124850796292321e-05</x:v>
      </x:c>
      <x:c r="I138" s="26" t="str">
        <x:v>2.165015705683782e-05</x:v>
      </x:c>
      <x:c r="J138" s="26" t="str">
        <x:v>2.144933250988051e-05</x:v>
      </x:c>
      <x:c r="K138" s="26" t="str">
        <x:v>1.797212218355992e-05</x:v>
      </x:c>
      <x:c r="L138" s="26" t="str">
        <x:v>1.958383349346185e-05</x:v>
      </x:c>
      <x:c r="M138" s="49" t="str">
        <x:v>2022</x:v>
      </x:c>
    </x:row>
    <x:row r="139" ht="19" customHeight="1">
      <x:c r="A139" s="23" t="str">
        <x:v>FT-Q-V01-138</x:v>
      </x:c>
      <x:c r="B139" s="24" t="str">
        <x:v>heat of the irons</x:v>
      </x:c>
      <x:c r="C139" s="25" t="str">
        <x:v>heat</x:v>
      </x:c>
      <x:c r="D139" s="25" t="str">
        <x:v>CONTEXT_REQUIRED</x:v>
      </x:c>
      <x:c r="E139" s="26" t="str">
        <x:v>1.466886390133482e-09</x:v>
      </x:c>
      <x:c r="F139" s="26" t="str">
        <x:v>1.354462930702738e-10</x:v>
      </x:c>
      <x:c r="G139" s="26" t="str">
        <x:v>5.975666489410614e-11</x:v>
      </x:c>
      <x:c r="H139" s="26" t="str">
        <x:v>0</x:v>
      </x:c>
      <x:c r="I139" s="26" t="str">
        <x:v>0</x:v>
      </x:c>
      <x:c r="J139" s="26" t="str">
        <x:v>0</x:v>
      </x:c>
      <x:c r="K139" s="26" t="str">
        <x:v>1.075366740099781e-10</x:v>
      </x:c>
      <x:c r="L139" s="26" t="str">
        <x:v>1.016233625028562e-10</x:v>
      </x:c>
      <x:c r="M139" s="49" t="str">
        <x:v>2022</x:v>
      </x:c>
    </x:row>
    <x:row r="140" ht="19" customHeight="1">
      <x:c r="A140" s="23" t="str">
        <x:v>FT-Q-V01-139</x:v>
      </x:c>
      <x:c r="B140" s="24" t="str">
        <x:v>heat wave</x:v>
      </x:c>
      <x:c r="C140" s="25" t="str">
        <x:v>heat</x:v>
      </x:c>
      <x:c r="D140" s="25" t="str">
        <x:v>CLIMATE_SPECIFIC</x:v>
      </x:c>
      <x:c r="E140" s="26" t="str">
        <x:v>4.514918217068953e-09</x:v>
      </x:c>
      <x:c r="F140" s="26" t="str">
        <x:v>1.921166252749629e-07</x:v>
      </x:c>
      <x:c r="G140" s="26" t="str">
        <x:v>1.718059701449892e-07</x:v>
      </x:c>
      <x:c r="H140" s="26" t="str">
        <x:v>2.572474944173564e-07</x:v>
      </x:c>
      <x:c r="I140" s="26" t="str">
        <x:v>2.559551631371726e-07</x:v>
      </x:c>
      <x:c r="J140" s="26" t="str">
        <x:v>2.566013287772645e-07</x:v>
      </x:c>
      <x:c r="K140" s="26" t="str">
        <x:v>3.528359153667782e-07</x:v>
      </x:c>
      <x:c r="L140" s="26" t="str">
        <x:v>3.006541136052476e-07</x:v>
      </x:c>
      <x:c r="M140" s="49" t="str">
        <x:v>2022</x:v>
      </x:c>
    </x:row>
    <x:row r="141" ht="19" customHeight="1">
      <x:c r="A141" s="23" t="str">
        <x:v>FT-Q-V01-140</x:v>
      </x:c>
      <x:c r="B141" s="24" t="str">
        <x:v>grave threats</x:v>
      </x:c>
      <x:c r="C141" s="25" t="str">
        <x:v>danger_threat</x:v>
      </x:c>
      <x:c r="D141" s="25" t="str">
        <x:v>CONTEXT_REQUIRED</x:v>
      </x:c>
      <x:c r="E141" s="26" t="str">
        <x:v>0</x:v>
      </x:c>
      <x:c r="F141" s="26" t="str">
        <x:v>2.33881092270849e-09</x:v>
      </x:c>
      <x:c r="G141" s="26" t="str">
        <x:v>1.071011054148974e-08</x:v>
      </x:c>
      <x:c r="H141" s="26" t="str">
        <x:v>1.703080053025441e-08</x:v>
      </x:c>
      <x:c r="I141" s="26" t="str">
        <x:v>1.664090922698369e-08</x:v>
      </x:c>
      <x:c r="J141" s="26" t="str">
        <x:v>1.683585487861905e-08</x:v>
      </x:c>
      <x:c r="K141" s="26" t="str">
        <x:v>1.251621790238078e-08</x:v>
      </x:c>
      <x:c r="L141" s="26" t="str">
        <x:v>9.423090391313949e-09</x:v>
      </x:c>
      <x:c r="M141" s="49" t="str">
        <x:v>2022</x:v>
      </x:c>
    </x:row>
    <x:row r="142" ht="19" customHeight="1">
      <x:c r="A142" s="23" t="str">
        <x:v>FT-Q-V01-141</x:v>
      </x:c>
      <x:c r="B142" s="24" t="str">
        <x:v>Be Worried. Be Very Worried.</x:v>
      </x:c>
      <x:c r="C142" s="25" t="str">
        <x:v>worry</x:v>
      </x:c>
      <x:c r="D142" s="25" t="str">
        <x:v>CLIMATE_SPECIFIC</x:v>
      </x:c>
      <x:c r="E142" s="26" t="str"/>
      <x:c r="F142" s="26" t="str"/>
      <x:c r="G142" s="26" t="str"/>
      <x:c r="H142" s="26" t="str"/>
      <x:c r="I142" s="26" t="str"/>
      <x:c r="J142" s="26" t="str"/>
      <x:c r="K142" s="26" t="str"/>
      <x:c r="L142" s="26" t="str"/>
      <x:c r="M142" s="49" t="str">
        <x:v>2022</x:v>
      </x:c>
    </x:row>
    <x:row r="143" ht="19" customHeight="1">
      <x:c r="A143" s="23" t="str">
        <x:v>FT-Q-V01-142</x:v>
      </x:c>
      <x:c r="B143" s="24" t="str">
        <x:v>comprehensive risk assessment and management</x:v>
      </x:c>
      <x:c r="C143" s="25" t="str">
        <x:v>risk</x:v>
      </x:c>
      <x:c r="D143" s="25" t="str">
        <x:v>CONTEXT_REQUIRED</x:v>
      </x:c>
      <x:c r="E143" s="26" t="str">
        <x:v>0</x:v>
      </x:c>
      <x:c r="F143" s="26" t="str">
        <x:v>0</x:v>
      </x:c>
      <x:c r="G143" s="26" t="str">
        <x:v>1.303340213532067e-10</x:v>
      </x:c>
      <x:c r="H143" s="26" t="str">
        <x:v>1.746862099416546e-10</x:v>
      </x:c>
      <x:c r="I143" s="26" t="str">
        <x:v>1.707895214142496e-10</x:v>
      </x:c>
      <x:c r="J143" s="26" t="str">
        <x:v>1.727378656779521e-10</x:v>
      </x:c>
      <x:c r="K143" s="26" t="str">
        <x:v>2.879411986622671e-10</x:v>
      </x:c>
      <x:c r="L143" s="26" t="str">
        <x:v>7.611056784817549e-10</x:v>
      </x:c>
      <x:c r="M143" s="49" t="str">
        <x:v>2022</x:v>
      </x:c>
    </x:row>
    <x:row r="144" ht="19" customHeight="1">
      <x:c r="A144" s="28" t="str">
        <x:v>FT-Q-V01-143</x:v>
      </x:c>
      <x:c r="B144" s="29" t="str">
        <x:v>guilt</x:v>
      </x:c>
      <x:c r="C144" s="30" t="str">
        <x:v>distress_depression</x:v>
      </x:c>
      <x:c r="D144" s="30" t="str">
        <x:v>CONTEXT_REQUIRED</x:v>
      </x:c>
      <x:c r="E144" s="31" t="str">
        <x:v>1.865798427758136e-05</x:v>
      </x:c>
      <x:c r="F144" s="31" t="str">
        <x:v>3.496206829295412e-06</x:v>
      </x:c>
      <x:c r="G144" s="31" t="str">
        <x:v>8.151257723909566e-06</x:v>
      </x:c>
      <x:c r="H144" s="31" t="str">
        <x:v>1.063899859587991e-05</x:v>
      </x:c>
      <x:c r="I144" s="31" t="str">
        <x:v>1.129985992306265e-05</x:v>
      </x:c>
      <x:c r="J144" s="31" t="str">
        <x:v>1.096942925947128e-05</x:v>
      </x:c>
      <x:c r="K144" s="31" t="str">
        <x:v>1.744112144308474e-05</x:v>
      </x:c>
      <x:c r="L144" s="31" t="str">
        <x:v>1.681260062724732e-05</x:v>
      </x:c>
      <x:c r="M144" s="50" t="str">
        <x:v>2022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42" hidden="0" customWidth="1"/>
    <x:col min="4" max="4" width="15" hidden="0" customWidth="1"/>
    <x:col min="5" max="5" width="42" hidden="0" customWidth="1"/>
    <x:col min="6" max="6" width="42" hidden="0" customWidth="1"/>
    <x:col min="7" max="7" width="15" hidden="0" customWidth="1"/>
    <x:col min="8" max="8" width="18" hidden="0" customWidth="1"/>
    <x:col min="9" max="9" width="15" hidden="0" customWidth="1"/>
    <x:col min="10" max="10" width="42" hidden="0" customWidth="1"/>
    <x:col min="11" max="11" width="42" hidden="0" customWidth="1"/>
  </x:cols>
  <x:sheetData>
    <x:row r="1" ht="34" customHeight="1">
      <x:c r="A1" s="12" t="str">
        <x:v>family_id</x:v>
      </x:c>
      <x:c r="B1" s="12" t="str">
        <x:v>family_code</x:v>
      </x:c>
      <x:c r="C1" s="12" t="str">
        <x:v>members_queried</x:v>
      </x:c>
      <x:c r="D1" s="12" t="str">
        <x:v>query_rule_count</x:v>
      </x:c>
      <x:c r="E1" s="12" t="str">
        <x:v>members_successful</x:v>
      </x:c>
      <x:c r="F1" s="12" t="str">
        <x:v>members_sparse_or_zero</x:v>
      </x:c>
      <x:c r="G1" s="12" t="str">
        <x:v>earliest_observable_member</x:v>
      </x:c>
      <x:c r="H1" s="12" t="str">
        <x:v>representative_terms_by_peak_frequency</x:v>
      </x:c>
      <x:c r="I1" s="12" t="str">
        <x:v>member_peak_years</x:v>
      </x:c>
      <x:c r="J1" s="12" t="str">
        <x:v>anchor_period_notes</x:v>
      </x:c>
      <x:c r="K1" s="12" t="str">
        <x:v>semantic_comparability_warning</x:v>
      </x:c>
    </x:row>
    <x:row r="2" ht="19" customHeight="1">
      <x:c r="A2" s="18" t="str">
        <x:v>FT-F09</x:v>
      </x:c>
      <x:c r="B2" s="20" t="str">
        <x:v>anxiety</x:v>
      </x:c>
      <x:c r="C2" s="19" t="str">
        <x:v>anxious | symptoms of anxiety | climate anxiety | eco-anxiety | anxiety</x:v>
      </x:c>
      <x:c r="D2" s="20" t="str">
        <x:v>5</x:v>
      </x:c>
      <x:c r="E2" s="19" t="str">
        <x:v>5</x:v>
      </x:c>
      <x:c r="F2" s="19" t="str">
        <x:v>0</x:v>
      </x:c>
      <x:c r="G2" s="20" t="str">
        <x:v>anxiety (1842)</x:v>
      </x:c>
      <x:c r="H2" s="21" t="str">
        <x:v>anxious | anxiety | symptoms of anxiety</x:v>
      </x:c>
      <x:c r="I2" s="20" t="str">
        <x:v>anxious:1844 | symptoms of anxiety:2022 | climate anxiety:2022 | eco-anxiety:2022 | anxiety:2022</x:v>
      </x:c>
      <x:c r="J2" s="19" t="str">
        <x:v>Compare member trajectories and anchor values individually; no family total is computed.</x:v>
      </x:c>
      <x:c r="K2" s="22" t="str">
        <x:v>Semantic family is not a synonym set. Overlapping and differently scoped strings are never summed.</x:v>
      </x:c>
    </x:row>
    <x:row r="3" ht="19" customHeight="1">
      <x:c r="A3" s="23" t="str">
        <x:v>FT-F05</x:v>
      </x:c>
      <x:c r="B3" s="25" t="str">
        <x:v>carbon_greenhouse</x:v>
      </x:c>
      <x:c r="C3" s="24" t="str">
        <x:v>artificial production of carbon dioxide | carbon dioxide | fuel combustion | greenhouse effect | anthropogenic CO₂ | anthropogenic GHG emissions | greenhouse gas emissions</x:v>
      </x:c>
      <x:c r="D3" s="25" t="str">
        <x:v>7</x:v>
      </x:c>
      <x:c r="E3" s="24" t="str">
        <x:v>6</x:v>
      </x:c>
      <x:c r="F3" s="24" t="str">
        <x:v>0</x:v>
      </x:c>
      <x:c r="G3" s="25" t="str">
        <x:v>carbon dioxide (1842)</x:v>
      </x:c>
      <x:c r="H3" s="26" t="str">
        <x:v>carbon dioxide | greenhouse gas emissions | greenhouse effect</x:v>
      </x:c>
      <x:c r="I3" s="25" t="str">
        <x:v>artificial production of carbon dioxide:1938 | carbon dioxide:1965 | fuel combustion:1978 | greenhouse effect:1990 | anthropogenic GHG emissions:2022 | greenhouse gas emissions:2009</x:v>
      </x:c>
      <x:c r="J3" s="24" t="str">
        <x:v>Compare member trajectories and anchor values individually; no family total is computed.</x:v>
      </x:c>
      <x:c r="K3" s="27" t="str">
        <x:v>Semantic family is not a synonym set. Overlapping and differently scoped strings are never summed.</x:v>
      </x:c>
    </x:row>
    <x:row r="4" ht="19" customHeight="1">
      <x:c r="A4" s="23" t="str">
        <x:v>FT-F04</x:v>
      </x:c>
      <x:c r="B4" s="25" t="str">
        <x:v>climate</x:v>
      </x:c>
      <x:c r="C4" s="24" t="str">
        <x:v>meteorological observations | meteorological journal | weather | climate | air | atmosphere | radiation absorption coefficients | water vapour | sky radiation | meteorological stations | instrumental measurements | global climate models | global observations | changing atmosphere | unequivocal | climate change | costs and risks of climate change | impacts of climate change | threat of climate change | pre-industrial levels | adverse effects of climate change | climatic change | climate system</x:v>
      </x:c>
      <x:c r="D4" s="25" t="str">
        <x:v>25</x:v>
      </x:c>
      <x:c r="E4" s="24" t="str">
        <x:v>25</x:v>
      </x:c>
      <x:c r="F4" s="24" t="str">
        <x:v>0</x:v>
      </x:c>
      <x:c r="G4" s="25" t="str">
        <x:v>air (1842)</x:v>
      </x:c>
      <x:c r="H4" s="26" t="str">
        <x:v>air | climate | weather</x:v>
      </x:c>
      <x:c r="I4" s="25" t="str">
        <x:v>meteorological observations:1875 | meteorological journal:1842 | weather:1928 | climate:2022 | air:1944 | atmosphere:1965 | radiation absorption coefficients:1982 | water vapour:1960 | sky radiation:1964 | meteorological stations:1965 | instrumental measurements:1974 | global climate models:1994 | global observations:1984 | changing atmosphere:1989 | unequivocal:1844 | climate change:2022 | costs and risks of climate change:2009 | impacts of climate change:2022 | climate change:2022 | threat of climate change:2021 | pre-industrial levels:2022 | adverse effects of climate change:2021 | climate change:2022 | climatic change:1990 | climate system:2013</x:v>
      </x:c>
      <x:c r="J4" s="24" t="str">
        <x:v>Compare member trajectories and anchor values individually; no family total is computed.</x:v>
      </x:c>
      <x:c r="K4" s="27" t="str">
        <x:v>Semantic family is not a synonym set. Overlapping and differently scoped strings are never summed.</x:v>
      </x:c>
    </x:row>
    <x:row r="5" ht="19" customHeight="1">
      <x:c r="A5" s="23" t="str">
        <x:v>FT-F06</x:v>
      </x:c>
      <x:c r="B5" s="25" t="str">
        <x:v>concern_alarm</x:v>
      </x:c>
      <x:c r="C5" s="24" t="str">
        <x:v>rather a coincidence | hopeful | concern</x:v>
      </x:c>
      <x:c r="D5" s="25" t="str">
        <x:v>3</x:v>
      </x:c>
      <x:c r="E5" s="24" t="str">
        <x:v>3</x:v>
      </x:c>
      <x:c r="F5" s="24" t="str">
        <x:v>0</x:v>
      </x:c>
      <x:c r="G5" s="25" t="str">
        <x:v>concern (1842)</x:v>
      </x:c>
      <x:c r="H5" s="26" t="str">
        <x:v>concern | hopeful | rather a coincidence</x:v>
      </x:c>
      <x:c r="I5" s="25" t="str">
        <x:v>rather a coincidence:1934 | hopeful:1862 | concern:1980</x:v>
      </x:c>
      <x:c r="J5" s="24" t="str">
        <x:v>Compare member trajectories and anchor values individually; no family total is computed.</x:v>
      </x:c>
      <x:c r="K5" s="27" t="str">
        <x:v>Semantic family is not a synonym set. Overlapping and differently scoped strings are never summed.</x:v>
      </x:c>
    </x:row>
    <x:row r="6" ht="19" customHeight="1">
      <x:c r="A6" s="23" t="str">
        <x:v>FT-F13</x:v>
      </x:c>
      <x:c r="B6" s="25" t="str">
        <x:v>crisis_emergency</x:v>
      </x:c>
      <x:c r="C6" s="24" t="str">
        <x:v>emergency preparedness | climate crisis | climate emergency | crisis | emergency</x:v>
      </x:c>
      <x:c r="D6" s="25" t="str">
        <x:v>5</x:v>
      </x:c>
      <x:c r="E6" s="24" t="str">
        <x:v>5</x:v>
      </x:c>
      <x:c r="F6" s="24" t="str">
        <x:v>0</x:v>
      </x:c>
      <x:c r="G6" s="25" t="str">
        <x:v>crisis (1842)</x:v>
      </x:c>
      <x:c r="H6" s="26" t="str">
        <x:v>emergency | crisis | emergency preparedness</x:v>
      </x:c>
      <x:c r="I6" s="25" t="str">
        <x:v>emergency preparedness:1986 | climate crisis:2022 | climate emergency:2022 | crisis:2021 | emergency:1942</x:v>
      </x:c>
      <x:c r="J6" s="24" t="str">
        <x:v>Compare member trajectories and anchor values individually; no family total is computed.</x:v>
      </x:c>
      <x:c r="K6" s="27" t="str">
        <x:v>Semantic family is not a synonym set. Overlapping and differently scoped strings are never summed.</x:v>
      </x:c>
    </x:row>
    <x:row r="7" ht="19" customHeight="1">
      <x:c r="A7" s="23" t="str">
        <x:v>FT-F11</x:v>
      </x:c>
      <x:c r="B7" s="25" t="str">
        <x:v>danger_threat</x:v>
      </x:c>
      <x:c r="C7" s="24" t="str">
        <x:v>deadly glaciers | global security | major threat | serious global threat | danger | threat | grave threats</x:v>
      </x:c>
      <x:c r="D7" s="25" t="str">
        <x:v>7</x:v>
      </x:c>
      <x:c r="E7" s="24" t="str">
        <x:v>7</x:v>
      </x:c>
      <x:c r="F7" s="24" t="str">
        <x:v>0</x:v>
      </x:c>
      <x:c r="G7" s="25" t="str">
        <x:v>danger (1842)</x:v>
      </x:c>
      <x:c r="H7" s="26" t="str">
        <x:v>danger | threat | global security</x:v>
      </x:c>
      <x:c r="I7" s="25" t="str">
        <x:v>deadly glaciers:1845 | global security:2009 | major threat:2021 | serious global threat:2022 | danger:1848 | threat:2016 | grave threats:2008</x:v>
      </x:c>
      <x:c r="J7" s="24" t="str">
        <x:v>Compare member trajectories and anchor values individually; no family total is computed.</x:v>
      </x:c>
      <x:c r="K7" s="27" t="str">
        <x:v>Semantic family is not a synonym set. Overlapping and differently scoped strings are never summed.</x:v>
      </x:c>
    </x:row>
    <x:row r="8" ht="19" customHeight="1">
      <x:c r="A8" s="23" t="str">
        <x:v>FT-F10</x:v>
      </x:c>
      <x:c r="B8" s="25" t="str">
        <x:v>distress_depression</x:v>
      </x:c>
      <x:c r="C8" s="24" t="str">
        <x:v>hopeless | sad | angry | frustrated | disgusted | outraged | depressed | psychological distress | distress | powerlessness | guilt</x:v>
      </x:c>
      <x:c r="D8" s="25" t="str">
        <x:v>11</x:v>
      </x:c>
      <x:c r="E8" s="24" t="str">
        <x:v>11</x:v>
      </x:c>
      <x:c r="F8" s="24" t="str">
        <x:v>0</x:v>
      </x:c>
      <x:c r="G8" s="25" t="str">
        <x:v>angry (1842)</x:v>
      </x:c>
      <x:c r="H8" s="26" t="str">
        <x:v>angry | distress | sad</x:v>
      </x:c>
      <x:c r="I8" s="25" t="str">
        <x:v>hopeless:1848 | sad:1850 | angry:2020 | frustrated:2015 | disgusted:2020 | outraged:2014 | depressed:1843 | psychological distress:2022 | distress:1842 | powerlessness:2016 | guilt:1844</x:v>
      </x:c>
      <x:c r="J8" s="24" t="str">
        <x:v>Compare member trajectories and anchor values individually; no family total is computed.</x:v>
      </x:c>
      <x:c r="K8" s="27" t="str">
        <x:v>Semantic family is not a synonym set. Overlapping and differently scoped strings are never summed.</x:v>
      </x:c>
    </x:row>
    <x:row r="9" ht="19" customHeight="1">
      <x:c r="A9" s="23" t="str">
        <x:v>FT-F08</x:v>
      </x:c>
      <x:c r="B9" s="25" t="str">
        <x:v>fear_afraid</x:v>
      </x:c>
      <x:c r="C9" s="24" t="str">
        <x:v>afraid | fear</x:v>
      </x:c>
      <x:c r="D9" s="25" t="str">
        <x:v>2</x:v>
      </x:c>
      <x:c r="E9" s="24" t="str">
        <x:v>2</x:v>
      </x:c>
      <x:c r="F9" s="24" t="str">
        <x:v>0</x:v>
      </x:c>
      <x:c r="G9" s="25" t="str">
        <x:v>afraid (1842)</x:v>
      </x:c>
      <x:c r="H9" s="26" t="str">
        <x:v>fear | afraid</x:v>
      </x:c>
      <x:c r="I9" s="25" t="str">
        <x:v>afraid:2020 | fear:1850</x:v>
      </x:c>
      <x:c r="J9" s="24" t="str">
        <x:v>Compare member trajectories and anchor values individually; no family total is computed.</x:v>
      </x:c>
      <x:c r="K9" s="27" t="str">
        <x:v>Semantic family is not a synonym set. Overlapping and differently scoped strings are never summed.</x:v>
      </x:c>
    </x:row>
    <x:row r="10" ht="19" customHeight="1">
      <x:c r="A10" s="23" t="str">
        <x:v>FT-F14</x:v>
      </x:c>
      <x:c r="B10" s="25" t="str">
        <x:v>harm_loss_consequences</x:v>
      </x:c>
      <x:c r="C10" s="24" t="str">
        <x:v>cause-and-effect relationship | drought | extreme events | changed climatic extremes | harmful consequences | rising global average sea level | widespread melting of snow and ice | urgent global response | damage | hunger | water shortages | coastal flooding | worst impacts | adverse impacts | climate resilience | vulnerability | vulnerable groups | loss and damage | extreme weather events | slow onset events | early warning systems | irreversible and permanent loss and damage | mortality</x:v>
      </x:c>
      <x:c r="D10" s="25" t="str">
        <x:v>23</x:v>
      </x:c>
      <x:c r="E10" s="24" t="str">
        <x:v>22</x:v>
      </x:c>
      <x:c r="F10" s="24" t="str">
        <x:v>1</x:v>
      </x:c>
      <x:c r="G10" s="25" t="str">
        <x:v>damage (1842)</x:v>
      </x:c>
      <x:c r="H10" s="26" t="str">
        <x:v>damage | mortality | drought</x:v>
      </x:c>
      <x:c r="I10" s="25" t="str">
        <x:v>cause-and-effect relationship:2011 | drought:1934 | extreme events:2022 | harmful consequences:2022 | rising global average sea level:2008 | widespread melting of snow and ice:2008 | urgent global response:2007 | damage:1986 | hunger:2015 | water shortages:2009 | coastal flooding:2022 | worst impacts:2022 | adverse impacts:2008 | climate resilience:2022 | vulnerability:2021 | vulnerable groups:2022 | loss and damage:1947 | extreme weather events:2022 | slow onset events:2021 | early warning systems:2022 | irreversible and permanent loss and damage:2021 | mortality:1987</x:v>
      </x:c>
      <x:c r="J10" s="24" t="str">
        <x:v>Compare member trajectories and anchor values individually; no family total is computed.</x:v>
      </x:c>
      <x:c r="K10" s="27" t="str">
        <x:v>Semantic family is not a synonym set. Overlapping and differently scoped strings are never summed.</x:v>
      </x:c>
    </x:row>
    <x:row r="11" ht="19" customHeight="1">
      <x:c r="A11" s="23" t="str">
        <x:v>FT-F02</x:v>
      </x:c>
      <x:c r="B11" s="25" t="str">
        <x:v>heat</x:v>
      </x:c>
      <x:c r="C11" s="24" t="str">
        <x:v>sun's heat | radiation of the heat | excessive heat | heat of the men | Hottest Day for Ten Years | Heat Wave Over Queensland | regional heat waves | heat wave | heat wave/drought occurrences | heat | extreme heat | heat of the irons</x:v>
      </x:c>
      <x:c r="D11" s="25" t="str">
        <x:v>13</x:v>
      </x:c>
      <x:c r="E11" s="24" t="str">
        <x:v>9</x:v>
      </x:c>
      <x:c r="F11" s="24" t="str">
        <x:v>0</x:v>
      </x:c>
      <x:c r="G11" s="25" t="str">
        <x:v>excessive heat (1842)</x:v>
      </x:c>
      <x:c r="H11" s="26" t="str">
        <x:v>heat | excessive heat | extreme heat</x:v>
      </x:c>
      <x:c r="I11" s="25" t="str">
        <x:v>radiation of the heat:1850 | excessive heat:1842 | heat of the men:1864 | regional heat waves:1990 | heat wave:2020 | heat:1962 | extreme heat:1846 | heat of the irons:1843 | heat wave:2020</x:v>
      </x:c>
      <x:c r="J11" s="24" t="str">
        <x:v>Compare member trajectories and anchor values individually; no family total is computed.</x:v>
      </x:c>
      <x:c r="K11" s="27" t="str">
        <x:v>Semantic family is not a synonym set. Overlapping and differently scoped strings are never summed.</x:v>
      </x:c>
    </x:row>
    <x:row r="12" ht="19" customHeight="1">
      <x:c r="A12" s="23" t="str">
        <x:v>FT-F12</x:v>
      </x:c>
      <x:c r="B12" s="25" t="str">
        <x:v>risk</x:v>
      </x:c>
      <x:c r="C12" s="24" t="str">
        <x:v>risks and impacts | risk of loss and damage | risk | comprehensive risk assessment and management</x:v>
      </x:c>
      <x:c r="D12" s="25" t="str">
        <x:v>4</x:v>
      </x:c>
      <x:c r="E12" s="24" t="str">
        <x:v>4</x:v>
      </x:c>
      <x:c r="F12" s="24" t="str">
        <x:v>0</x:v>
      </x:c>
      <x:c r="G12" s="25" t="str">
        <x:v>risk (1842)</x:v>
      </x:c>
      <x:c r="H12" s="26" t="str">
        <x:v>risk | risks and impacts | risk of loss and damage</x:v>
      </x:c>
      <x:c r="I12" s="25" t="str">
        <x:v>risks and impacts:2022 | risk of loss and damage:1956 | risk:2018 | comprehensive risk assessment and management:2018</x:v>
      </x:c>
      <x:c r="J12" s="24" t="str">
        <x:v>Compare member trajectories and anchor values individually; no family total is computed.</x:v>
      </x:c>
      <x:c r="K12" s="27" t="str">
        <x:v>Semantic family is not a synonym set. Overlapping and differently scoped strings are never summed.</x:v>
      </x:c>
    </x:row>
    <x:row r="13" ht="19" customHeight="1">
      <x:c r="A13" s="23" t="str">
        <x:v>FT-F01</x:v>
      </x:c>
      <x:c r="B13" s="25" t="str">
        <x:v>temperature_threshold</x:v>
      </x:c>
      <x:c r="C13" s="24" t="str">
        <x:v>temperature | mean temperature | temperature of the air in shade | maximum temperature | minimum temperature | mean temperature of sea at surface | dew point | standard thermometer | attached thermometer | dry bulb thermometer | wet bulb thermometer | changes of temperature | increase in mean temperature | temperature observations | world temperatures | average rate | small increases in mean temperature | global temperature | warm air | global average air and ocean temperatures | global surface temperature | global average temperature | well below 2°C above pre-industrial levels | 1.5°C above pre-industrial levels</x:v>
      </x:c>
      <x:c r="D13" s="25" t="str">
        <x:v>25</x:v>
      </x:c>
      <x:c r="E13" s="24" t="str">
        <x:v>21</x:v>
      </x:c>
      <x:c r="F13" s="24" t="str">
        <x:v>0</x:v>
      </x:c>
      <x:c r="G13" s="25" t="str">
        <x:v>attached thermometer (1842)</x:v>
      </x:c>
      <x:c r="H13" s="26" t="str">
        <x:v>temperature | average rate | mean temperature</x:v>
      </x:c>
      <x:c r="I13" s="25" t="str">
        <x:v>temperature:1962 | mean temperature:1858 | temperature of the air in shade:1858 | maximum temperature:1958 | minimum temperature:1985 | dew point:1844 | standard thermometer:1875 | attached thermometer:1844 | dry bulb thermometer:1869 | wet bulb thermometer:1869 | changes of temperature:1884 | increase in mean temperature:1868 | mean temperature:1858 | temperature observations:1908 | world temperatures:2007 | average rate:1885 | global temperature:2022 | warm air:1916 | global average air and ocean temperatures:2010 | global surface temperature:2022 | global average temperature:2022</x:v>
      </x:c>
      <x:c r="J13" s="24" t="str">
        <x:v>Compare member trajectories and anchor values individually; no family total is computed.</x:v>
      </x:c>
      <x:c r="K13" s="27" t="str">
        <x:v>Semantic family is not a synonym set. Overlapping and differently scoped strings are never summed.</x:v>
      </x:c>
    </x:row>
    <x:row r="14" ht="19" customHeight="1">
      <x:c r="A14" s="23" t="str">
        <x:v>FT-F03</x:v>
      </x:c>
      <x:c r="B14" s="25" t="str">
        <x:v>warming</x:v>
      </x:c>
      <x:c r="C14" s="24" t="str">
        <x:v>actually increased | global warming | earth is warmer | climate warming | warming of the climate system | temperature increase</x:v>
      </x:c>
      <x:c r="D14" s="25" t="str">
        <x:v>8</x:v>
      </x:c>
      <x:c r="E14" s="24" t="str">
        <x:v>8</x:v>
      </x:c>
      <x:c r="F14" s="24" t="str">
        <x:v>0</x:v>
      </x:c>
      <x:c r="G14" s="25" t="str">
        <x:v>actually increased (1842)</x:v>
      </x:c>
      <x:c r="H14" s="26" t="str">
        <x:v>global warming | global warming | global warming</x:v>
      </x:c>
      <x:c r="I14" s="25" t="str">
        <x:v>actually increased:1933 | global warming:2009 | earth is warmer:1857 | climate warming:2022 | warming of the climate system:2008 | temperature increase:2012 | global warming:2009 | global warming:2009</x:v>
      </x:c>
      <x:c r="J14" s="24" t="str">
        <x:v>Compare member trajectories and anchor values individually; no family total is computed.</x:v>
      </x:c>
      <x:c r="K14" s="27" t="str">
        <x:v>Semantic family is not a synonym set. Overlapping and differently scoped strings are never summed.</x:v>
      </x:c>
    </x:row>
    <x:row r="15" ht="19" customHeight="1">
      <x:c r="A15" s="28" t="str">
        <x:v>FT-F07</x:v>
      </x:c>
      <x:c r="B15" s="30" t="str">
        <x:v>worry</x:v>
      </x:c>
      <x:c r="C15" s="29" t="str">
        <x:v>very worried | somewhat worried | worry | worried | Be Worried. Be Very Worried.</x:v>
      </x:c>
      <x:c r="D15" s="30" t="str">
        <x:v>5</x:v>
      </x:c>
      <x:c r="E15" s="29" t="str">
        <x:v>4</x:v>
      </x:c>
      <x:c r="F15" s="29" t="str">
        <x:v>0</x:v>
      </x:c>
      <x:c r="G15" s="30" t="str">
        <x:v>somewhat worried (1842)</x:v>
      </x:c>
      <x:c r="H15" s="31" t="str">
        <x:v>worry | worried | very worried</x:v>
      </x:c>
      <x:c r="I15" s="30" t="str">
        <x:v>very worried:2020 | somewhat worried:2020 | worry:2020 | worried:2020</x:v>
      </x:c>
      <x:c r="J15" s="29" t="str">
        <x:v>Compare member trajectories and anchor values individually; no family total is computed.</x:v>
      </x:c>
      <x:c r="K15" s="32" t="str">
        <x:v>Semantic family is not a synonym set. Overlapping and differently scoped strings are never summed.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  <x:col min="8" max="8" width="15" hidden="0" customWidth="1"/>
    <x:col min="9" max="9" width="42" hidden="0" customWidth="1"/>
    <x:col min="10" max="10" width="15" hidden="0" customWidth="1"/>
    <x:col min="11" max="11" width="15" hidden="0" customWidth="1"/>
  </x:cols>
  <x:sheetData>
    <x:row r="1" ht="34" customHeight="1">
      <x:c r="A1" s="12" t="str">
        <x:v>query_id</x:v>
      </x:c>
      <x:c r="B1" s="12" t="str">
        <x:v>anchor</x:v>
      </x:c>
      <x:c r="C1" s="12" t="str">
        <x:v>surface_form</x:v>
      </x:c>
      <x:c r="D1" s="12" t="str">
        <x:v>classification</x:v>
      </x:c>
      <x:c r="E1" s="12" t="str">
        <x:v>compatibility_status</x:v>
      </x:c>
      <x:c r="F1" s="12" t="str">
        <x:v>execution_eligible</x:v>
      </x:c>
      <x:c r="G1" s="12" t="str">
        <x:v>reason</x:v>
      </x:c>
      <x:c r="H1" s="12" t="str">
        <x:v>interpretation_class</x:v>
      </x:c>
      <x:c r="I1" s="12" t="str">
        <x:v>source_report</x:v>
      </x:c>
      <x:c r="J1" s="12" t="str">
        <x:v>source_page</x:v>
      </x:c>
      <x:c r="K1" s="12" t="str">
        <x:v>provenance_status</x:v>
      </x:c>
    </x:row>
    <x:row r="2" ht="19" customHeight="1">
      <x:c r="A2" s="18" t="str">
        <x:v>FT-Q-V01-001</x:v>
      </x:c>
      <x:c r="B2" s="20" t="str">
        <x:v>1842</x:v>
      </x:c>
      <x:c r="C2" s="19" t="str">
        <x:v>temperature</x:v>
      </x:c>
      <x:c r="D2" s="20" t="str">
        <x:v>BACKGROUND_AMBIGUOUS</x:v>
      </x:c>
      <x:c r="E2" s="20" t="str">
        <x:v>COMPATIBLE</x:v>
      </x:c>
      <x:c r="F2" s="20" t="str">
        <x:v>True</x:v>
      </x:c>
      <x:c r="G2" s="19" t="str">
        <x:v>Compatible exact string/phrase for unsmoothed public Ngram retrieval (current interface supports up to seven words).</x:v>
      </x:c>
      <x:c r="H2" s="20" t="str">
        <x:v>BACKGROUND_AMBIGUOUS</x:v>
      </x:c>
      <x:c r="I2" s="19" t="str">
        <x:v>Fear of Temperature_ Stratified Lexical Expansion, Voice Mapping, and Semantic-Relational Pre-Valida.pdf</x:v>
      </x:c>
      <x:c r="J2" s="20" t="str">
        <x:v>6</x:v>
      </x:c>
      <x:c r="K2" s="48" t="str">
        <x:v>RECONSTRUCTED_FROM_REPORT</x:v>
      </x:c>
    </x:row>
    <x:row r="3" ht="19" customHeight="1">
      <x:c r="A3" s="23" t="str">
        <x:v>FT-Q-V01-002</x:v>
      </x:c>
      <x:c r="B3" s="25" t="str">
        <x:v>1842</x:v>
      </x:c>
      <x:c r="C3" s="24" t="str">
        <x:v>mean temperature</x:v>
      </x:c>
      <x:c r="D3" s="25" t="str">
        <x:v>EXECUTABLE_NGRAM</x:v>
      </x:c>
      <x:c r="E3" s="25" t="str">
        <x:v>COMPATIBLE</x:v>
      </x:c>
      <x:c r="F3" s="25" t="str">
        <x:v>True</x:v>
      </x:c>
      <x:c r="G3" s="24" t="str">
        <x:v>Compatible exact string/phrase for unsmoothed public Ngram retrieval (current interface supports up to seven words).</x:v>
      </x:c>
      <x:c r="H3" s="25" t="str">
        <x:v>CONTEXT_REQUIRED</x:v>
      </x:c>
      <x:c r="I3" s="24" t="str">
        <x:v>Fear of Temperature_ Stratified Lexical Expansion, Voice Mapping, and Semantic-Relational Pre-Valida.pdf</x:v>
      </x:c>
      <x:c r="J3" s="25" t="str">
        <x:v>6</x:v>
      </x:c>
      <x:c r="K3" s="49" t="str">
        <x:v>RECONSTRUCTED_FROM_REPORT</x:v>
      </x:c>
    </x:row>
    <x:row r="4" ht="19" customHeight="1">
      <x:c r="A4" s="23" t="str">
        <x:v>FT-Q-V01-003</x:v>
      </x:c>
      <x:c r="B4" s="25" t="str">
        <x:v>1842</x:v>
      </x:c>
      <x:c r="C4" s="24" t="str">
        <x:v>temperature of the air in shade</x:v>
      </x:c>
      <x:c r="D4" s="25" t="str">
        <x:v>EXECUTABLE_NGRAM</x:v>
      </x:c>
      <x:c r="E4" s="25" t="str">
        <x:v>COMPATIBLE</x:v>
      </x:c>
      <x:c r="F4" s="25" t="str">
        <x:v>True</x:v>
      </x:c>
      <x:c r="G4" s="24" t="str">
        <x:v>Compatible exact string/phrase for unsmoothed public Ngram retrieval (current interface supports up to seven words).</x:v>
      </x:c>
      <x:c r="H4" s="25" t="str">
        <x:v>CONTEXT_REQUIRED</x:v>
      </x:c>
      <x:c r="I4" s="24" t="str">
        <x:v>Fear of Temperature_ Stratified Lexical Expansion, Voice Mapping, and Semantic-Relational Pre-Valida.pdf</x:v>
      </x:c>
      <x:c r="J4" s="25" t="str">
        <x:v>6</x:v>
      </x:c>
      <x:c r="K4" s="49" t="str">
        <x:v>RECONSTRUCTED_FROM_REPORT</x:v>
      </x:c>
    </x:row>
    <x:row r="5" ht="19" customHeight="1">
      <x:c r="A5" s="23" t="str">
        <x:v>FT-Q-V01-004</x:v>
      </x:c>
      <x:c r="B5" s="25" t="str">
        <x:v>1842</x:v>
      </x:c>
      <x:c r="C5" s="24" t="str">
        <x:v>maximum temperature</x:v>
      </x:c>
      <x:c r="D5" s="25" t="str">
        <x:v>EXECUTABLE_NGRAM</x:v>
      </x:c>
      <x:c r="E5" s="25" t="str">
        <x:v>COMPATIBLE</x:v>
      </x:c>
      <x:c r="F5" s="25" t="str">
        <x:v>True</x:v>
      </x:c>
      <x:c r="G5" s="24" t="str">
        <x:v>Compatible exact string/phrase for unsmoothed public Ngram retrieval (current interface supports up to seven words).</x:v>
      </x:c>
      <x:c r="H5" s="25" t="str">
        <x:v>CONTEXT_REQUIRED</x:v>
      </x:c>
      <x:c r="I5" s="24" t="str">
        <x:v>Fear of Temperature_ Stratified Lexical Expansion, Voice Mapping, and Semantic-Relational Pre-Valida.pdf</x:v>
      </x:c>
      <x:c r="J5" s="25" t="str">
        <x:v>6</x:v>
      </x:c>
      <x:c r="K5" s="49" t="str">
        <x:v>RECONSTRUCTED_FROM_REPORT</x:v>
      </x:c>
    </x:row>
    <x:row r="6" ht="19" customHeight="1">
      <x:c r="A6" s="23" t="str">
        <x:v>FT-Q-V01-005</x:v>
      </x:c>
      <x:c r="B6" s="25" t="str">
        <x:v>1842</x:v>
      </x:c>
      <x:c r="C6" s="24" t="str">
        <x:v>minimum temperature</x:v>
      </x:c>
      <x:c r="D6" s="25" t="str">
        <x:v>EXECUTABLE_NGRAM</x:v>
      </x:c>
      <x:c r="E6" s="25" t="str">
        <x:v>COMPATIBLE</x:v>
      </x:c>
      <x:c r="F6" s="25" t="str">
        <x:v>True</x:v>
      </x:c>
      <x:c r="G6" s="24" t="str">
        <x:v>Compatible exact string/phrase for unsmoothed public Ngram retrieval (current interface supports up to seven words).</x:v>
      </x:c>
      <x:c r="H6" s="25" t="str">
        <x:v>CONTEXT_REQUIRED</x:v>
      </x:c>
      <x:c r="I6" s="24" t="str">
        <x:v>Fear of Temperature_ Stratified Lexical Expansion, Voice Mapping, and Semantic-Relational Pre-Valida.pdf</x:v>
      </x:c>
      <x:c r="J6" s="25" t="str">
        <x:v>6</x:v>
      </x:c>
      <x:c r="K6" s="49" t="str">
        <x:v>RECONSTRUCTED_FROM_REPORT</x:v>
      </x:c>
    </x:row>
    <x:row r="7" ht="19" customHeight="1">
      <x:c r="A7" s="23" t="str">
        <x:v>FT-Q-V01-006</x:v>
      </x:c>
      <x:c r="B7" s="25" t="str">
        <x:v>1842</x:v>
      </x:c>
      <x:c r="C7" s="24" t="str">
        <x:v>mean temperature of sea at surface</x:v>
      </x:c>
      <x:c r="D7" s="25" t="str">
        <x:v>EXECUTABLE_NGRAM</x:v>
      </x:c>
      <x:c r="E7" s="25" t="str">
        <x:v>COMPATIBLE</x:v>
      </x:c>
      <x:c r="F7" s="25" t="str">
        <x:v>True</x:v>
      </x:c>
      <x:c r="G7" s="24" t="str">
        <x:v>Compatible exact string/phrase for unsmoothed public Ngram retrieval (current interface supports up to seven words).</x:v>
      </x:c>
      <x:c r="H7" s="25" t="str">
        <x:v>CONTEXT_REQUIRED</x:v>
      </x:c>
      <x:c r="I7" s="24" t="str">
        <x:v>Fear of Temperature_ Stratified Lexical Expansion, Voice Mapping, and Semantic-Relational Pre-Valida.pdf</x:v>
      </x:c>
      <x:c r="J7" s="25" t="str">
        <x:v>6</x:v>
      </x:c>
      <x:c r="K7" s="49" t="str">
        <x:v>RECONSTRUCTED_FROM_REPORT</x:v>
      </x:c>
    </x:row>
    <x:row r="8" ht="19" customHeight="1">
      <x:c r="A8" s="23" t="str">
        <x:v>FT-Q-V01-007</x:v>
      </x:c>
      <x:c r="B8" s="25" t="str">
        <x:v>1842</x:v>
      </x:c>
      <x:c r="C8" s="24" t="str">
        <x:v>dew point</x:v>
      </x:c>
      <x:c r="D8" s="25" t="str">
        <x:v>EXECUTABLE_NGRAM</x:v>
      </x:c>
      <x:c r="E8" s="25" t="str">
        <x:v>COMPATIBLE</x:v>
      </x:c>
      <x:c r="F8" s="25" t="str">
        <x:v>True</x:v>
      </x:c>
      <x:c r="G8" s="24" t="str">
        <x:v>Compatible exact string/phrase for unsmoothed public Ngram retrieval (current interface supports up to seven words).</x:v>
      </x:c>
      <x:c r="H8" s="25" t="str">
        <x:v>CONTEXT_REQUIRED</x:v>
      </x:c>
      <x:c r="I8" s="24" t="str">
        <x:v>Fear of Temperature_ Stratified Lexical Expansion, Voice Mapping, and Semantic-Relational Pre-Valida.pdf</x:v>
      </x:c>
      <x:c r="J8" s="25" t="str">
        <x:v>6</x:v>
      </x:c>
      <x:c r="K8" s="49" t="str">
        <x:v>RECONSTRUCTED_FROM_REPORT</x:v>
      </x:c>
    </x:row>
    <x:row r="9" ht="19" customHeight="1">
      <x:c r="A9" s="23" t="str">
        <x:v>FT-Q-V01-008</x:v>
      </x:c>
      <x:c r="B9" s="25" t="str">
        <x:v>1842</x:v>
      </x:c>
      <x:c r="C9" s="24" t="str">
        <x:v>standard thermometer</x:v>
      </x:c>
      <x:c r="D9" s="25" t="str">
        <x:v>EXECUTABLE_NGRAM</x:v>
      </x:c>
      <x:c r="E9" s="25" t="str">
        <x:v>COMPATIBLE</x:v>
      </x:c>
      <x:c r="F9" s="25" t="str">
        <x:v>True</x:v>
      </x:c>
      <x:c r="G9" s="24" t="str">
        <x:v>Compatible exact string/phrase for unsmoothed public Ngram retrieval (current interface supports up to seven words).</x:v>
      </x:c>
      <x:c r="H9" s="25" t="str">
        <x:v>CONTEXT_REQUIRED</x:v>
      </x:c>
      <x:c r="I9" s="24" t="str">
        <x:v>Fear of Temperature_ Stratified Lexical Expansion, Voice Mapping, and Semantic-Relational Pre-Valida.pdf</x:v>
      </x:c>
      <x:c r="J9" s="25" t="str">
        <x:v>7</x:v>
      </x:c>
      <x:c r="K9" s="49" t="str">
        <x:v>RECONSTRUCTED_FROM_REPORT</x:v>
      </x:c>
    </x:row>
    <x:row r="10" ht="19" customHeight="1">
      <x:c r="A10" s="23" t="str">
        <x:v>FT-Q-V01-009</x:v>
      </x:c>
      <x:c r="B10" s="25" t="str">
        <x:v>1842</x:v>
      </x:c>
      <x:c r="C10" s="24" t="str">
        <x:v>attached thermometer</x:v>
      </x:c>
      <x:c r="D10" s="25" t="str">
        <x:v>EXECUTABLE_NGRAM</x:v>
      </x:c>
      <x:c r="E10" s="25" t="str">
        <x:v>COMPATIBLE</x:v>
      </x:c>
      <x:c r="F10" s="25" t="str">
        <x:v>True</x:v>
      </x:c>
      <x:c r="G10" s="24" t="str">
        <x:v>Compatible exact string/phrase for unsmoothed public Ngram retrieval (current interface supports up to seven words).</x:v>
      </x:c>
      <x:c r="H10" s="25" t="str">
        <x:v>CONTEXT_REQUIRED</x:v>
      </x:c>
      <x:c r="I10" s="24" t="str">
        <x:v>Fear of Temperature_ Stratified Lexical Expansion, Voice Mapping, and Semantic-Relational Pre-Valida.pdf</x:v>
      </x:c>
      <x:c r="J10" s="25" t="str">
        <x:v>7</x:v>
      </x:c>
      <x:c r="K10" s="49" t="str">
        <x:v>RECONSTRUCTED_FROM_REPORT</x:v>
      </x:c>
    </x:row>
    <x:row r="11" ht="19" customHeight="1">
      <x:c r="A11" s="23" t="str">
        <x:v>FT-Q-V01-010</x:v>
      </x:c>
      <x:c r="B11" s="25" t="str">
        <x:v>1842</x:v>
      </x:c>
      <x:c r="C11" s="24" t="str">
        <x:v>dry bulb thermometer</x:v>
      </x:c>
      <x:c r="D11" s="25" t="str">
        <x:v>EXECUTABLE_NGRAM</x:v>
      </x:c>
      <x:c r="E11" s="25" t="str">
        <x:v>COMPATIBLE</x:v>
      </x:c>
      <x:c r="F11" s="25" t="str">
        <x:v>True</x:v>
      </x:c>
      <x:c r="G11" s="24" t="str">
        <x:v>Compatible exact string/phrase for unsmoothed public Ngram retrieval (current interface supports up to seven words).</x:v>
      </x:c>
      <x:c r="H11" s="25" t="str">
        <x:v>CONTEXT_REQUIRED</x:v>
      </x:c>
      <x:c r="I11" s="24" t="str">
        <x:v>Fear of Temperature_ Stratified Lexical Expansion, Voice Mapping, and Semantic-Relational Pre-Valida.pdf</x:v>
      </x:c>
      <x:c r="J11" s="25" t="str">
        <x:v>7</x:v>
      </x:c>
      <x:c r="K11" s="49" t="str">
        <x:v>RECONSTRUCTED_FROM_REPORT</x:v>
      </x:c>
    </x:row>
    <x:row r="12" ht="19" customHeight="1">
      <x:c r="A12" s="23" t="str">
        <x:v>FT-Q-V01-011</x:v>
      </x:c>
      <x:c r="B12" s="25" t="str">
        <x:v>1842</x:v>
      </x:c>
      <x:c r="C12" s="24" t="str">
        <x:v>wet bulb thermometer</x:v>
      </x:c>
      <x:c r="D12" s="25" t="str">
        <x:v>EXECUTABLE_NGRAM</x:v>
      </x:c>
      <x:c r="E12" s="25" t="str">
        <x:v>COMPATIBLE</x:v>
      </x:c>
      <x:c r="F12" s="25" t="str">
        <x:v>True</x:v>
      </x:c>
      <x:c r="G12" s="24" t="str">
        <x:v>Compatible exact string/phrase for unsmoothed public Ngram retrieval (current interface supports up to seven words).</x:v>
      </x:c>
      <x:c r="H12" s="25" t="str">
        <x:v>CONTEXT_REQUIRED</x:v>
      </x:c>
      <x:c r="I12" s="24" t="str">
        <x:v>Fear of Temperature_ Stratified Lexical Expansion, Voice Mapping, and Semantic-Relational Pre-Valida.pdf</x:v>
      </x:c>
      <x:c r="J12" s="25" t="str">
        <x:v>6</x:v>
      </x:c>
      <x:c r="K12" s="49" t="str">
        <x:v>RECONSTRUCTED_FROM_REPORT</x:v>
      </x:c>
    </x:row>
    <x:row r="13" ht="19" customHeight="1">
      <x:c r="A13" s="23" t="str">
        <x:v>FT-Q-V01-012</x:v>
      </x:c>
      <x:c r="B13" s="25" t="str">
        <x:v>1842</x:v>
      </x:c>
      <x:c r="C13" s="24" t="str">
        <x:v>meteorological observations</x:v>
      </x:c>
      <x:c r="D13" s="25" t="str">
        <x:v>EXECUTABLE_NGRAM</x:v>
      </x:c>
      <x:c r="E13" s="25" t="str">
        <x:v>COMPATIBLE</x:v>
      </x:c>
      <x:c r="F13" s="25" t="str">
        <x:v>True</x:v>
      </x:c>
      <x:c r="G13" s="24" t="str">
        <x:v>Compatible exact string/phrase for unsmoothed public Ngram retrieval (current interface supports up to seven words).</x:v>
      </x:c>
      <x:c r="H13" s="25" t="str">
        <x:v>CONTEXT_REQUIRED</x:v>
      </x:c>
      <x:c r="I13" s="24" t="str">
        <x:v>Fear of Temperature_ Stratified Lexical Expansion, Voice Mapping, and Semantic-Relational Pre-Valida.pdf</x:v>
      </x:c>
      <x:c r="J13" s="25" t="str">
        <x:v>6</x:v>
      </x:c>
      <x:c r="K13" s="49" t="str">
        <x:v>RECONSTRUCTED_FROM_REPORT</x:v>
      </x:c>
    </x:row>
    <x:row r="14" ht="19" customHeight="1">
      <x:c r="A14" s="23" t="str">
        <x:v>FT-Q-V01-013</x:v>
      </x:c>
      <x:c r="B14" s="25" t="str">
        <x:v>1842</x:v>
      </x:c>
      <x:c r="C14" s="24" t="str">
        <x:v>meteorological journal</x:v>
      </x:c>
      <x:c r="D14" s="25" t="str">
        <x:v>EXECUTABLE_NGRAM</x:v>
      </x:c>
      <x:c r="E14" s="25" t="str">
        <x:v>COMPATIBLE</x:v>
      </x:c>
      <x:c r="F14" s="25" t="str">
        <x:v>True</x:v>
      </x:c>
      <x:c r="G14" s="24" t="str">
        <x:v>Compatible exact string/phrase for unsmoothed public Ngram retrieval (current interface supports up to seven words).</x:v>
      </x:c>
      <x:c r="H14" s="25" t="str">
        <x:v>CONTEXT_REQUIRED</x:v>
      </x:c>
      <x:c r="I14" s="24" t="str">
        <x:v>Fear of Temperature_ Stratified Lexical Expansion, Voice Mapping, and Semantic-Relational Pre-Valida.pdf</x:v>
      </x:c>
      <x:c r="J14" s="25" t="str">
        <x:v>6</x:v>
      </x:c>
      <x:c r="K14" s="49" t="str">
        <x:v>RECONSTRUCTED_FROM_REPORT</x:v>
      </x:c>
    </x:row>
    <x:row r="15" ht="19" customHeight="1">
      <x:c r="A15" s="23" t="str">
        <x:v>FT-Q-V01-014</x:v>
      </x:c>
      <x:c r="B15" s="25" t="str">
        <x:v>1842</x:v>
      </x:c>
      <x:c r="C15" s="24" t="str">
        <x:v>weather</x:v>
      </x:c>
      <x:c r="D15" s="25" t="str">
        <x:v>BACKGROUND_AMBIGUOUS</x:v>
      </x:c>
      <x:c r="E15" s="25" t="str">
        <x:v>COMPATIBLE</x:v>
      </x:c>
      <x:c r="F15" s="25" t="str">
        <x:v>True</x:v>
      </x:c>
      <x:c r="G15" s="24" t="str">
        <x:v>Compatible exact string/phrase for unsmoothed public Ngram retrieval (current interface supports up to seven words).</x:v>
      </x:c>
      <x:c r="H15" s="25" t="str">
        <x:v>BACKGROUND_AMBIGUOUS</x:v>
      </x:c>
      <x:c r="I15" s="24" t="str">
        <x:v>Fear of Temperature_ Stratified Lexical Expansion, Voice Mapping, and Semantic-Relational Pre-Valida.pdf</x:v>
      </x:c>
      <x:c r="J15" s="25" t="str">
        <x:v>6</x:v>
      </x:c>
      <x:c r="K15" s="49" t="str">
        <x:v>RECONSTRUCTED_FROM_REPORT</x:v>
      </x:c>
    </x:row>
    <x:row r="16" ht="19" customHeight="1">
      <x:c r="A16" s="23" t="str">
        <x:v>FT-Q-V01-015</x:v>
      </x:c>
      <x:c r="B16" s="25" t="str">
        <x:v>1842</x:v>
      </x:c>
      <x:c r="C16" s="24" t="str">
        <x:v>climate</x:v>
      </x:c>
      <x:c r="D16" s="25" t="str">
        <x:v>BACKGROUND_AMBIGUOUS</x:v>
      </x:c>
      <x:c r="E16" s="25" t="str">
        <x:v>COMPATIBLE</x:v>
      </x:c>
      <x:c r="F16" s="25" t="str">
        <x:v>True</x:v>
      </x:c>
      <x:c r="G16" s="24" t="str">
        <x:v>Compatible exact string/phrase for unsmoothed public Ngram retrieval (current interface supports up to seven words).</x:v>
      </x:c>
      <x:c r="H16" s="25" t="str">
        <x:v>BACKGROUND_AMBIGUOUS</x:v>
      </x:c>
      <x:c r="I16" s="24" t="str">
        <x:v>Fear of Temperature_ Stratified Lexical Expansion, Voice Mapping, and Semantic-Relational Pre-Valida.pdf</x:v>
      </x:c>
      <x:c r="J16" s="25" t="str">
        <x:v>6</x:v>
      </x:c>
      <x:c r="K16" s="49" t="str">
        <x:v>RECONSTRUCTED_FROM_REPORT</x:v>
      </x:c>
    </x:row>
    <x:row r="17" ht="19" customHeight="1">
      <x:c r="A17" s="23" t="str">
        <x:v>FT-Q-V01-016</x:v>
      </x:c>
      <x:c r="B17" s="25" t="str">
        <x:v>1842</x:v>
      </x:c>
      <x:c r="C17" s="24" t="str">
        <x:v>sun's heat</x:v>
      </x:c>
      <x:c r="D17" s="25" t="str">
        <x:v>EXECUTABLE_NGRAM</x:v>
      </x:c>
      <x:c r="E17" s="25" t="str">
        <x:v>COMPATIBLE</x:v>
      </x:c>
      <x:c r="F17" s="25" t="str">
        <x:v>True</x:v>
      </x:c>
      <x:c r="G17" s="24" t="str">
        <x:v>Compatible exact string/phrase for unsmoothed public Ngram retrieval (current interface supports up to seven words).</x:v>
      </x:c>
      <x:c r="H17" s="25" t="str">
        <x:v>CONTEXT_REQUIRED</x:v>
      </x:c>
      <x:c r="I17" s="24" t="str">
        <x:v>Fear of Temperature_ Stratified Lexical Expansion, Voice Mapping, and Semantic-Relational Pre-Valida.pdf</x:v>
      </x:c>
      <x:c r="J17" s="25" t="str">
        <x:v>6</x:v>
      </x:c>
      <x:c r="K17" s="49" t="str">
        <x:v>RECONSTRUCTED_FROM_REPORT</x:v>
      </x:c>
    </x:row>
    <x:row r="18" ht="19" customHeight="1">
      <x:c r="A18" s="23" t="str">
        <x:v>FT-Q-V01-017</x:v>
      </x:c>
      <x:c r="B18" s="25" t="str">
        <x:v>1842</x:v>
      </x:c>
      <x:c r="C18" s="24" t="str">
        <x:v>radiation of the heat</x:v>
      </x:c>
      <x:c r="D18" s="25" t="str">
        <x:v>EXECUTABLE_NGRAM</x:v>
      </x:c>
      <x:c r="E18" s="25" t="str">
        <x:v>COMPATIBLE</x:v>
      </x:c>
      <x:c r="F18" s="25" t="str">
        <x:v>True</x:v>
      </x:c>
      <x:c r="G18" s="24" t="str">
        <x:v>Compatible exact string/phrase for unsmoothed public Ngram retrieval (current interface supports up to seven words).</x:v>
      </x:c>
      <x:c r="H18" s="25" t="str">
        <x:v>CONTEXT_REQUIRED</x:v>
      </x:c>
      <x:c r="I18" s="24" t="str">
        <x:v>Fear of Temperature_ Stratified Lexical Expansion, Voice Mapping, and Semantic-Relational Pre-Valida.pdf</x:v>
      </x:c>
      <x:c r="J18" s="25" t="str">
        <x:v>6</x:v>
      </x:c>
      <x:c r="K18" s="49" t="str">
        <x:v>RECONSTRUCTED_FROM_REPORT</x:v>
      </x:c>
    </x:row>
    <x:row r="19" ht="19" customHeight="1">
      <x:c r="A19" s="23" t="str">
        <x:v>FT-Q-V01-018</x:v>
      </x:c>
      <x:c r="B19" s="25" t="str">
        <x:v>1842</x:v>
      </x:c>
      <x:c r="C19" s="24" t="str">
        <x:v>changes of temperature</x:v>
      </x:c>
      <x:c r="D19" s="25" t="str">
        <x:v>EXECUTABLE_NGRAM</x:v>
      </x:c>
      <x:c r="E19" s="25" t="str">
        <x:v>COMPATIBLE</x:v>
      </x:c>
      <x:c r="F19" s="25" t="str">
        <x:v>True</x:v>
      </x:c>
      <x:c r="G19" s="24" t="str">
        <x:v>Compatible exact string/phrase for unsmoothed public Ngram retrieval (current interface supports up to seven words).</x:v>
      </x:c>
      <x:c r="H19" s="25" t="str">
        <x:v>CONTEXT_REQUIRED</x:v>
      </x:c>
      <x:c r="I19" s="24" t="str">
        <x:v>Fear of Temperature_ Stratified Lexical Expansion, Voice Mapping, and Semantic-Relational Pre-Valida.pdf</x:v>
      </x:c>
      <x:c r="J19" s="25" t="str">
        <x:v>7</x:v>
      </x:c>
      <x:c r="K19" s="49" t="str">
        <x:v>RECONSTRUCTED_FROM_REPORT</x:v>
      </x:c>
    </x:row>
    <x:row r="20" ht="19" customHeight="1">
      <x:c r="A20" s="23" t="str">
        <x:v>FT-Q-V01-019</x:v>
      </x:c>
      <x:c r="B20" s="25" t="str">
        <x:v>1842</x:v>
      </x:c>
      <x:c r="C20" s="24" t="str">
        <x:v>excessive heat</x:v>
      </x:c>
      <x:c r="D20" s="25" t="str">
        <x:v>EXECUTABLE_NGRAM</x:v>
      </x:c>
      <x:c r="E20" s="25" t="str">
        <x:v>COMPATIBLE</x:v>
      </x:c>
      <x:c r="F20" s="25" t="str">
        <x:v>True</x:v>
      </x:c>
      <x:c r="G20" s="24" t="str">
        <x:v>Compatible exact string/phrase for unsmoothed public Ngram retrieval (current interface supports up to seven words).</x:v>
      </x:c>
      <x:c r="H20" s="25" t="str">
        <x:v>CONTEXT_REQUIRED</x:v>
      </x:c>
      <x:c r="I20" s="24" t="str">
        <x:v>Fear of Temperature_ Stratified Lexical Expansion, Voice Mapping, and Semantic-Relational Pre-Valida.pdf</x:v>
      </x:c>
      <x:c r="J20" s="25" t="str">
        <x:v>7</x:v>
      </x:c>
      <x:c r="K20" s="49" t="str">
        <x:v>RECONSTRUCTED_FROM_REPORT</x:v>
      </x:c>
    </x:row>
    <x:row r="21" ht="19" customHeight="1">
      <x:c r="A21" s="23" t="str">
        <x:v>FT-Q-V01-020</x:v>
      </x:c>
      <x:c r="B21" s="25" t="str">
        <x:v>1842</x:v>
      </x:c>
      <x:c r="C21" s="24" t="str">
        <x:v>heat of the men</x:v>
      </x:c>
      <x:c r="D21" s="25" t="str">
        <x:v>EXECUTABLE_NGRAM</x:v>
      </x:c>
      <x:c r="E21" s="25" t="str">
        <x:v>COMPATIBLE</x:v>
      </x:c>
      <x:c r="F21" s="25" t="str">
        <x:v>True</x:v>
      </x:c>
      <x:c r="G21" s="24" t="str">
        <x:v>Compatible exact string/phrase for unsmoothed public Ngram retrieval (current interface supports up to seven words).</x:v>
      </x:c>
      <x:c r="H21" s="25" t="str">
        <x:v>CONTEXT_REQUIRED</x:v>
      </x:c>
      <x:c r="I21" s="24" t="str">
        <x:v>Fear of Temperature_ Stratified Lexical Expansion, Voice Mapping, and Semantic-Relational Pre-Valida.pdf</x:v>
      </x:c>
      <x:c r="J21" s="25" t="str">
        <x:v>7</x:v>
      </x:c>
      <x:c r="K21" s="49" t="str">
        <x:v>RECONSTRUCTED_FROM_REPORT</x:v>
      </x:c>
    </x:row>
    <x:row r="22" ht="19" customHeight="1">
      <x:c r="A22" s="23" t="str">
        <x:v>FT-Q-V01-021</x:v>
      </x:c>
      <x:c r="B22" s="25" t="str">
        <x:v>1938</x:v>
      </x:c>
      <x:c r="C22" s="24" t="str">
        <x:v>artificial production of carbon dioxide</x:v>
      </x:c>
      <x:c r="D22" s="25" t="str">
        <x:v>EXECUTABLE_NGRAM</x:v>
      </x:c>
      <x:c r="E22" s="25" t="str">
        <x:v>COMPATIBLE</x:v>
      </x:c>
      <x:c r="F22" s="25" t="str">
        <x:v>True</x:v>
      </x:c>
      <x:c r="G22" s="24" t="str">
        <x:v>Compatible exact string/phrase for unsmoothed public Ngram retrieval (current interface supports up to seven words).</x:v>
      </x:c>
      <x:c r="H22" s="25" t="str">
        <x:v>CONTEXT_REQUIRED</x:v>
      </x:c>
      <x:c r="I22" s="24" t="str">
        <x:v>Fear of Temperature_ Stratified Lexical Expansion, Voice Mapping, and Semantic-Relational Pre-Valida.pdf</x:v>
      </x:c>
      <x:c r="J22" s="25" t="str">
        <x:v>7</x:v>
      </x:c>
      <x:c r="K22" s="49" t="str">
        <x:v>RECONSTRUCTED_FROM_REPORT</x:v>
      </x:c>
    </x:row>
    <x:row r="23" ht="19" customHeight="1">
      <x:c r="A23" s="23" t="str">
        <x:v>FT-Q-V01-022</x:v>
      </x:c>
      <x:c r="B23" s="25" t="str">
        <x:v>1938</x:v>
      </x:c>
      <x:c r="C23" s="24" t="str">
        <x:v>carbon dioxide</x:v>
      </x:c>
      <x:c r="D23" s="25" t="str">
        <x:v>EXECUTABLE_NGRAM</x:v>
      </x:c>
      <x:c r="E23" s="25" t="str">
        <x:v>COMPATIBLE</x:v>
      </x:c>
      <x:c r="F23" s="25" t="str">
        <x:v>True</x:v>
      </x:c>
      <x:c r="G23" s="24" t="str">
        <x:v>Compatible exact string/phrase for unsmoothed public Ngram retrieval (current interface supports up to seven words).</x:v>
      </x:c>
      <x:c r="H23" s="25" t="str">
        <x:v>CONTEXT_REQUIRED</x:v>
      </x:c>
      <x:c r="I23" s="24" t="str">
        <x:v>Fear of Temperature_ Stratified Lexical Expansion, Voice Mapping, and Semantic-Relational Pre-Valida.pdf</x:v>
      </x:c>
      <x:c r="J23" s="25" t="str">
        <x:v>7</x:v>
      </x:c>
      <x:c r="K23" s="49" t="str">
        <x:v>RECONSTRUCTED_FROM_REPORT</x:v>
      </x:c>
    </x:row>
    <x:row r="24" ht="19" customHeight="1">
      <x:c r="A24" s="23" t="str">
        <x:v>FT-Q-V01-023</x:v>
      </x:c>
      <x:c r="B24" s="25" t="str">
        <x:v>1938</x:v>
      </x:c>
      <x:c r="C24" s="24" t="str">
        <x:v>fuel combustion</x:v>
      </x:c>
      <x:c r="D24" s="25" t="str">
        <x:v>EXECUTABLE_NGRAM</x:v>
      </x:c>
      <x:c r="E24" s="25" t="str">
        <x:v>COMPATIBLE</x:v>
      </x:c>
      <x:c r="F24" s="25" t="str">
        <x:v>True</x:v>
      </x:c>
      <x:c r="G24" s="24" t="str">
        <x:v>Compatible exact string/phrase for unsmoothed public Ngram retrieval (current interface supports up to seven words).</x:v>
      </x:c>
      <x:c r="H24" s="25" t="str">
        <x:v>CONTEXT_REQUIRED</x:v>
      </x:c>
      <x:c r="I24" s="24" t="str">
        <x:v>Fear of Temperature_ Stratified Lexical Expansion, Voice Mapping, and Semantic-Relational Pre-Valida.pdf</x:v>
      </x:c>
      <x:c r="J24" s="25" t="str">
        <x:v>8</x:v>
      </x:c>
      <x:c r="K24" s="49" t="str">
        <x:v>RECONSTRUCTED_FROM_REPORT</x:v>
      </x:c>
    </x:row>
    <x:row r="25" ht="19" customHeight="1">
      <x:c r="A25" s="23" t="str">
        <x:v>FT-Q-V01-024</x:v>
      </x:c>
      <x:c r="B25" s="25" t="str">
        <x:v>1938</x:v>
      </x:c>
      <x:c r="C25" s="24" t="str">
        <x:v>air</x:v>
      </x:c>
      <x:c r="D25" s="25" t="str">
        <x:v>BACKGROUND_AMBIGUOUS</x:v>
      </x:c>
      <x:c r="E25" s="25" t="str">
        <x:v>COMPATIBLE</x:v>
      </x:c>
      <x:c r="F25" s="25" t="str">
        <x:v>True</x:v>
      </x:c>
      <x:c r="G25" s="24" t="str">
        <x:v>Compatible exact string/phrase for unsmoothed public Ngram retrieval (current interface supports up to seven words).</x:v>
      </x:c>
      <x:c r="H25" s="25" t="str">
        <x:v>BACKGROUND_AMBIGUOUS</x:v>
      </x:c>
      <x:c r="I25" s="24" t="str">
        <x:v>Fear of Temperature_ Stratified Lexical Expansion, Voice Mapping, and Semantic-Relational Pre-Valida.pdf</x:v>
      </x:c>
      <x:c r="J25" s="25" t="str">
        <x:v>8</x:v>
      </x:c>
      <x:c r="K25" s="49" t="str">
        <x:v>RECONSTRUCTED_FROM_REPORT</x:v>
      </x:c>
    </x:row>
    <x:row r="26" ht="19" customHeight="1">
      <x:c r="A26" s="23" t="str">
        <x:v>FT-Q-V01-025</x:v>
      </x:c>
      <x:c r="B26" s="25" t="str">
        <x:v>1938</x:v>
      </x:c>
      <x:c r="C26" s="24" t="str">
        <x:v>atmosphere</x:v>
      </x:c>
      <x:c r="D26" s="25" t="str">
        <x:v>BACKGROUND_AMBIGUOUS</x:v>
      </x:c>
      <x:c r="E26" s="25" t="str">
        <x:v>COMPATIBLE</x:v>
      </x:c>
      <x:c r="F26" s="25" t="str">
        <x:v>True</x:v>
      </x:c>
      <x:c r="G26" s="24" t="str">
        <x:v>Compatible exact string/phrase for unsmoothed public Ngram retrieval (current interface supports up to seven words).</x:v>
      </x:c>
      <x:c r="H26" s="25" t="str">
        <x:v>BACKGROUND_AMBIGUOUS</x:v>
      </x:c>
      <x:c r="I26" s="24" t="str">
        <x:v>Fear of Temperature_ Stratified Lexical Expansion, Voice Mapping, and Semantic-Relational Pre-Valida.pdf</x:v>
      </x:c>
      <x:c r="J26" s="25" t="str">
        <x:v>8</x:v>
      </x:c>
      <x:c r="K26" s="49" t="str">
        <x:v>RECONSTRUCTED_FROM_REPORT</x:v>
      </x:c>
    </x:row>
    <x:row r="27" ht="19" customHeight="1">
      <x:c r="A27" s="23" t="str">
        <x:v>FT-Q-V01-026</x:v>
      </x:c>
      <x:c r="B27" s="25" t="str">
        <x:v>1938</x:v>
      </x:c>
      <x:c r="C27" s="24" t="str">
        <x:v>radiation absorption coefficients</x:v>
      </x:c>
      <x:c r="D27" s="25" t="str">
        <x:v>EXECUTABLE_NGRAM</x:v>
      </x:c>
      <x:c r="E27" s="25" t="str">
        <x:v>COMPATIBLE</x:v>
      </x:c>
      <x:c r="F27" s="25" t="str">
        <x:v>True</x:v>
      </x:c>
      <x:c r="G27" s="24" t="str">
        <x:v>Compatible exact string/phrase for unsmoothed public Ngram retrieval (current interface supports up to seven words).</x:v>
      </x:c>
      <x:c r="H27" s="25" t="str">
        <x:v>CONTEXT_REQUIRED</x:v>
      </x:c>
      <x:c r="I27" s="24" t="str">
        <x:v>Fear of Temperature_ Stratified Lexical Expansion, Voice Mapping, and Semantic-Relational Pre-Valida.pdf</x:v>
      </x:c>
      <x:c r="J27" s="25" t="str">
        <x:v>8</x:v>
      </x:c>
      <x:c r="K27" s="49" t="str">
        <x:v>RECONSTRUCTED_FROM_REPORT</x:v>
      </x:c>
    </x:row>
    <x:row r="28" ht="19" customHeight="1">
      <x:c r="A28" s="23" t="str">
        <x:v>FT-Q-V01-027</x:v>
      </x:c>
      <x:c r="B28" s="25" t="str">
        <x:v>1938</x:v>
      </x:c>
      <x:c r="C28" s="24" t="str">
        <x:v>water vapour</x:v>
      </x:c>
      <x:c r="D28" s="25" t="str">
        <x:v>EXECUTABLE_NGRAM</x:v>
      </x:c>
      <x:c r="E28" s="25" t="str">
        <x:v>COMPATIBLE</x:v>
      </x:c>
      <x:c r="F28" s="25" t="str">
        <x:v>True</x:v>
      </x:c>
      <x:c r="G28" s="24" t="str">
        <x:v>Compatible exact string/phrase for unsmoothed public Ngram retrieval (current interface supports up to seven words).</x:v>
      </x:c>
      <x:c r="H28" s="25" t="str">
        <x:v>CONTEXT_REQUIRED</x:v>
      </x:c>
      <x:c r="I28" s="24" t="str">
        <x:v>Fear of Temperature_ Stratified Lexical Expansion, Voice Mapping, and Semantic-Relational Pre-Valida.pdf</x:v>
      </x:c>
      <x:c r="J28" s="25" t="str">
        <x:v>8</x:v>
      </x:c>
      <x:c r="K28" s="49" t="str">
        <x:v>RECONSTRUCTED_FROM_REPORT</x:v>
      </x:c>
    </x:row>
    <x:row r="29" ht="19" customHeight="1">
      <x:c r="A29" s="23" t="str">
        <x:v>FT-Q-V01-028</x:v>
      </x:c>
      <x:c r="B29" s="25" t="str">
        <x:v>1938</x:v>
      </x:c>
      <x:c r="C29" s="24" t="str">
        <x:v>sky radiation</x:v>
      </x:c>
      <x:c r="D29" s="25" t="str">
        <x:v>EXECUTABLE_NGRAM</x:v>
      </x:c>
      <x:c r="E29" s="25" t="str">
        <x:v>COMPATIBLE</x:v>
      </x:c>
      <x:c r="F29" s="25" t="str">
        <x:v>True</x:v>
      </x:c>
      <x:c r="G29" s="24" t="str">
        <x:v>Compatible exact string/phrase for unsmoothed public Ngram retrieval (current interface supports up to seven words).</x:v>
      </x:c>
      <x:c r="H29" s="25" t="str">
        <x:v>CONTEXT_REQUIRED</x:v>
      </x:c>
      <x:c r="I29" s="24" t="str">
        <x:v>Fear of Temperature_ Stratified Lexical Expansion, Voice Mapping, and Semantic-Relational Pre-Valida.pdf</x:v>
      </x:c>
      <x:c r="J29" s="25" t="str">
        <x:v>8</x:v>
      </x:c>
      <x:c r="K29" s="49" t="str">
        <x:v>RECONSTRUCTED_FROM_REPORT</x:v>
      </x:c>
    </x:row>
    <x:row r="30" ht="19" customHeight="1">
      <x:c r="A30" s="23" t="str">
        <x:v>FT-Q-V01-029</x:v>
      </x:c>
      <x:c r="B30" s="25" t="str">
        <x:v>1938</x:v>
      </x:c>
      <x:c r="C30" s="24" t="str">
        <x:v>increase in mean temperature</x:v>
      </x:c>
      <x:c r="D30" s="25" t="str">
        <x:v>EXECUTABLE_NGRAM</x:v>
      </x:c>
      <x:c r="E30" s="25" t="str">
        <x:v>COMPATIBLE</x:v>
      </x:c>
      <x:c r="F30" s="25" t="str">
        <x:v>True</x:v>
      </x:c>
      <x:c r="G30" s="24" t="str">
        <x:v>Compatible exact string/phrase for unsmoothed public Ngram retrieval (current interface supports up to seven words).</x:v>
      </x:c>
      <x:c r="H30" s="25" t="str">
        <x:v>CONTEXT_REQUIRED</x:v>
      </x:c>
      <x:c r="I30" s="24" t="str">
        <x:v>Fear of Temperature_ Stratified Lexical Expansion, Voice Mapping, and Semantic-Relational Pre-Valida.pdf</x:v>
      </x:c>
      <x:c r="J30" s="25" t="str">
        <x:v>8</x:v>
      </x:c>
      <x:c r="K30" s="49" t="str">
        <x:v>RECONSTRUCTED_FROM_REPORT</x:v>
      </x:c>
    </x:row>
    <x:row r="31" ht="19" customHeight="1">
      <x:c r="A31" s="23" t="str">
        <x:v>FT-Q-V01-030</x:v>
      </x:c>
      <x:c r="B31" s="25" t="str">
        <x:v>1938</x:v>
      </x:c>
      <x:c r="C31" s="24" t="str">
        <x:v>mean temperature</x:v>
      </x:c>
      <x:c r="D31" s="25" t="str">
        <x:v>EXECUTABLE_NGRAM</x:v>
      </x:c>
      <x:c r="E31" s="25" t="str">
        <x:v>COMPATIBLE</x:v>
      </x:c>
      <x:c r="F31" s="25" t="str">
        <x:v>True</x:v>
      </x:c>
      <x:c r="G31" s="24" t="str">
        <x:v>Compatible exact string/phrase for unsmoothed public Ngram retrieval (current interface supports up to seven words).</x:v>
      </x:c>
      <x:c r="H31" s="25" t="str">
        <x:v>CONTEXT_REQUIRED</x:v>
      </x:c>
      <x:c r="I31" s="24" t="str">
        <x:v>Fear of Temperature_ Stratified Lexical Expansion, Voice Mapping, and Semantic-Relational Pre-Valida.pdf</x:v>
      </x:c>
      <x:c r="J31" s="25" t="str">
        <x:v>8</x:v>
      </x:c>
      <x:c r="K31" s="49" t="str">
        <x:v>RECONSTRUCTED_FROM_REPORT</x:v>
      </x:c>
    </x:row>
    <x:row r="32" ht="19" customHeight="1">
      <x:c r="A32" s="23" t="str">
        <x:v>FT-Q-V01-031</x:v>
      </x:c>
      <x:c r="B32" s="25" t="str">
        <x:v>1938</x:v>
      </x:c>
      <x:c r="C32" s="24" t="str">
        <x:v>temperature observations</x:v>
      </x:c>
      <x:c r="D32" s="25" t="str">
        <x:v>EXECUTABLE_NGRAM</x:v>
      </x:c>
      <x:c r="E32" s="25" t="str">
        <x:v>COMPATIBLE</x:v>
      </x:c>
      <x:c r="F32" s="25" t="str">
        <x:v>True</x:v>
      </x:c>
      <x:c r="G32" s="24" t="str">
        <x:v>Compatible exact string/phrase for unsmoothed public Ngram retrieval (current interface supports up to seven words).</x:v>
      </x:c>
      <x:c r="H32" s="25" t="str">
        <x:v>CONTEXT_REQUIRED</x:v>
      </x:c>
      <x:c r="I32" s="24" t="str">
        <x:v>Fear of Temperature_ Stratified Lexical Expansion, Voice Mapping, and Semantic-Relational Pre-Valida.pdf</x:v>
      </x:c>
      <x:c r="J32" s="25" t="str">
        <x:v>7</x:v>
      </x:c>
      <x:c r="K32" s="49" t="str">
        <x:v>RECONSTRUCTED_FROM_REPORT</x:v>
      </x:c>
    </x:row>
    <x:row r="33" ht="19" customHeight="1">
      <x:c r="A33" s="23" t="str">
        <x:v>FT-Q-V01-032</x:v>
      </x:c>
      <x:c r="B33" s="25" t="str">
        <x:v>1938</x:v>
      </x:c>
      <x:c r="C33" s="24" t="str">
        <x:v>meteorological stations</x:v>
      </x:c>
      <x:c r="D33" s="25" t="str">
        <x:v>EXECUTABLE_NGRAM</x:v>
      </x:c>
      <x:c r="E33" s="25" t="str">
        <x:v>COMPATIBLE</x:v>
      </x:c>
      <x:c r="F33" s="25" t="str">
        <x:v>True</x:v>
      </x:c>
      <x:c r="G33" s="24" t="str">
        <x:v>Compatible exact string/phrase for unsmoothed public Ngram retrieval (current interface supports up to seven words).</x:v>
      </x:c>
      <x:c r="H33" s="25" t="str">
        <x:v>CONTEXT_REQUIRED</x:v>
      </x:c>
      <x:c r="I33" s="24" t="str">
        <x:v>Fear of Temperature_ Stratified Lexical Expansion, Voice Mapping, and Semantic-Relational Pre-Valida.pdf</x:v>
      </x:c>
      <x:c r="J33" s="25" t="str">
        <x:v>7</x:v>
      </x:c>
      <x:c r="K33" s="49" t="str">
        <x:v>RECONSTRUCTED_FROM_REPORT</x:v>
      </x:c>
    </x:row>
    <x:row r="34" ht="19" customHeight="1">
      <x:c r="A34" s="23" t="str">
        <x:v>FT-Q-V01-033</x:v>
      </x:c>
      <x:c r="B34" s="25" t="str">
        <x:v>1938</x:v>
      </x:c>
      <x:c r="C34" s="24" t="str">
        <x:v>world temperatures</x:v>
      </x:c>
      <x:c r="D34" s="25" t="str">
        <x:v>EXECUTABLE_NGRAM</x:v>
      </x:c>
      <x:c r="E34" s="25" t="str">
        <x:v>COMPATIBLE</x:v>
      </x:c>
      <x:c r="F34" s="25" t="str">
        <x:v>True</x:v>
      </x:c>
      <x:c r="G34" s="24" t="str">
        <x:v>Compatible exact string/phrase for unsmoothed public Ngram retrieval (current interface supports up to seven words).</x:v>
      </x:c>
      <x:c r="H34" s="25" t="str">
        <x:v>CONTEXT_REQUIRED</x:v>
      </x:c>
      <x:c r="I34" s="24" t="str">
        <x:v>Fear of Temperature_ Stratified Lexical Expansion, Voice Mapping, and Semantic-Relational Pre-Valida.pdf</x:v>
      </x:c>
      <x:c r="J34" s="25" t="str">
        <x:v>8</x:v>
      </x:c>
      <x:c r="K34" s="49" t="str">
        <x:v>RECONSTRUCTED_FROM_REPORT</x:v>
      </x:c>
    </x:row>
    <x:row r="35" ht="19" customHeight="1">
      <x:c r="A35" s="23" t="str">
        <x:v>FT-Q-V01-034</x:v>
      </x:c>
      <x:c r="B35" s="25" t="str">
        <x:v>1938</x:v>
      </x:c>
      <x:c r="C35" s="24" t="str">
        <x:v>actually increased</x:v>
      </x:c>
      <x:c r="D35" s="25" t="str">
        <x:v>EXECUTABLE_NGRAM</x:v>
      </x:c>
      <x:c r="E35" s="25" t="str">
        <x:v>COMPATIBLE</x:v>
      </x:c>
      <x:c r="F35" s="25" t="str">
        <x:v>True</x:v>
      </x:c>
      <x:c r="G35" s="24" t="str">
        <x:v>Compatible exact string/phrase for unsmoothed public Ngram retrieval (current interface supports up to seven words).</x:v>
      </x:c>
      <x:c r="H35" s="25" t="str">
        <x:v>CONTEXT_REQUIRED</x:v>
      </x:c>
      <x:c r="I35" s="24" t="str">
        <x:v>Fear of Temperature_ Stratified Lexical Expansion, Voice Mapping, and Semantic-Relational Pre-Valida.pdf</x:v>
      </x:c>
      <x:c r="J35" s="25" t="str">
        <x:v>8</x:v>
      </x:c>
      <x:c r="K35" s="49" t="str">
        <x:v>RECONSTRUCTED_FROM_REPORT</x:v>
      </x:c>
    </x:row>
    <x:row r="36" ht="19" customHeight="1">
      <x:c r="A36" s="23" t="str">
        <x:v>FT-Q-V01-035</x:v>
      </x:c>
      <x:c r="B36" s="25" t="str">
        <x:v>1938</x:v>
      </x:c>
      <x:c r="C36" s="24" t="str">
        <x:v>average rate</x:v>
      </x:c>
      <x:c r="D36" s="25" t="str">
        <x:v>EXECUTABLE_NGRAM</x:v>
      </x:c>
      <x:c r="E36" s="25" t="str">
        <x:v>COMPATIBLE</x:v>
      </x:c>
      <x:c r="F36" s="25" t="str">
        <x:v>True</x:v>
      </x:c>
      <x:c r="G36" s="24" t="str">
        <x:v>Compatible exact string/phrase for unsmoothed public Ngram retrieval (current interface supports up to seven words).</x:v>
      </x:c>
      <x:c r="H36" s="25" t="str">
        <x:v>CONTEXT_REQUIRED</x:v>
      </x:c>
      <x:c r="I36" s="24" t="str">
        <x:v>Fear of Temperature_ Stratified Lexical Expansion, Voice Mapping, and Semantic-Relational Pre-Valida.pdf</x:v>
      </x:c>
      <x:c r="J36" s="25" t="str">
        <x:v>8</x:v>
      </x:c>
      <x:c r="K36" s="49" t="str">
        <x:v>RECONSTRUCTED_FROM_REPORT</x:v>
      </x:c>
    </x:row>
    <x:row r="37" ht="19" customHeight="1">
      <x:c r="A37" s="23" t="str">
        <x:v>FT-Q-V01-036</x:v>
      </x:c>
      <x:c r="B37" s="25" t="str">
        <x:v>1938</x:v>
      </x:c>
      <x:c r="C37" s="24" t="str">
        <x:v>small increases in mean temperature</x:v>
      </x:c>
      <x:c r="D37" s="25" t="str">
        <x:v>EXECUTABLE_NGRAM</x:v>
      </x:c>
      <x:c r="E37" s="25" t="str">
        <x:v>COMPATIBLE</x:v>
      </x:c>
      <x:c r="F37" s="25" t="str">
        <x:v>True</x:v>
      </x:c>
      <x:c r="G37" s="24" t="str">
        <x:v>Compatible exact string/phrase for unsmoothed public Ngram retrieval (current interface supports up to seven words).</x:v>
      </x:c>
      <x:c r="H37" s="25" t="str">
        <x:v>CONTEXT_REQUIRED</x:v>
      </x:c>
      <x:c r="I37" s="24" t="str">
        <x:v>Fear of Temperature_ Stratified Lexical Expansion, Voice Mapping, and Semantic-Relational Pre-Valida.pdf</x:v>
      </x:c>
      <x:c r="J37" s="25" t="str">
        <x:v>8</x:v>
      </x:c>
      <x:c r="K37" s="49" t="str">
        <x:v>RECONSTRUCTED_FROM_REPORT</x:v>
      </x:c>
    </x:row>
    <x:row r="38" ht="19" customHeight="1">
      <x:c r="A38" s="23" t="str">
        <x:v>FT-Q-V01-037</x:v>
      </x:c>
      <x:c r="B38" s="25" t="str">
        <x:v>1938</x:v>
      </x:c>
      <x:c r="C38" s="24" t="str">
        <x:v>deadly glaciers</x:v>
      </x:c>
      <x:c r="D38" s="25" t="str">
        <x:v>EXECUTABLE_NGRAM</x:v>
      </x:c>
      <x:c r="E38" s="25" t="str">
        <x:v>COMPATIBLE</x:v>
      </x:c>
      <x:c r="F38" s="25" t="str">
        <x:v>True</x:v>
      </x:c>
      <x:c r="G38" s="24" t="str">
        <x:v>Compatible exact string/phrase for unsmoothed public Ngram retrieval (current interface supports up to seven words).</x:v>
      </x:c>
      <x:c r="H38" s="25" t="str">
        <x:v>CONTEXT_REQUIRED</x:v>
      </x:c>
      <x:c r="I38" s="24" t="str">
        <x:v>Fear of Temperature_ Stratified Lexical Expansion, Voice Mapping, and Semantic-Relational Pre-Valida.pdf</x:v>
      </x:c>
      <x:c r="J38" s="25" t="str">
        <x:v>8</x:v>
      </x:c>
      <x:c r="K38" s="49" t="str">
        <x:v>RECONSTRUCTED_FROM_REPORT</x:v>
      </x:c>
    </x:row>
    <x:row r="39" ht="19" customHeight="1">
      <x:c r="A39" s="23" t="str">
        <x:v>FT-Q-V01-038</x:v>
      </x:c>
      <x:c r="B39" s="25" t="str">
        <x:v>1938</x:v>
      </x:c>
      <x:c r="C39" s="24" t="str">
        <x:v>rather a coincidence</x:v>
      </x:c>
      <x:c r="D39" s="25" t="str">
        <x:v>EXECUTABLE_NGRAM</x:v>
      </x:c>
      <x:c r="E39" s="25" t="str">
        <x:v>COMPATIBLE</x:v>
      </x:c>
      <x:c r="F39" s="25" t="str">
        <x:v>True</x:v>
      </x:c>
      <x:c r="G39" s="24" t="str">
        <x:v>Compatible exact string/phrase for unsmoothed public Ngram retrieval (current interface supports up to seven words).</x:v>
      </x:c>
      <x:c r="H39" s="25" t="str">
        <x:v>CONTEXT_REQUIRED</x:v>
      </x:c>
      <x:c r="I39" s="24" t="str">
        <x:v>Fear of Temperature_ Stratified Lexical Expansion, Voice Mapping, and Semantic-Relational Pre-Valida.pdf</x:v>
      </x:c>
      <x:c r="J39" s="25" t="str">
        <x:v>8</x:v>
      </x:c>
      <x:c r="K39" s="49" t="str">
        <x:v>RECONSTRUCTED_FROM_REPORT</x:v>
      </x:c>
    </x:row>
    <x:row r="40" ht="19" customHeight="1">
      <x:c r="A40" s="23" t="str">
        <x:v>FT-Q-V01-039</x:v>
      </x:c>
      <x:c r="B40" s="25" t="str">
        <x:v>1938</x:v>
      </x:c>
      <x:c r="C40" s="24" t="str">
        <x:v>Hottest Day for Ten Years</x:v>
      </x:c>
      <x:c r="D40" s="25" t="str">
        <x:v>EXECUTABLE_NGRAM</x:v>
      </x:c>
      <x:c r="E40" s="25" t="str">
        <x:v>COMPATIBLE</x:v>
      </x:c>
      <x:c r="F40" s="25" t="str">
        <x:v>True</x:v>
      </x:c>
      <x:c r="G40" s="24" t="str">
        <x:v>Compatible exact string/phrase for unsmoothed public Ngram retrieval (current interface supports up to seven words).</x:v>
      </x:c>
      <x:c r="H40" s="25" t="str">
        <x:v>CONTEXT_REQUIRED</x:v>
      </x:c>
      <x:c r="I40" s="24" t="str">
        <x:v>Fear of Temperature_ Stratified Lexical Expansion, Voice Mapping, and Semantic-Relational Pre-Valida.pdf</x:v>
      </x:c>
      <x:c r="J40" s="25" t="str">
        <x:v>8</x:v>
      </x:c>
      <x:c r="K40" s="49" t="str">
        <x:v>RECONSTRUCTED_FROM_REPORT</x:v>
      </x:c>
    </x:row>
    <x:row r="41" ht="19" customHeight="1">
      <x:c r="A41" s="23" t="str">
        <x:v>FT-Q-V01-040</x:v>
      </x:c>
      <x:c r="B41" s="25" t="str">
        <x:v>1938</x:v>
      </x:c>
      <x:c r="C41" s="24" t="str">
        <x:v>Heat Wave Over Queensland</x:v>
      </x:c>
      <x:c r="D41" s="25" t="str">
        <x:v>EXECUTABLE_NGRAM</x:v>
      </x:c>
      <x:c r="E41" s="25" t="str">
        <x:v>COMPATIBLE</x:v>
      </x:c>
      <x:c r="F41" s="25" t="str">
        <x:v>True</x:v>
      </x:c>
      <x:c r="G41" s="24" t="str">
        <x:v>Compatible exact string/phrase for unsmoothed public Ngram retrieval (current interface supports up to seven words).</x:v>
      </x:c>
      <x:c r="H41" s="25" t="str">
        <x:v>CONTEXT_REQUIRED</x:v>
      </x:c>
      <x:c r="I41" s="24" t="str">
        <x:v>Fear of Temperature_ Stratified Lexical Expansion, Voice Mapping, and Semantic-Relational Pre-Valida.pdf</x:v>
      </x:c>
      <x:c r="J41" s="25" t="str">
        <x:v>8</x:v>
      </x:c>
      <x:c r="K41" s="49" t="str">
        <x:v>RECONSTRUCTED_FROM_REPORT</x:v>
      </x:c>
    </x:row>
    <x:row r="42" ht="19" customHeight="1">
      <x:c r="A42" s="23" t="str">
        <x:v>FT-Q-V01-041</x:v>
      </x:c>
      <x:c r="B42" s="25" t="str">
        <x:v>1988</x:v>
      </x:c>
      <x:c r="C42" s="24" t="str">
        <x:v>greenhouse effect</x:v>
      </x:c>
      <x:c r="D42" s="25" t="str">
        <x:v>EXECUTABLE_NGRAM</x:v>
      </x:c>
      <x:c r="E42" s="25" t="str">
        <x:v>COMPATIBLE</x:v>
      </x:c>
      <x:c r="F42" s="25" t="str">
        <x:v>True</x:v>
      </x:c>
      <x:c r="G42" s="24" t="str">
        <x:v>Compatible exact string/phrase for unsmoothed public Ngram retrieval (current interface supports up to seven words).</x:v>
      </x:c>
      <x:c r="H42" s="25" t="str">
        <x:v>CLIMATE_SPECIFIC</x:v>
      </x:c>
      <x:c r="I42" s="24" t="str">
        <x:v>Fear of Temperature_ Stratified Lexical Expansion, Voice Mapping, and Semantic-Relational Pre-Valida.pdf</x:v>
      </x:c>
      <x:c r="J42" s="25" t="str">
        <x:v>9</x:v>
      </x:c>
      <x:c r="K42" s="49" t="str">
        <x:v>RECONSTRUCTED_FROM_REPORT</x:v>
      </x:c>
    </x:row>
    <x:row r="43" ht="19" customHeight="1">
      <x:c r="A43" s="23" t="str">
        <x:v>FT-Q-V01-042</x:v>
      </x:c>
      <x:c r="B43" s="25" t="str">
        <x:v>1988</x:v>
      </x:c>
      <x:c r="C43" s="24" t="str">
        <x:v>global warming</x:v>
      </x:c>
      <x:c r="D43" s="25" t="str">
        <x:v>EXECUTABLE_NGRAM</x:v>
      </x:c>
      <x:c r="E43" s="25" t="str">
        <x:v>COMPATIBLE</x:v>
      </x:c>
      <x:c r="F43" s="25" t="str">
        <x:v>True</x:v>
      </x:c>
      <x:c r="G43" s="24" t="str">
        <x:v>Compatible exact string/phrase for unsmoothed public Ngram retrieval (current interface supports up to seven words).</x:v>
      </x:c>
      <x:c r="H43" s="25" t="str">
        <x:v>CLIMATE_SPECIFIC</x:v>
      </x:c>
      <x:c r="I43" s="24" t="str">
        <x:v>Fear of Temperature_ Stratified Lexical Expansion, Voice Mapping, and Semantic-Relational Pre-Valida.pdf</x:v>
      </x:c>
      <x:c r="J43" s="25" t="str">
        <x:v>9</x:v>
      </x:c>
      <x:c r="K43" s="49" t="str">
        <x:v>RECONSTRUCTED_FROM_REPORT</x:v>
      </x:c>
    </x:row>
    <x:row r="44" ht="19" customHeight="1">
      <x:c r="A44" s="23" t="str">
        <x:v>FT-Q-V01-043</x:v>
      </x:c>
      <x:c r="B44" s="25" t="str">
        <x:v>1988</x:v>
      </x:c>
      <x:c r="C44" s="24" t="str">
        <x:v>earth is warmer</x:v>
      </x:c>
      <x:c r="D44" s="25" t="str">
        <x:v>EXECUTABLE_NGRAM</x:v>
      </x:c>
      <x:c r="E44" s="25" t="str">
        <x:v>COMPATIBLE</x:v>
      </x:c>
      <x:c r="F44" s="25" t="str">
        <x:v>True</x:v>
      </x:c>
      <x:c r="G44" s="24" t="str">
        <x:v>Compatible exact string/phrase for unsmoothed public Ngram retrieval (current interface supports up to seven words).</x:v>
      </x:c>
      <x:c r="H44" s="25" t="str">
        <x:v>CONTEXT_REQUIRED</x:v>
      </x:c>
      <x:c r="I44" s="24" t="str">
        <x:v>Fear of Temperature_ Stratified Lexical Expansion, Voice Mapping, and Semantic-Relational Pre-Valida.pdf</x:v>
      </x:c>
      <x:c r="J44" s="25" t="str">
        <x:v>9</x:v>
      </x:c>
      <x:c r="K44" s="49" t="str">
        <x:v>RECONSTRUCTED_FROM_REPORT</x:v>
      </x:c>
    </x:row>
    <x:row r="45" ht="19" customHeight="1">
      <x:c r="A45" s="23" t="str">
        <x:v>FT-Q-V01-044</x:v>
      </x:c>
      <x:c r="B45" s="25" t="str">
        <x:v>1988</x:v>
      </x:c>
      <x:c r="C45" s="24" t="str">
        <x:v>instrumental measurements</x:v>
      </x:c>
      <x:c r="D45" s="25" t="str">
        <x:v>EXECUTABLE_NGRAM</x:v>
      </x:c>
      <x:c r="E45" s="25" t="str">
        <x:v>COMPATIBLE</x:v>
      </x:c>
      <x:c r="F45" s="25" t="str">
        <x:v>True</x:v>
      </x:c>
      <x:c r="G45" s="24" t="str">
        <x:v>Compatible exact string/phrase for unsmoothed public Ngram retrieval (current interface supports up to seven words).</x:v>
      </x:c>
      <x:c r="H45" s="25" t="str">
        <x:v>CONTEXT_REQUIRED</x:v>
      </x:c>
      <x:c r="I45" s="24" t="str">
        <x:v>Fear of Temperature_ Stratified Lexical Expansion, Voice Mapping, and Semantic-Relational Pre-Valida.pdf</x:v>
      </x:c>
      <x:c r="J45" s="25" t="str">
        <x:v>9</x:v>
      </x:c>
      <x:c r="K45" s="49" t="str">
        <x:v>RECONSTRUCTED_FROM_REPORT</x:v>
      </x:c>
    </x:row>
    <x:row r="46" ht="19" customHeight="1">
      <x:c r="A46" s="23" t="str">
        <x:v>FT-Q-V01-045</x:v>
      </x:c>
      <x:c r="B46" s="25" t="str">
        <x:v>1988</x:v>
      </x:c>
      <x:c r="C46" s="24" t="str">
        <x:v>cause-and-effect relationship</x:v>
      </x:c>
      <x:c r="D46" s="25" t="str">
        <x:v>EXECUTABLE_NGRAM</x:v>
      </x:c>
      <x:c r="E46" s="25" t="str">
        <x:v>COMPATIBLE</x:v>
      </x:c>
      <x:c r="F46" s="25" t="str">
        <x:v>True</x:v>
      </x:c>
      <x:c r="G46" s="24" t="str">
        <x:v>Compatible exact string/phrase for unsmoothed public Ngram retrieval (current interface supports up to seven words).</x:v>
      </x:c>
      <x:c r="H46" s="25" t="str">
        <x:v>CONTEXT_REQUIRED</x:v>
      </x:c>
      <x:c r="I46" s="24" t="str">
        <x:v>Fear of Temperature_ Stratified Lexical Expansion, Voice Mapping, and Semantic-Relational Pre-Valida.pdf</x:v>
      </x:c>
      <x:c r="J46" s="25" t="str">
        <x:v>9</x:v>
      </x:c>
      <x:c r="K46" s="49" t="str">
        <x:v>RECONSTRUCTED_FROM_REPORT</x:v>
      </x:c>
    </x:row>
    <x:row r="47" ht="19" customHeight="1">
      <x:c r="A47" s="23" t="str">
        <x:v>FT-Q-V01-046</x:v>
      </x:c>
      <x:c r="B47" s="25" t="str">
        <x:v>1988</x:v>
      </x:c>
      <x:c r="C47" s="24" t="str">
        <x:v>global temperature</x:v>
      </x:c>
      <x:c r="D47" s="25" t="str">
        <x:v>EXECUTABLE_NGRAM</x:v>
      </x:c>
      <x:c r="E47" s="25" t="str">
        <x:v>COMPATIBLE</x:v>
      </x:c>
      <x:c r="F47" s="25" t="str">
        <x:v>True</x:v>
      </x:c>
      <x:c r="G47" s="24" t="str">
        <x:v>Compatible exact string/phrase for unsmoothed public Ngram retrieval (current interface supports up to seven words).</x:v>
      </x:c>
      <x:c r="H47" s="25" t="str">
        <x:v>CONTEXT_REQUIRED</x:v>
      </x:c>
      <x:c r="I47" s="24" t="str">
        <x:v>Fear of Temperature_ Stratified Lexical Expansion, Voice Mapping, and Semantic-Relational Pre-Valida.pdf</x:v>
      </x:c>
      <x:c r="J47" s="25" t="str">
        <x:v>9</x:v>
      </x:c>
      <x:c r="K47" s="49" t="str">
        <x:v>RECONSTRUCTED_FROM_REPORT</x:v>
      </x:c>
    </x:row>
    <x:row r="48" ht="19" customHeight="1">
      <x:c r="A48" s="23" t="str">
        <x:v>FT-Q-V01-047</x:v>
      </x:c>
      <x:c r="B48" s="25" t="str">
        <x:v>1988</x:v>
      </x:c>
      <x:c r="C48" s="24" t="str">
        <x:v>regional heat waves</x:v>
      </x:c>
      <x:c r="D48" s="25" t="str">
        <x:v>EXECUTABLE_NGRAM</x:v>
      </x:c>
      <x:c r="E48" s="25" t="str">
        <x:v>COMPATIBLE</x:v>
      </x:c>
      <x:c r="F48" s="25" t="str">
        <x:v>True</x:v>
      </x:c>
      <x:c r="G48" s="24" t="str">
        <x:v>Compatible exact string/phrase for unsmoothed public Ngram retrieval (current interface supports up to seven words).</x:v>
      </x:c>
      <x:c r="H48" s="25" t="str">
        <x:v>CONTEXT_REQUIRED</x:v>
      </x:c>
      <x:c r="I48" s="24" t="str">
        <x:v>Fear of Temperature_ Stratified Lexical Expansion, Voice Mapping, and Semantic-Relational Pre-Valida.pdf</x:v>
      </x:c>
      <x:c r="J48" s="25" t="str">
        <x:v>9</x:v>
      </x:c>
      <x:c r="K48" s="49" t="str">
        <x:v>RECONSTRUCTED_FROM_REPORT</x:v>
      </x:c>
    </x:row>
    <x:row r="49" ht="19" customHeight="1">
      <x:c r="A49" s="23" t="str">
        <x:v>FT-Q-V01-048</x:v>
      </x:c>
      <x:c r="B49" s="25" t="str">
        <x:v>1988</x:v>
      </x:c>
      <x:c r="C49" s="24" t="str">
        <x:v>heat wave</x:v>
      </x:c>
      <x:c r="D49" s="25" t="str">
        <x:v>EXECUTABLE_NGRAM</x:v>
      </x:c>
      <x:c r="E49" s="25" t="str">
        <x:v>COMPATIBLE</x:v>
      </x:c>
      <x:c r="F49" s="25" t="str">
        <x:v>True</x:v>
      </x:c>
      <x:c r="G49" s="24" t="str">
        <x:v>Compatible exact string/phrase for unsmoothed public Ngram retrieval (current interface supports up to seven words).</x:v>
      </x:c>
      <x:c r="H49" s="25" t="str">
        <x:v>CLIMATE_SPECIFIC</x:v>
      </x:c>
      <x:c r="I49" s="24" t="str">
        <x:v>Fear of Temperature_ Stratified Lexical Expansion, Voice Mapping, and Semantic-Relational Pre-Valida.pdf</x:v>
      </x:c>
      <x:c r="J49" s="25" t="str">
        <x:v>9</x:v>
      </x:c>
      <x:c r="K49" s="49" t="str">
        <x:v>RECONSTRUCTED_FROM_REPORT</x:v>
      </x:c>
    </x:row>
    <x:row r="50" ht="19" customHeight="1">
      <x:c r="A50" s="23" t="str">
        <x:v>FT-Q-V01-049</x:v>
      </x:c>
      <x:c r="B50" s="25" t="str">
        <x:v>1988</x:v>
      </x:c>
      <x:c r="C50" s="24" t="str">
        <x:v>drought</x:v>
      </x:c>
      <x:c r="D50" s="25" t="str">
        <x:v>BACKGROUND_AMBIGUOUS</x:v>
      </x:c>
      <x:c r="E50" s="25" t="str">
        <x:v>COMPATIBLE</x:v>
      </x:c>
      <x:c r="F50" s="25" t="str">
        <x:v>True</x:v>
      </x:c>
      <x:c r="G50" s="24" t="str">
        <x:v>Compatible exact string/phrase for unsmoothed public Ngram retrieval (current interface supports up to seven words).</x:v>
      </x:c>
      <x:c r="H50" s="25" t="str">
        <x:v>BACKGROUND_AMBIGUOUS</x:v>
      </x:c>
      <x:c r="I50" s="24" t="str">
        <x:v>Fear of Temperature_ Stratified Lexical Expansion, Voice Mapping, and Semantic-Relational Pre-Valida.pdf</x:v>
      </x:c>
      <x:c r="J50" s="25" t="str">
        <x:v>9</x:v>
      </x:c>
      <x:c r="K50" s="49" t="str">
        <x:v>RECONSTRUCTED_FROM_REPORT</x:v>
      </x:c>
    </x:row>
    <x:row r="51" ht="19" customHeight="1">
      <x:c r="A51" s="23" t="str">
        <x:v>FT-Q-V01-050</x:v>
      </x:c>
      <x:c r="B51" s="25" t="str">
        <x:v>1988</x:v>
      </x:c>
      <x:c r="C51" s="24" t="str">
        <x:v>heat wave/drought occurrences</x:v>
      </x:c>
      <x:c r="D51" s="25" t="str">
        <x:v>EXECUTABLE_CORPUS_ONLY</x:v>
      </x:c>
      <x:c r="E51" s="25" t="str">
        <x:v>STRUCTURALLY_UNSUPPORTED</x:v>
      </x:c>
      <x:c r="F51" s="25" t="str">
        <x:v>False</x:v>
      </x:c>
      <x:c r="G51" s="24" t="str">
        <x:v>Slash construction is not a defensible isolated Ngram phrase.</x:v>
      </x:c>
      <x:c r="H51" s="25" t="str">
        <x:v>CONTEXT_REQUIRED</x:v>
      </x:c>
      <x:c r="I51" s="24" t="str">
        <x:v>Fear of Temperature_ Stratified Lexical Expansion, Voice Mapping, and Semantic-Relational Pre-Valida.pdf</x:v>
      </x:c>
      <x:c r="J51" s="25" t="str">
        <x:v>9</x:v>
      </x:c>
      <x:c r="K51" s="49" t="str">
        <x:v>RECONSTRUCTED_FROM_REPORT</x:v>
      </x:c>
    </x:row>
    <x:row r="52" ht="19" customHeight="1">
      <x:c r="A52" s="23" t="str">
        <x:v>FT-Q-V01-051</x:v>
      </x:c>
      <x:c r="B52" s="25" t="str">
        <x:v>1988</x:v>
      </x:c>
      <x:c r="C52" s="24" t="str">
        <x:v>extreme events</x:v>
      </x:c>
      <x:c r="D52" s="25" t="str">
        <x:v>EXECUTABLE_NGRAM</x:v>
      </x:c>
      <x:c r="E52" s="25" t="str">
        <x:v>COMPATIBLE</x:v>
      </x:c>
      <x:c r="F52" s="25" t="str">
        <x:v>True</x:v>
      </x:c>
      <x:c r="G52" s="24" t="str">
        <x:v>Compatible exact string/phrase for unsmoothed public Ngram retrieval (current interface supports up to seven words).</x:v>
      </x:c>
      <x:c r="H52" s="25" t="str">
        <x:v>CONTEXT_REQUIRED</x:v>
      </x:c>
      <x:c r="I52" s="24" t="str">
        <x:v>Fear of Temperature_ Stratified Lexical Expansion, Voice Mapping, and Semantic-Relational Pre-Valida.pdf</x:v>
      </x:c>
      <x:c r="J52" s="25" t="str">
        <x:v>9</x:v>
      </x:c>
      <x:c r="K52" s="49" t="str">
        <x:v>RECONSTRUCTED_FROM_REPORT</x:v>
      </x:c>
    </x:row>
    <x:row r="53" ht="19" customHeight="1">
      <x:c r="A53" s="23" t="str">
        <x:v>FT-Q-V01-052</x:v>
      </x:c>
      <x:c r="B53" s="25" t="str">
        <x:v>1988</x:v>
      </x:c>
      <x:c r="C53" s="24" t="str">
        <x:v>global climate models</x:v>
      </x:c>
      <x:c r="D53" s="25" t="str">
        <x:v>EXECUTABLE_NGRAM</x:v>
      </x:c>
      <x:c r="E53" s="25" t="str">
        <x:v>COMPATIBLE</x:v>
      </x:c>
      <x:c r="F53" s="25" t="str">
        <x:v>True</x:v>
      </x:c>
      <x:c r="G53" s="24" t="str">
        <x:v>Compatible exact string/phrase for unsmoothed public Ngram retrieval (current interface supports up to seven words).</x:v>
      </x:c>
      <x:c r="H53" s="25" t="str">
        <x:v>CONTEXT_REQUIRED</x:v>
      </x:c>
      <x:c r="I53" s="24" t="str">
        <x:v>Fear of Temperature_ Stratified Lexical Expansion, Voice Mapping, and Semantic-Relational Pre-Valida.pdf</x:v>
      </x:c>
      <x:c r="J53" s="25" t="str">
        <x:v>9</x:v>
      </x:c>
      <x:c r="K53" s="49" t="str">
        <x:v>RECONSTRUCTED_FROM_REPORT</x:v>
      </x:c>
    </x:row>
    <x:row r="54" ht="19" customHeight="1">
      <x:c r="A54" s="23" t="str">
        <x:v>FT-Q-V01-053</x:v>
      </x:c>
      <x:c r="B54" s="25" t="str">
        <x:v>1988</x:v>
      </x:c>
      <x:c r="C54" s="24" t="str">
        <x:v>global observations</x:v>
      </x:c>
      <x:c r="D54" s="25" t="str">
        <x:v>EXECUTABLE_NGRAM</x:v>
      </x:c>
      <x:c r="E54" s="25" t="str">
        <x:v>COMPATIBLE</x:v>
      </x:c>
      <x:c r="F54" s="25" t="str">
        <x:v>True</x:v>
      </x:c>
      <x:c r="G54" s="24" t="str">
        <x:v>Compatible exact string/phrase for unsmoothed public Ngram retrieval (current interface supports up to seven words).</x:v>
      </x:c>
      <x:c r="H54" s="25" t="str">
        <x:v>CONTEXT_REQUIRED</x:v>
      </x:c>
      <x:c r="I54" s="24" t="str">
        <x:v>Fear of Temperature_ Stratified Lexical Expansion, Voice Mapping, and Semantic-Relational Pre-Valida.pdf</x:v>
      </x:c>
      <x:c r="J54" s="25" t="str">
        <x:v>9</x:v>
      </x:c>
      <x:c r="K54" s="49" t="str">
        <x:v>RECONSTRUCTED_FROM_REPORT</x:v>
      </x:c>
    </x:row>
    <x:row r="55" ht="19" customHeight="1">
      <x:c r="A55" s="23" t="str">
        <x:v>FT-Q-V01-054</x:v>
      </x:c>
      <x:c r="B55" s="25" t="str">
        <x:v>1988</x:v>
      </x:c>
      <x:c r="C55" s="24" t="str">
        <x:v>warm air</x:v>
      </x:c>
      <x:c r="D55" s="25" t="str">
        <x:v>EXECUTABLE_NGRAM</x:v>
      </x:c>
      <x:c r="E55" s="25" t="str">
        <x:v>COMPATIBLE</x:v>
      </x:c>
      <x:c r="F55" s="25" t="str">
        <x:v>True</x:v>
      </x:c>
      <x:c r="G55" s="24" t="str">
        <x:v>Compatible exact string/phrase for unsmoothed public Ngram retrieval (current interface supports up to seven words).</x:v>
      </x:c>
      <x:c r="H55" s="25" t="str">
        <x:v>CONTEXT_REQUIRED</x:v>
      </x:c>
      <x:c r="I55" s="24" t="str">
        <x:v>Fear of Temperature_ Stratified Lexical Expansion, Voice Mapping, and Semantic-Relational Pre-Valida.pdf</x:v>
      </x:c>
      <x:c r="J55" s="25" t="str">
        <x:v>9</x:v>
      </x:c>
      <x:c r="K55" s="49" t="str">
        <x:v>RECONSTRUCTED_FROM_REPORT</x:v>
      </x:c>
    </x:row>
    <x:row r="56" ht="19" customHeight="1">
      <x:c r="A56" s="23" t="str">
        <x:v>FT-Q-V01-055</x:v>
      </x:c>
      <x:c r="B56" s="25" t="str">
        <x:v>1988</x:v>
      </x:c>
      <x:c r="C56" s="24" t="str">
        <x:v>changing atmosphere</x:v>
      </x:c>
      <x:c r="D56" s="25" t="str">
        <x:v>EXECUTABLE_NGRAM</x:v>
      </x:c>
      <x:c r="E56" s="25" t="str">
        <x:v>COMPATIBLE</x:v>
      </x:c>
      <x:c r="F56" s="25" t="str">
        <x:v>True</x:v>
      </x:c>
      <x:c r="G56" s="24" t="str">
        <x:v>Compatible exact string/phrase for unsmoothed public Ngram retrieval (current interface supports up to seven words).</x:v>
      </x:c>
      <x:c r="H56" s="25" t="str">
        <x:v>CLIMATE_SPECIFIC</x:v>
      </x:c>
      <x:c r="I56" s="24" t="str">
        <x:v>Fear of Temperature_ Stratified Lexical Expansion, Voice Mapping, and Semantic-Relational Pre-Valida.pdf</x:v>
      </x:c>
      <x:c r="J56" s="25" t="str">
        <x:v>9</x:v>
      </x:c>
      <x:c r="K56" s="49" t="str">
        <x:v>RECONSTRUCTED_FROM_REPORT</x:v>
      </x:c>
    </x:row>
    <x:row r="57" ht="19" customHeight="1">
      <x:c r="A57" s="23" t="str">
        <x:v>FT-Q-V01-056</x:v>
      </x:c>
      <x:c r="B57" s="25" t="str">
        <x:v>1988</x:v>
      </x:c>
      <x:c r="C57" s="24" t="str">
        <x:v>global security</x:v>
      </x:c>
      <x:c r="D57" s="25" t="str">
        <x:v>EXECUTABLE_NGRAM</x:v>
      </x:c>
      <x:c r="E57" s="25" t="str">
        <x:v>COMPATIBLE</x:v>
      </x:c>
      <x:c r="F57" s="25" t="str">
        <x:v>True</x:v>
      </x:c>
      <x:c r="G57" s="24" t="str">
        <x:v>Compatible exact string/phrase for unsmoothed public Ngram retrieval (current interface supports up to seven words).</x:v>
      </x:c>
      <x:c r="H57" s="25" t="str">
        <x:v>CONTEXT_REQUIRED</x:v>
      </x:c>
      <x:c r="I57" s="24" t="str">
        <x:v>Fear of Temperature_ Stratified Lexical Expansion, Voice Mapping, and Semantic-Relational Pre-Valida.pdf</x:v>
      </x:c>
      <x:c r="J57" s="25" t="str">
        <x:v>9</x:v>
      </x:c>
      <x:c r="K57" s="49" t="str">
        <x:v>RECONSTRUCTED_FROM_REPORT</x:v>
      </x:c>
    </x:row>
    <x:row r="58" ht="19" customHeight="1">
      <x:c r="A58" s="23" t="str">
        <x:v>FT-Q-V01-057</x:v>
      </x:c>
      <x:c r="B58" s="25" t="str">
        <x:v>1988</x:v>
      </x:c>
      <x:c r="C58" s="24" t="str">
        <x:v>climate warming</x:v>
      </x:c>
      <x:c r="D58" s="25" t="str">
        <x:v>EXECUTABLE_NGRAM</x:v>
      </x:c>
      <x:c r="E58" s="25" t="str">
        <x:v>COMPATIBLE</x:v>
      </x:c>
      <x:c r="F58" s="25" t="str">
        <x:v>True</x:v>
      </x:c>
      <x:c r="G58" s="24" t="str">
        <x:v>Compatible exact string/phrase for unsmoothed public Ngram retrieval (current interface supports up to seven words).</x:v>
      </x:c>
      <x:c r="H58" s="25" t="str">
        <x:v>CONTEXT_REQUIRED</x:v>
      </x:c>
      <x:c r="I58" s="24" t="str">
        <x:v>Fear of Temperature_ Stratified Lexical Expansion, Voice Mapping, and Semantic-Relational Pre-Valida.pdf</x:v>
      </x:c>
      <x:c r="J58" s="25" t="str">
        <x:v>9</x:v>
      </x:c>
      <x:c r="K58" s="49" t="str">
        <x:v>RECONSTRUCTED_FROM_REPORT</x:v>
      </x:c>
    </x:row>
    <x:row r="59" ht="19" customHeight="1">
      <x:c r="A59" s="23" t="str">
        <x:v>FT-Q-V01-058</x:v>
      </x:c>
      <x:c r="B59" s="25" t="str">
        <x:v>1988</x:v>
      </x:c>
      <x:c r="C59" s="24" t="str">
        <x:v>changed climatic extremes</x:v>
      </x:c>
      <x:c r="D59" s="25" t="str">
        <x:v>EXECUTABLE_NGRAM</x:v>
      </x:c>
      <x:c r="E59" s="25" t="str">
        <x:v>COMPATIBLE</x:v>
      </x:c>
      <x:c r="F59" s="25" t="str">
        <x:v>True</x:v>
      </x:c>
      <x:c r="G59" s="24" t="str">
        <x:v>Compatible exact string/phrase for unsmoothed public Ngram retrieval (current interface supports up to seven words).</x:v>
      </x:c>
      <x:c r="H59" s="25" t="str">
        <x:v>CONTEXT_REQUIRED</x:v>
      </x:c>
      <x:c r="I59" s="24" t="str">
        <x:v>Fear of Temperature_ Stratified Lexical Expansion, Voice Mapping, and Semantic-Relational Pre-Valida.pdf</x:v>
      </x:c>
      <x:c r="J59" s="25" t="str">
        <x:v>9</x:v>
      </x:c>
      <x:c r="K59" s="49" t="str">
        <x:v>RECONSTRUCTED_FROM_REPORT</x:v>
      </x:c>
    </x:row>
    <x:row r="60" ht="19" customHeight="1">
      <x:c r="A60" s="23" t="str">
        <x:v>FT-Q-V01-059</x:v>
      </x:c>
      <x:c r="B60" s="25" t="str">
        <x:v>1988</x:v>
      </x:c>
      <x:c r="C60" s="24" t="str">
        <x:v>major threat</x:v>
      </x:c>
      <x:c r="D60" s="25" t="str">
        <x:v>EXECUTABLE_NGRAM</x:v>
      </x:c>
      <x:c r="E60" s="25" t="str">
        <x:v>COMPATIBLE</x:v>
      </x:c>
      <x:c r="F60" s="25" t="str">
        <x:v>True</x:v>
      </x:c>
      <x:c r="G60" s="24" t="str">
        <x:v>Compatible exact string/phrase for unsmoothed public Ngram retrieval (current interface supports up to seven words).</x:v>
      </x:c>
      <x:c r="H60" s="25" t="str">
        <x:v>CONTEXT_REQUIRED</x:v>
      </x:c>
      <x:c r="I60" s="24" t="str">
        <x:v>Fear of Temperature_ Stratified Lexical Expansion, Voice Mapping, and Semantic-Relational Pre-Valida.pdf</x:v>
      </x:c>
      <x:c r="J60" s="25" t="str">
        <x:v>9</x:v>
      </x:c>
      <x:c r="K60" s="49" t="str">
        <x:v>RECONSTRUCTED_FROM_REPORT</x:v>
      </x:c>
    </x:row>
    <x:row r="61" ht="19" customHeight="1">
      <x:c r="A61" s="23" t="str">
        <x:v>FT-Q-V01-060</x:v>
      </x:c>
      <x:c r="B61" s="25" t="str">
        <x:v>1988</x:v>
      </x:c>
      <x:c r="C61" s="24" t="str">
        <x:v>harmful consequences</x:v>
      </x:c>
      <x:c r="D61" s="25" t="str">
        <x:v>EXECUTABLE_NGRAM</x:v>
      </x:c>
      <x:c r="E61" s="25" t="str">
        <x:v>COMPATIBLE</x:v>
      </x:c>
      <x:c r="F61" s="25" t="str">
        <x:v>True</x:v>
      </x:c>
      <x:c r="G61" s="24" t="str">
        <x:v>Compatible exact string/phrase for unsmoothed public Ngram retrieval (current interface supports up to seven words).</x:v>
      </x:c>
      <x:c r="H61" s="25" t="str">
        <x:v>CONTEXT_REQUIRED</x:v>
      </x:c>
      <x:c r="I61" s="24" t="str">
        <x:v>Fear of Temperature_ Stratified Lexical Expansion, Voice Mapping, and Semantic-Relational Pre-Valida.pdf</x:v>
      </x:c>
      <x:c r="J61" s="25" t="str">
        <x:v>9</x:v>
      </x:c>
      <x:c r="K61" s="49" t="str">
        <x:v>RECONSTRUCTED_FROM_REPORT</x:v>
      </x:c>
    </x:row>
    <x:row r="62" ht="19" customHeight="1">
      <x:c r="A62" s="23" t="str">
        <x:v>FT-Q-V01-061</x:v>
      </x:c>
      <x:c r="B62" s="25" t="str">
        <x:v>2006–2007</x:v>
      </x:c>
      <x:c r="C62" s="24" t="str">
        <x:v>warming of the climate system</x:v>
      </x:c>
      <x:c r="D62" s="25" t="str">
        <x:v>EXECUTABLE_NGRAM</x:v>
      </x:c>
      <x:c r="E62" s="25" t="str">
        <x:v>COMPATIBLE</x:v>
      </x:c>
      <x:c r="F62" s="25" t="str">
        <x:v>True</x:v>
      </x:c>
      <x:c r="G62" s="24" t="str">
        <x:v>Compatible exact string/phrase for unsmoothed public Ngram retrieval (current interface supports up to seven words).</x:v>
      </x:c>
      <x:c r="H62" s="25" t="str">
        <x:v>CONTEXT_REQUIRED</x:v>
      </x:c>
      <x:c r="I62" s="24" t="str">
        <x:v>Fear of Temperature_ Stratified Lexical Expansion, Voice Mapping, and Semantic-Relational Pre-Valida.pdf</x:v>
      </x:c>
      <x:c r="J62" s="25" t="str">
        <x:v>10</x:v>
      </x:c>
      <x:c r="K62" s="49" t="str">
        <x:v>RECONSTRUCTED_FROM_REPORT</x:v>
      </x:c>
    </x:row>
    <x:row r="63" ht="19" customHeight="1">
      <x:c r="A63" s="23" t="str">
        <x:v>FT-Q-V01-062</x:v>
      </x:c>
      <x:c r="B63" s="25" t="str">
        <x:v>2006–2007</x:v>
      </x:c>
      <x:c r="C63" s="24" t="str">
        <x:v>unequivocal</x:v>
      </x:c>
      <x:c r="D63" s="25" t="str">
        <x:v>EXECUTABLE_NGRAM</x:v>
      </x:c>
      <x:c r="E63" s="25" t="str">
        <x:v>COMPATIBLE</x:v>
      </x:c>
      <x:c r="F63" s="25" t="str">
        <x:v>True</x:v>
      </x:c>
      <x:c r="G63" s="24" t="str">
        <x:v>Compatible exact string/phrase for unsmoothed public Ngram retrieval (current interface supports up to seven words).</x:v>
      </x:c>
      <x:c r="H63" s="25" t="str">
        <x:v>CONTEXT_REQUIRED</x:v>
      </x:c>
      <x:c r="I63" s="24" t="str">
        <x:v>Fear of Temperature_ Stratified Lexical Expansion, Voice Mapping, and Semantic-Relational Pre-Valida.pdf</x:v>
      </x:c>
      <x:c r="J63" s="25" t="str">
        <x:v>10</x:v>
      </x:c>
      <x:c r="K63" s="49" t="str">
        <x:v>RECONSTRUCTED_FROM_REPORT</x:v>
      </x:c>
    </x:row>
    <x:row r="64" ht="19" customHeight="1">
      <x:c r="A64" s="23" t="str">
        <x:v>FT-Q-V01-063</x:v>
      </x:c>
      <x:c r="B64" s="25" t="str">
        <x:v>2006–2007</x:v>
      </x:c>
      <x:c r="C64" s="24" t="str">
        <x:v>global average air and ocean temperatures</x:v>
      </x:c>
      <x:c r="D64" s="25" t="str">
        <x:v>EXECUTABLE_NGRAM</x:v>
      </x:c>
      <x:c r="E64" s="25" t="str">
        <x:v>COMPATIBLE</x:v>
      </x:c>
      <x:c r="F64" s="25" t="str">
        <x:v>True</x:v>
      </x:c>
      <x:c r="G64" s="24" t="str">
        <x:v>Compatible exact string/phrase for unsmoothed public Ngram retrieval (current interface supports up to seven words).</x:v>
      </x:c>
      <x:c r="H64" s="25" t="str">
        <x:v>CONTEXT_REQUIRED</x:v>
      </x:c>
      <x:c r="I64" s="24" t="str">
        <x:v>Fear of Temperature_ Stratified Lexical Expansion, Voice Mapping, and Semantic-Relational Pre-Valida.pdf</x:v>
      </x:c>
      <x:c r="J64" s="25" t="str">
        <x:v>10</x:v>
      </x:c>
      <x:c r="K64" s="49" t="str">
        <x:v>RECONSTRUCTED_FROM_REPORT</x:v>
      </x:c>
    </x:row>
    <x:row r="65" ht="19" customHeight="1">
      <x:c r="A65" s="23" t="str">
        <x:v>FT-Q-V01-064</x:v>
      </x:c>
      <x:c r="B65" s="25" t="str">
        <x:v>2006–2007</x:v>
      </x:c>
      <x:c r="C65" s="24" t="str">
        <x:v>global surface temperature</x:v>
      </x:c>
      <x:c r="D65" s="25" t="str">
        <x:v>EXECUTABLE_NGRAM</x:v>
      </x:c>
      <x:c r="E65" s="25" t="str">
        <x:v>COMPATIBLE</x:v>
      </x:c>
      <x:c r="F65" s="25" t="str">
        <x:v>True</x:v>
      </x:c>
      <x:c r="G65" s="24" t="str">
        <x:v>Compatible exact string/phrase for unsmoothed public Ngram retrieval (current interface supports up to seven words).</x:v>
      </x:c>
      <x:c r="H65" s="25" t="str">
        <x:v>CONTEXT_REQUIRED</x:v>
      </x:c>
      <x:c r="I65" s="24" t="str">
        <x:v>Fear of Temperature_ Stratified Lexical Expansion, Voice Mapping, and Semantic-Relational Pre-Valida.pdf</x:v>
      </x:c>
      <x:c r="J65" s="25" t="str">
        <x:v>10</x:v>
      </x:c>
      <x:c r="K65" s="49" t="str">
        <x:v>RECONSTRUCTED_FROM_REPORT</x:v>
      </x:c>
    </x:row>
    <x:row r="66" ht="19" customHeight="1">
      <x:c r="A66" s="23" t="str">
        <x:v>FT-Q-V01-065</x:v>
      </x:c>
      <x:c r="B66" s="25" t="str">
        <x:v>2006–2007</x:v>
      </x:c>
      <x:c r="C66" s="24" t="str">
        <x:v>temperature increase</x:v>
      </x:c>
      <x:c r="D66" s="25" t="str">
        <x:v>EXECUTABLE_NGRAM</x:v>
      </x:c>
      <x:c r="E66" s="25" t="str">
        <x:v>COMPATIBLE</x:v>
      </x:c>
      <x:c r="F66" s="25" t="str">
        <x:v>True</x:v>
      </x:c>
      <x:c r="G66" s="24" t="str">
        <x:v>Compatible exact string/phrase for unsmoothed public Ngram retrieval (current interface supports up to seven words).</x:v>
      </x:c>
      <x:c r="H66" s="25" t="str">
        <x:v>CLIMATE_SPECIFIC</x:v>
      </x:c>
      <x:c r="I66" s="24" t="str">
        <x:v>Fear of Temperature_ Stratified Lexical Expansion, Voice Mapping, and Semantic-Relational Pre-Valida.pdf</x:v>
      </x:c>
      <x:c r="J66" s="25" t="str">
        <x:v>10</x:v>
      </x:c>
      <x:c r="K66" s="49" t="str">
        <x:v>RECONSTRUCTED_FROM_REPORT</x:v>
      </x:c>
    </x:row>
    <x:row r="67" ht="19" customHeight="1">
      <x:c r="A67" s="23" t="str">
        <x:v>FT-Q-V01-066</x:v>
      </x:c>
      <x:c r="B67" s="25" t="str">
        <x:v>2006–2007</x:v>
      </x:c>
      <x:c r="C67" s="24" t="str">
        <x:v>rising global average sea level</x:v>
      </x:c>
      <x:c r="D67" s="25" t="str">
        <x:v>EXECUTABLE_NGRAM</x:v>
      </x:c>
      <x:c r="E67" s="25" t="str">
        <x:v>COMPATIBLE</x:v>
      </x:c>
      <x:c r="F67" s="25" t="str">
        <x:v>True</x:v>
      </x:c>
      <x:c r="G67" s="24" t="str">
        <x:v>Compatible exact string/phrase for unsmoothed public Ngram retrieval (current interface supports up to seven words).</x:v>
      </x:c>
      <x:c r="H67" s="25" t="str">
        <x:v>CONTEXT_REQUIRED</x:v>
      </x:c>
      <x:c r="I67" s="24" t="str">
        <x:v>Fear of Temperature_ Stratified Lexical Expansion, Voice Mapping, and Semantic-Relational Pre-Valida.pdf</x:v>
      </x:c>
      <x:c r="J67" s="25" t="str">
        <x:v>10</x:v>
      </x:c>
      <x:c r="K67" s="49" t="str">
        <x:v>RECONSTRUCTED_FROM_REPORT</x:v>
      </x:c>
    </x:row>
    <x:row r="68" ht="19" customHeight="1">
      <x:c r="A68" s="23" t="str">
        <x:v>FT-Q-V01-067</x:v>
      </x:c>
      <x:c r="B68" s="25" t="str">
        <x:v>2006–2007</x:v>
      </x:c>
      <x:c r="C68" s="24" t="str">
        <x:v>widespread melting of snow and ice</x:v>
      </x:c>
      <x:c r="D68" s="25" t="str">
        <x:v>EXECUTABLE_NGRAM</x:v>
      </x:c>
      <x:c r="E68" s="25" t="str">
        <x:v>COMPATIBLE</x:v>
      </x:c>
      <x:c r="F68" s="25" t="str">
        <x:v>True</x:v>
      </x:c>
      <x:c r="G68" s="24" t="str">
        <x:v>Compatible exact string/phrase for unsmoothed public Ngram retrieval (current interface supports up to seven words).</x:v>
      </x:c>
      <x:c r="H68" s="25" t="str">
        <x:v>CONTEXT_REQUIRED</x:v>
      </x:c>
      <x:c r="I68" s="24" t="str">
        <x:v>Fear of Temperature_ Stratified Lexical Expansion, Voice Mapping, and Semantic-Relational Pre-Valida.pdf</x:v>
      </x:c>
      <x:c r="J68" s="25" t="str">
        <x:v>10</x:v>
      </x:c>
      <x:c r="K68" s="49" t="str">
        <x:v>RECONSTRUCTED_FROM_REPORT</x:v>
      </x:c>
    </x:row>
    <x:row r="69" ht="19" customHeight="1">
      <x:c r="A69" s="23" t="str">
        <x:v>FT-Q-V01-068</x:v>
      </x:c>
      <x:c r="B69" s="25" t="str">
        <x:v>2006–2007</x:v>
      </x:c>
      <x:c r="C69" s="24" t="str">
        <x:v>anthropogenic CO₂</x:v>
      </x:c>
      <x:c r="D69" s="25" t="str">
        <x:v>EXECUTABLE_CORPUS_ONLY</x:v>
      </x:c>
      <x:c r="E69" s="25" t="str">
        <x:v>NUMERIC_OR_SYMBOLIC</x:v>
      </x:c>
      <x:c r="F69" s="25" t="str">
        <x:v>False</x:v>
      </x:c>
      <x:c r="G69" s="24" t="str">
        <x:v>Degree/subscript notation is not queried as an isolated public-interface Ngram.</x:v>
      </x:c>
      <x:c r="H69" s="25" t="str">
        <x:v>CONTEXT_REQUIRED</x:v>
      </x:c>
      <x:c r="I69" s="24" t="str">
        <x:v>Fear of Temperature_ Stratified Lexical Expansion, Voice Mapping, and Semantic-Relational Pre-Valida.pdf</x:v>
      </x:c>
      <x:c r="J69" s="25" t="str">
        <x:v>10</x:v>
      </x:c>
      <x:c r="K69" s="49" t="str">
        <x:v>RECONSTRUCTED_FROM_REPORT</x:v>
      </x:c>
    </x:row>
    <x:row r="70" ht="19" customHeight="1">
      <x:c r="A70" s="23" t="str">
        <x:v>FT-Q-V01-069</x:v>
      </x:c>
      <x:c r="B70" s="25" t="str">
        <x:v>2006–2007</x:v>
      </x:c>
      <x:c r="C70" s="24" t="str">
        <x:v>anthropogenic GHG emissions</x:v>
      </x:c>
      <x:c r="D70" s="25" t="str">
        <x:v>EXECUTABLE_NGRAM</x:v>
      </x:c>
      <x:c r="E70" s="25" t="str">
        <x:v>COMPATIBLE</x:v>
      </x:c>
      <x:c r="F70" s="25" t="str">
        <x:v>True</x:v>
      </x:c>
      <x:c r="G70" s="24" t="str">
        <x:v>Compatible exact string/phrase for unsmoothed public Ngram retrieval (current interface supports up to seven words).</x:v>
      </x:c>
      <x:c r="H70" s="25" t="str">
        <x:v>CONTEXT_REQUIRED</x:v>
      </x:c>
      <x:c r="I70" s="24" t="str">
        <x:v>Fear of Temperature_ Stratified Lexical Expansion, Voice Mapping, and Semantic-Relational Pre-Valida.pdf</x:v>
      </x:c>
      <x:c r="J70" s="25" t="str">
        <x:v>10</x:v>
      </x:c>
      <x:c r="K70" s="49" t="str">
        <x:v>RECONSTRUCTED_FROM_REPORT</x:v>
      </x:c>
    </x:row>
    <x:row r="71" ht="19" customHeight="1">
      <x:c r="A71" s="23" t="str">
        <x:v>FT-Q-V01-070</x:v>
      </x:c>
      <x:c r="B71" s="25" t="str">
        <x:v>2006–2007</x:v>
      </x:c>
      <x:c r="C71" s="24" t="str">
        <x:v>climate change</x:v>
      </x:c>
      <x:c r="D71" s="25" t="str">
        <x:v>EXECUTABLE_NGRAM</x:v>
      </x:c>
      <x:c r="E71" s="25" t="str">
        <x:v>COMPATIBLE</x:v>
      </x:c>
      <x:c r="F71" s="25" t="str">
        <x:v>True</x:v>
      </x:c>
      <x:c r="G71" s="24" t="str">
        <x:v>Compatible exact string/phrase for unsmoothed public Ngram retrieval (current interface supports up to seven words).</x:v>
      </x:c>
      <x:c r="H71" s="25" t="str">
        <x:v>CLIMATE_SPECIFIC</x:v>
      </x:c>
      <x:c r="I71" s="24" t="str">
        <x:v>Fear of Temperature_ Stratified Lexical Expansion, Voice Mapping, and Semantic-Relational Pre-Valida.pdf</x:v>
      </x:c>
      <x:c r="J71" s="25" t="str">
        <x:v>10</x:v>
      </x:c>
      <x:c r="K71" s="49" t="str">
        <x:v>RECONSTRUCTED_FROM_REPORT</x:v>
      </x:c>
    </x:row>
    <x:row r="72" ht="19" customHeight="1">
      <x:c r="A72" s="23" t="str">
        <x:v>FT-Q-V01-071</x:v>
      </x:c>
      <x:c r="B72" s="25" t="str">
        <x:v>2006–2007</x:v>
      </x:c>
      <x:c r="C72" s="24" t="str">
        <x:v>global warming</x:v>
      </x:c>
      <x:c r="D72" s="25" t="str">
        <x:v>EXECUTABLE_NGRAM</x:v>
      </x:c>
      <x:c r="E72" s="25" t="str">
        <x:v>COMPATIBLE</x:v>
      </x:c>
      <x:c r="F72" s="25" t="str">
        <x:v>True</x:v>
      </x:c>
      <x:c r="G72" s="24" t="str">
        <x:v>Compatible exact string/phrase for unsmoothed public Ngram retrieval (current interface supports up to seven words).</x:v>
      </x:c>
      <x:c r="H72" s="25" t="str">
        <x:v>CLIMATE_SPECIFIC</x:v>
      </x:c>
      <x:c r="I72" s="24" t="str">
        <x:v>Fear of Temperature_ Stratified Lexical Expansion, Voice Mapping, and Semantic-Relational Pre-Valida.pdf</x:v>
      </x:c>
      <x:c r="J72" s="25" t="str">
        <x:v>10</x:v>
      </x:c>
      <x:c r="K72" s="49" t="str">
        <x:v>RECONSTRUCTED_FROM_REPORT</x:v>
      </x:c>
    </x:row>
    <x:row r="73" ht="19" customHeight="1">
      <x:c r="A73" s="23" t="str">
        <x:v>FT-Q-V01-072</x:v>
      </x:c>
      <x:c r="B73" s="25" t="str">
        <x:v>2006–2007</x:v>
      </x:c>
      <x:c r="C73" s="24" t="str">
        <x:v>serious global threat</x:v>
      </x:c>
      <x:c r="D73" s="25" t="str">
        <x:v>EXECUTABLE_NGRAM</x:v>
      </x:c>
      <x:c r="E73" s="25" t="str">
        <x:v>COMPATIBLE</x:v>
      </x:c>
      <x:c r="F73" s="25" t="str">
        <x:v>True</x:v>
      </x:c>
      <x:c r="G73" s="24" t="str">
        <x:v>Compatible exact string/phrase for unsmoothed public Ngram retrieval (current interface supports up to seven words).</x:v>
      </x:c>
      <x:c r="H73" s="25" t="str">
        <x:v>CONTEXT_REQUIRED</x:v>
      </x:c>
      <x:c r="I73" s="24" t="str">
        <x:v>Fear of Temperature_ Stratified Lexical Expansion, Voice Mapping, and Semantic-Relational Pre-Valida.pdf</x:v>
      </x:c>
      <x:c r="J73" s="25" t="str">
        <x:v>10</x:v>
      </x:c>
      <x:c r="K73" s="49" t="str">
        <x:v>RECONSTRUCTED_FROM_REPORT</x:v>
      </x:c>
    </x:row>
    <x:row r="74" ht="19" customHeight="1">
      <x:c r="A74" s="23" t="str">
        <x:v>FT-Q-V01-073</x:v>
      </x:c>
      <x:c r="B74" s="25" t="str">
        <x:v>2006–2007</x:v>
      </x:c>
      <x:c r="C74" s="24" t="str">
        <x:v>urgent global response</x:v>
      </x:c>
      <x:c r="D74" s="25" t="str">
        <x:v>EXECUTABLE_NGRAM</x:v>
      </x:c>
      <x:c r="E74" s="25" t="str">
        <x:v>COMPATIBLE</x:v>
      </x:c>
      <x:c r="F74" s="25" t="str">
        <x:v>True</x:v>
      </x:c>
      <x:c r="G74" s="24" t="str">
        <x:v>Compatible exact string/phrase for unsmoothed public Ngram retrieval (current interface supports up to seven words).</x:v>
      </x:c>
      <x:c r="H74" s="25" t="str">
        <x:v>CONTEXT_REQUIRED</x:v>
      </x:c>
      <x:c r="I74" s="24" t="str">
        <x:v>Fear of Temperature_ Stratified Lexical Expansion, Voice Mapping, and Semantic-Relational Pre-Valida.pdf</x:v>
      </x:c>
      <x:c r="J74" s="25" t="str">
        <x:v>10</x:v>
      </x:c>
      <x:c r="K74" s="49" t="str">
        <x:v>RECONSTRUCTED_FROM_REPORT</x:v>
      </x:c>
    </x:row>
    <x:row r="75" ht="19" customHeight="1">
      <x:c r="A75" s="23" t="str">
        <x:v>FT-Q-V01-074</x:v>
      </x:c>
      <x:c r="B75" s="25" t="str">
        <x:v>2006–2007</x:v>
      </x:c>
      <x:c r="C75" s="24" t="str">
        <x:v>costs and risks of climate change</x:v>
      </x:c>
      <x:c r="D75" s="25" t="str">
        <x:v>EXECUTABLE_NGRAM</x:v>
      </x:c>
      <x:c r="E75" s="25" t="str">
        <x:v>COMPATIBLE</x:v>
      </x:c>
      <x:c r="F75" s="25" t="str">
        <x:v>True</x:v>
      </x:c>
      <x:c r="G75" s="24" t="str">
        <x:v>Compatible exact string/phrase for unsmoothed public Ngram retrieval (current interface supports up to seven words).</x:v>
      </x:c>
      <x:c r="H75" s="25" t="str">
        <x:v>CONTEXT_REQUIRED</x:v>
      </x:c>
      <x:c r="I75" s="24" t="str">
        <x:v>Fear of Temperature_ Stratified Lexical Expansion, Voice Mapping, and Semantic-Relational Pre-Valida.pdf</x:v>
      </x:c>
      <x:c r="J75" s="25" t="str">
        <x:v>10</x:v>
      </x:c>
      <x:c r="K75" s="49" t="str">
        <x:v>RECONSTRUCTED_FROM_REPORT</x:v>
      </x:c>
    </x:row>
    <x:row r="76" ht="19" customHeight="1">
      <x:c r="A76" s="23" t="str">
        <x:v>FT-Q-V01-075</x:v>
      </x:c>
      <x:c r="B76" s="25" t="str">
        <x:v>2006–2007</x:v>
      </x:c>
      <x:c r="C76" s="24" t="str">
        <x:v>impacts of climate change</x:v>
      </x:c>
      <x:c r="D76" s="25" t="str">
        <x:v>EXECUTABLE_NGRAM</x:v>
      </x:c>
      <x:c r="E76" s="25" t="str">
        <x:v>COMPATIBLE</x:v>
      </x:c>
      <x:c r="F76" s="25" t="str">
        <x:v>True</x:v>
      </x:c>
      <x:c r="G76" s="24" t="str">
        <x:v>Compatible exact string/phrase for unsmoothed public Ngram retrieval (current interface supports up to seven words).</x:v>
      </x:c>
      <x:c r="H76" s="25" t="str">
        <x:v>CONTEXT_REQUIRED</x:v>
      </x:c>
      <x:c r="I76" s="24" t="str">
        <x:v>Fear of Temperature_ Stratified Lexical Expansion, Voice Mapping, and Semantic-Relational Pre-Valida.pdf</x:v>
      </x:c>
      <x:c r="J76" s="25" t="str">
        <x:v>10</x:v>
      </x:c>
      <x:c r="K76" s="49" t="str">
        <x:v>RECONSTRUCTED_FROM_REPORT</x:v>
      </x:c>
    </x:row>
    <x:row r="77" ht="19" customHeight="1">
      <x:c r="A77" s="23" t="str">
        <x:v>FT-Q-V01-076</x:v>
      </x:c>
      <x:c r="B77" s="25" t="str">
        <x:v>2006–2007</x:v>
      </x:c>
      <x:c r="C77" s="24" t="str">
        <x:v>damage</x:v>
      </x:c>
      <x:c r="D77" s="25" t="str">
        <x:v>BACKGROUND_AMBIGUOUS</x:v>
      </x:c>
      <x:c r="E77" s="25" t="str">
        <x:v>COMPATIBLE</x:v>
      </x:c>
      <x:c r="F77" s="25" t="str">
        <x:v>True</x:v>
      </x:c>
      <x:c r="G77" s="24" t="str">
        <x:v>Compatible exact string/phrase for unsmoothed public Ngram retrieval (current interface supports up to seven words).</x:v>
      </x:c>
      <x:c r="H77" s="25" t="str">
        <x:v>BACKGROUND_AMBIGUOUS</x:v>
      </x:c>
      <x:c r="I77" s="24" t="str">
        <x:v>Fear of Temperature_ Stratified Lexical Expansion, Voice Mapping, and Semantic-Relational Pre-Valida.pdf</x:v>
      </x:c>
      <x:c r="J77" s="25" t="str">
        <x:v>10</x:v>
      </x:c>
      <x:c r="K77" s="49" t="str">
        <x:v>RECONSTRUCTED_FROM_REPORT</x:v>
      </x:c>
    </x:row>
    <x:row r="78" ht="19" customHeight="1">
      <x:c r="A78" s="23" t="str">
        <x:v>FT-Q-V01-077</x:v>
      </x:c>
      <x:c r="B78" s="25" t="str">
        <x:v>2006–2007</x:v>
      </x:c>
      <x:c r="C78" s="24" t="str">
        <x:v>hunger</x:v>
      </x:c>
      <x:c r="D78" s="25" t="str">
        <x:v>EXECUTABLE_NGRAM</x:v>
      </x:c>
      <x:c r="E78" s="25" t="str">
        <x:v>COMPATIBLE</x:v>
      </x:c>
      <x:c r="F78" s="25" t="str">
        <x:v>True</x:v>
      </x:c>
      <x:c r="G78" s="24" t="str">
        <x:v>Compatible exact string/phrase for unsmoothed public Ngram retrieval (current interface supports up to seven words).</x:v>
      </x:c>
      <x:c r="H78" s="25" t="str">
        <x:v>CONTEXT_REQUIRED</x:v>
      </x:c>
      <x:c r="I78" s="24" t="str">
        <x:v>Fear of Temperature_ Stratified Lexical Expansion, Voice Mapping, and Semantic-Relational Pre-Valida.pdf</x:v>
      </x:c>
      <x:c r="J78" s="25" t="str">
        <x:v>10</x:v>
      </x:c>
      <x:c r="K78" s="49" t="str">
        <x:v>RECONSTRUCTED_FROM_REPORT</x:v>
      </x:c>
    </x:row>
    <x:row r="79" ht="19" customHeight="1">
      <x:c r="A79" s="23" t="str">
        <x:v>FT-Q-V01-078</x:v>
      </x:c>
      <x:c r="B79" s="25" t="str">
        <x:v>2006–2007</x:v>
      </x:c>
      <x:c r="C79" s="24" t="str">
        <x:v>water shortages</x:v>
      </x:c>
      <x:c r="D79" s="25" t="str">
        <x:v>EXECUTABLE_NGRAM</x:v>
      </x:c>
      <x:c r="E79" s="25" t="str">
        <x:v>COMPATIBLE</x:v>
      </x:c>
      <x:c r="F79" s="25" t="str">
        <x:v>True</x:v>
      </x:c>
      <x:c r="G79" s="24" t="str">
        <x:v>Compatible exact string/phrase for unsmoothed public Ngram retrieval (current interface supports up to seven words).</x:v>
      </x:c>
      <x:c r="H79" s="25" t="str">
        <x:v>CONTEXT_REQUIRED</x:v>
      </x:c>
      <x:c r="I79" s="24" t="str">
        <x:v>Fear of Temperature_ Stratified Lexical Expansion, Voice Mapping, and Semantic-Relational Pre-Valida.pdf</x:v>
      </x:c>
      <x:c r="J79" s="25" t="str">
        <x:v>10</x:v>
      </x:c>
      <x:c r="K79" s="49" t="str">
        <x:v>RECONSTRUCTED_FROM_REPORT</x:v>
      </x:c>
    </x:row>
    <x:row r="80" ht="19" customHeight="1">
      <x:c r="A80" s="23" t="str">
        <x:v>FT-Q-V01-079</x:v>
      </x:c>
      <x:c r="B80" s="25" t="str">
        <x:v>2006–2007</x:v>
      </x:c>
      <x:c r="C80" s="24" t="str">
        <x:v>coastal flooding</x:v>
      </x:c>
      <x:c r="D80" s="25" t="str">
        <x:v>EXECUTABLE_NGRAM</x:v>
      </x:c>
      <x:c r="E80" s="25" t="str">
        <x:v>COMPATIBLE</x:v>
      </x:c>
      <x:c r="F80" s="25" t="str">
        <x:v>True</x:v>
      </x:c>
      <x:c r="G80" s="24" t="str">
        <x:v>Compatible exact string/phrase for unsmoothed public Ngram retrieval (current interface supports up to seven words).</x:v>
      </x:c>
      <x:c r="H80" s="25" t="str">
        <x:v>CONTEXT_REQUIRED</x:v>
      </x:c>
      <x:c r="I80" s="24" t="str">
        <x:v>Fear of Temperature_ Stratified Lexical Expansion, Voice Mapping, and Semantic-Relational Pre-Valida.pdf</x:v>
      </x:c>
      <x:c r="J80" s="25" t="str">
        <x:v>10</x:v>
      </x:c>
      <x:c r="K80" s="49" t="str">
        <x:v>RECONSTRUCTED_FROM_REPORT</x:v>
      </x:c>
    </x:row>
    <x:row r="81" ht="19" customHeight="1">
      <x:c r="A81" s="23" t="str">
        <x:v>FT-Q-V01-080</x:v>
      </x:c>
      <x:c r="B81" s="25" t="str">
        <x:v>2006–2007</x:v>
      </x:c>
      <x:c r="C81" s="24" t="str">
        <x:v>worst impacts</x:v>
      </x:c>
      <x:c r="D81" s="25" t="str">
        <x:v>EXECUTABLE_NGRAM</x:v>
      </x:c>
      <x:c r="E81" s="25" t="str">
        <x:v>COMPATIBLE</x:v>
      </x:c>
      <x:c r="F81" s="25" t="str">
        <x:v>True</x:v>
      </x:c>
      <x:c r="G81" s="24" t="str">
        <x:v>Compatible exact string/phrase for unsmoothed public Ngram retrieval (current interface supports up to seven words).</x:v>
      </x:c>
      <x:c r="H81" s="25" t="str">
        <x:v>CONTEXT_REQUIRED</x:v>
      </x:c>
      <x:c r="I81" s="24" t="str">
        <x:v>Fear of Temperature_ Stratified Lexical Expansion, Voice Mapping, and Semantic-Relational Pre-Valida.pdf</x:v>
      </x:c>
      <x:c r="J81" s="25" t="str">
        <x:v>10</x:v>
      </x:c>
      <x:c r="K81" s="49" t="str">
        <x:v>RECONSTRUCTED_FROM_REPORT</x:v>
      </x:c>
    </x:row>
    <x:row r="82" ht="19" customHeight="1">
      <x:c r="A82" s="23" t="str">
        <x:v>FT-Q-V01-081</x:v>
      </x:c>
      <x:c r="B82" s="25" t="str">
        <x:v>2015</x:v>
      </x:c>
      <x:c r="C82" s="24" t="str">
        <x:v>climate change</x:v>
      </x:c>
      <x:c r="D82" s="25" t="str">
        <x:v>EXECUTABLE_NGRAM</x:v>
      </x:c>
      <x:c r="E82" s="25" t="str">
        <x:v>COMPATIBLE</x:v>
      </x:c>
      <x:c r="F82" s="25" t="str">
        <x:v>True</x:v>
      </x:c>
      <x:c r="G82" s="24" t="str">
        <x:v>Compatible exact string/phrase for unsmoothed public Ngram retrieval (current interface supports up to seven words).</x:v>
      </x:c>
      <x:c r="H82" s="25" t="str">
        <x:v>CLIMATE_SPECIFIC</x:v>
      </x:c>
      <x:c r="I82" s="24" t="str">
        <x:v>Fear of Temperature_ Stratified Lexical Expansion, Voice Mapping, and Semantic-Relational Pre-Valida.pdf</x:v>
      </x:c>
      <x:c r="J82" s="25" t="str">
        <x:v>11</x:v>
      </x:c>
      <x:c r="K82" s="49" t="str">
        <x:v>RECONSTRUCTED_FROM_REPORT</x:v>
      </x:c>
    </x:row>
    <x:row r="83" ht="19" customHeight="1">
      <x:c r="A83" s="23" t="str">
        <x:v>FT-Q-V01-082</x:v>
      </x:c>
      <x:c r="B83" s="25" t="str">
        <x:v>2015</x:v>
      </x:c>
      <x:c r="C83" s="24" t="str">
        <x:v>threat of climate change</x:v>
      </x:c>
      <x:c r="D83" s="25" t="str">
        <x:v>EXECUTABLE_NGRAM</x:v>
      </x:c>
      <x:c r="E83" s="25" t="str">
        <x:v>COMPATIBLE</x:v>
      </x:c>
      <x:c r="F83" s="25" t="str">
        <x:v>True</x:v>
      </x:c>
      <x:c r="G83" s="24" t="str">
        <x:v>Compatible exact string/phrase for unsmoothed public Ngram retrieval (current interface supports up to seven words).</x:v>
      </x:c>
      <x:c r="H83" s="25" t="str">
        <x:v>CONTEXT_REQUIRED</x:v>
      </x:c>
      <x:c r="I83" s="24" t="str">
        <x:v>Fear of Temperature_ Stratified Lexical Expansion, Voice Mapping, and Semantic-Relational Pre-Valida.pdf</x:v>
      </x:c>
      <x:c r="J83" s="25" t="str">
        <x:v>11</x:v>
      </x:c>
      <x:c r="K83" s="49" t="str">
        <x:v>RECONSTRUCTED_FROM_REPORT</x:v>
      </x:c>
    </x:row>
    <x:row r="84" ht="19" customHeight="1">
      <x:c r="A84" s="23" t="str">
        <x:v>FT-Q-V01-083</x:v>
      </x:c>
      <x:c r="B84" s="25" t="str">
        <x:v>2015</x:v>
      </x:c>
      <x:c r="C84" s="24" t="str">
        <x:v>global average temperature</x:v>
      </x:c>
      <x:c r="D84" s="25" t="str">
        <x:v>EXECUTABLE_NGRAM</x:v>
      </x:c>
      <x:c r="E84" s="25" t="str">
        <x:v>COMPATIBLE</x:v>
      </x:c>
      <x:c r="F84" s="25" t="str">
        <x:v>True</x:v>
      </x:c>
      <x:c r="G84" s="24" t="str">
        <x:v>Compatible exact string/phrase for unsmoothed public Ngram retrieval (current interface supports up to seven words).</x:v>
      </x:c>
      <x:c r="H84" s="25" t="str">
        <x:v>CLIMATE_SPECIFIC</x:v>
      </x:c>
      <x:c r="I84" s="24" t="str">
        <x:v>Fear of Temperature_ Stratified Lexical Expansion, Voice Mapping, and Semantic-Relational Pre-Valida.pdf</x:v>
      </x:c>
      <x:c r="J84" s="25" t="str">
        <x:v>11</x:v>
      </x:c>
      <x:c r="K84" s="49" t="str">
        <x:v>RECONSTRUCTED_FROM_REPORT</x:v>
      </x:c>
    </x:row>
    <x:row r="85" ht="19" customHeight="1">
      <x:c r="A85" s="23" t="str">
        <x:v>FT-Q-V01-084</x:v>
      </x:c>
      <x:c r="B85" s="25" t="str">
        <x:v>2015</x:v>
      </x:c>
      <x:c r="C85" s="24" t="str">
        <x:v>well below 2°C above pre-industrial levels</x:v>
      </x:c>
      <x:c r="D85" s="25" t="str">
        <x:v>EXECUTABLE_CORPUS_ONLY</x:v>
      </x:c>
      <x:c r="E85" s="25" t="str">
        <x:v>NUMERIC_OR_SYMBOLIC</x:v>
      </x:c>
      <x:c r="F85" s="25" t="str">
        <x:v>False</x:v>
      </x:c>
      <x:c r="G85" s="24" t="str">
        <x:v>Degree/subscript notation is not queried as an isolated public-interface Ngram.</x:v>
      </x:c>
      <x:c r="H85" s="25" t="str">
        <x:v>CONTEXT_REQUIRED</x:v>
      </x:c>
      <x:c r="I85" s="24" t="str">
        <x:v>Fear of Temperature_ Stratified Lexical Expansion, Voice Mapping, and Semantic-Relational Pre-Valida.pdf</x:v>
      </x:c>
      <x:c r="J85" s="25" t="str">
        <x:v>11</x:v>
      </x:c>
      <x:c r="K85" s="49" t="str">
        <x:v>RECONSTRUCTED_FROM_REPORT</x:v>
      </x:c>
    </x:row>
    <x:row r="86" ht="19" customHeight="1">
      <x:c r="A86" s="23" t="str">
        <x:v>FT-Q-V01-085</x:v>
      </x:c>
      <x:c r="B86" s="25" t="str">
        <x:v>2015</x:v>
      </x:c>
      <x:c r="C86" s="24" t="str">
        <x:v>1.5°C above pre-industrial levels</x:v>
      </x:c>
      <x:c r="D86" s="25" t="str">
        <x:v>EXECUTABLE_CORPUS_ONLY</x:v>
      </x:c>
      <x:c r="E86" s="25" t="str">
        <x:v>NUMERIC_OR_SYMBOLIC</x:v>
      </x:c>
      <x:c r="F86" s="25" t="str">
        <x:v>False</x:v>
      </x:c>
      <x:c r="G86" s="24" t="str">
        <x:v>Degree/subscript notation is not queried as an isolated public-interface Ngram.</x:v>
      </x:c>
      <x:c r="H86" s="25" t="str">
        <x:v>CONTEXT_REQUIRED</x:v>
      </x:c>
      <x:c r="I86" s="24" t="str">
        <x:v>Fear of Temperature_ Stratified Lexical Expansion, Voice Mapping, and Semantic-Relational Pre-Valida.pdf</x:v>
      </x:c>
      <x:c r="J86" s="25" t="str">
        <x:v>11</x:v>
      </x:c>
      <x:c r="K86" s="49" t="str">
        <x:v>RECONSTRUCTED_FROM_REPORT</x:v>
      </x:c>
    </x:row>
    <x:row r="87" ht="19" customHeight="1">
      <x:c r="A87" s="23" t="str">
        <x:v>FT-Q-V01-086</x:v>
      </x:c>
      <x:c r="B87" s="25" t="str">
        <x:v>2015</x:v>
      </x:c>
      <x:c r="C87" s="24" t="str">
        <x:v>pre-industrial levels</x:v>
      </x:c>
      <x:c r="D87" s="25" t="str">
        <x:v>EXECUTABLE_NGRAM</x:v>
      </x:c>
      <x:c r="E87" s="25" t="str">
        <x:v>COMPATIBLE</x:v>
      </x:c>
      <x:c r="F87" s="25" t="str">
        <x:v>True</x:v>
      </x:c>
      <x:c r="G87" s="24" t="str">
        <x:v>Compatible exact string/phrase for unsmoothed public Ngram retrieval (current interface supports up to seven words).</x:v>
      </x:c>
      <x:c r="H87" s="25" t="str">
        <x:v>CONTEXT_REQUIRED</x:v>
      </x:c>
      <x:c r="I87" s="24" t="str">
        <x:v>Fear of Temperature_ Stratified Lexical Expansion, Voice Mapping, and Semantic-Relational Pre-Valida.pdf</x:v>
      </x:c>
      <x:c r="J87" s="25" t="str">
        <x:v>11</x:v>
      </x:c>
      <x:c r="K87" s="49" t="str">
        <x:v>RECONSTRUCTED_FROM_REPORT</x:v>
      </x:c>
    </x:row>
    <x:row r="88" ht="19" customHeight="1">
      <x:c r="A88" s="23" t="str">
        <x:v>FT-Q-V01-087</x:v>
      </x:c>
      <x:c r="B88" s="25" t="str">
        <x:v>2015</x:v>
      </x:c>
      <x:c r="C88" s="24" t="str">
        <x:v>risks and impacts</x:v>
      </x:c>
      <x:c r="D88" s="25" t="str">
        <x:v>EXECUTABLE_NGRAM</x:v>
      </x:c>
      <x:c r="E88" s="25" t="str">
        <x:v>COMPATIBLE</x:v>
      </x:c>
      <x:c r="F88" s="25" t="str">
        <x:v>True</x:v>
      </x:c>
      <x:c r="G88" s="24" t="str">
        <x:v>Compatible exact string/phrase for unsmoothed public Ngram retrieval (current interface supports up to seven words).</x:v>
      </x:c>
      <x:c r="H88" s="25" t="str">
        <x:v>CONTEXT_REQUIRED</x:v>
      </x:c>
      <x:c r="I88" s="24" t="str">
        <x:v>Fear of Temperature_ Stratified Lexical Expansion, Voice Mapping, and Semantic-Relational Pre-Valida.pdf</x:v>
      </x:c>
      <x:c r="J88" s="25" t="str">
        <x:v>11</x:v>
      </x:c>
      <x:c r="K88" s="49" t="str">
        <x:v>RECONSTRUCTED_FROM_REPORT</x:v>
      </x:c>
    </x:row>
    <x:row r="89" ht="19" customHeight="1">
      <x:c r="A89" s="23" t="str">
        <x:v>FT-Q-V01-088</x:v>
      </x:c>
      <x:c r="B89" s="25" t="str">
        <x:v>2015</x:v>
      </x:c>
      <x:c r="C89" s="24" t="str">
        <x:v>adverse impacts</x:v>
      </x:c>
      <x:c r="D89" s="25" t="str">
        <x:v>EXECUTABLE_NGRAM</x:v>
      </x:c>
      <x:c r="E89" s="25" t="str">
        <x:v>COMPATIBLE</x:v>
      </x:c>
      <x:c r="F89" s="25" t="str">
        <x:v>True</x:v>
      </x:c>
      <x:c r="G89" s="24" t="str">
        <x:v>Compatible exact string/phrase for unsmoothed public Ngram retrieval (current interface supports up to seven words).</x:v>
      </x:c>
      <x:c r="H89" s="25" t="str">
        <x:v>CONTEXT_REQUIRED</x:v>
      </x:c>
      <x:c r="I89" s="24" t="str">
        <x:v>Fear of Temperature_ Stratified Lexical Expansion, Voice Mapping, and Semantic-Relational Pre-Valida.pdf</x:v>
      </x:c>
      <x:c r="J89" s="25" t="str">
        <x:v>11</x:v>
      </x:c>
      <x:c r="K89" s="49" t="str">
        <x:v>RECONSTRUCTED_FROM_REPORT</x:v>
      </x:c>
    </x:row>
    <x:row r="90" ht="19" customHeight="1">
      <x:c r="A90" s="23" t="str">
        <x:v>FT-Q-V01-089</x:v>
      </x:c>
      <x:c r="B90" s="25" t="str">
        <x:v>2015</x:v>
      </x:c>
      <x:c r="C90" s="24" t="str">
        <x:v>adverse effects of climate change</x:v>
      </x:c>
      <x:c r="D90" s="25" t="str">
        <x:v>EXECUTABLE_NGRAM</x:v>
      </x:c>
      <x:c r="E90" s="25" t="str">
        <x:v>COMPATIBLE</x:v>
      </x:c>
      <x:c r="F90" s="25" t="str">
        <x:v>True</x:v>
      </x:c>
      <x:c r="G90" s="24" t="str">
        <x:v>Compatible exact string/phrase for unsmoothed public Ngram retrieval (current interface supports up to seven words).</x:v>
      </x:c>
      <x:c r="H90" s="25" t="str">
        <x:v>CONTEXT_REQUIRED</x:v>
      </x:c>
      <x:c r="I90" s="24" t="str">
        <x:v>Fear of Temperature_ Stratified Lexical Expansion, Voice Mapping, and Semantic-Relational Pre-Valida.pdf</x:v>
      </x:c>
      <x:c r="J90" s="25" t="str">
        <x:v>11</x:v>
      </x:c>
      <x:c r="K90" s="49" t="str">
        <x:v>RECONSTRUCTED_FROM_REPORT</x:v>
      </x:c>
    </x:row>
    <x:row r="91" ht="19" customHeight="1">
      <x:c r="A91" s="23" t="str">
        <x:v>FT-Q-V01-090</x:v>
      </x:c>
      <x:c r="B91" s="25" t="str">
        <x:v>2015</x:v>
      </x:c>
      <x:c r="C91" s="24" t="str">
        <x:v>greenhouse gas emissions</x:v>
      </x:c>
      <x:c r="D91" s="25" t="str">
        <x:v>EXECUTABLE_NGRAM</x:v>
      </x:c>
      <x:c r="E91" s="25" t="str">
        <x:v>COMPATIBLE</x:v>
      </x:c>
      <x:c r="F91" s="25" t="str">
        <x:v>True</x:v>
      </x:c>
      <x:c r="G91" s="24" t="str">
        <x:v>Compatible exact string/phrase for unsmoothed public Ngram retrieval (current interface supports up to seven words).</x:v>
      </x:c>
      <x:c r="H91" s="25" t="str">
        <x:v>CONTEXT_REQUIRED</x:v>
      </x:c>
      <x:c r="I91" s="24" t="str">
        <x:v>Fear of Temperature_ Stratified Lexical Expansion, Voice Mapping, and Semantic-Relational Pre-Valida.pdf</x:v>
      </x:c>
      <x:c r="J91" s="25" t="str">
        <x:v>11</x:v>
      </x:c>
      <x:c r="K91" s="49" t="str">
        <x:v>RECONSTRUCTED_FROM_REPORT</x:v>
      </x:c>
    </x:row>
    <x:row r="92" ht="19" customHeight="1">
      <x:c r="A92" s="23" t="str">
        <x:v>FT-Q-V01-091</x:v>
      </x:c>
      <x:c r="B92" s="25" t="str">
        <x:v>2015</x:v>
      </x:c>
      <x:c r="C92" s="24" t="str">
        <x:v>climate resilience</x:v>
      </x:c>
      <x:c r="D92" s="25" t="str">
        <x:v>EXECUTABLE_NGRAM</x:v>
      </x:c>
      <x:c r="E92" s="25" t="str">
        <x:v>COMPATIBLE</x:v>
      </x:c>
      <x:c r="F92" s="25" t="str">
        <x:v>True</x:v>
      </x:c>
      <x:c r="G92" s="24" t="str">
        <x:v>Compatible exact string/phrase for unsmoothed public Ngram retrieval (current interface supports up to seven words).</x:v>
      </x:c>
      <x:c r="H92" s="25" t="str">
        <x:v>CONTEXT_REQUIRED</x:v>
      </x:c>
      <x:c r="I92" s="24" t="str">
        <x:v>Fear of Temperature_ Stratified Lexical Expansion, Voice Mapping, and Semantic-Relational Pre-Valida.pdf</x:v>
      </x:c>
      <x:c r="J92" s="25" t="str">
        <x:v>11</x:v>
      </x:c>
      <x:c r="K92" s="49" t="str">
        <x:v>RECONSTRUCTED_FROM_REPORT</x:v>
      </x:c>
    </x:row>
    <x:row r="93" ht="19" customHeight="1">
      <x:c r="A93" s="23" t="str">
        <x:v>FT-Q-V01-092</x:v>
      </x:c>
      <x:c r="B93" s="25" t="str">
        <x:v>2015</x:v>
      </x:c>
      <x:c r="C93" s="24" t="str">
        <x:v>vulnerability</x:v>
      </x:c>
      <x:c r="D93" s="25" t="str">
        <x:v>EXECUTABLE_NGRAM</x:v>
      </x:c>
      <x:c r="E93" s="25" t="str">
        <x:v>COMPATIBLE</x:v>
      </x:c>
      <x:c r="F93" s="25" t="str">
        <x:v>True</x:v>
      </x:c>
      <x:c r="G93" s="24" t="str">
        <x:v>Compatible exact string/phrase for unsmoothed public Ngram retrieval (current interface supports up to seven words).</x:v>
      </x:c>
      <x:c r="H93" s="25" t="str">
        <x:v>CONTEXT_REQUIRED</x:v>
      </x:c>
      <x:c r="I93" s="24" t="str">
        <x:v>Fear of Temperature_ Stratified Lexical Expansion, Voice Mapping, and Semantic-Relational Pre-Valida.pdf</x:v>
      </x:c>
      <x:c r="J93" s="25" t="str">
        <x:v>11</x:v>
      </x:c>
      <x:c r="K93" s="49" t="str">
        <x:v>RECONSTRUCTED_FROM_REPORT</x:v>
      </x:c>
    </x:row>
    <x:row r="94" ht="19" customHeight="1">
      <x:c r="A94" s="23" t="str">
        <x:v>FT-Q-V01-093</x:v>
      </x:c>
      <x:c r="B94" s="25" t="str">
        <x:v>2015</x:v>
      </x:c>
      <x:c r="C94" s="24" t="str">
        <x:v>vulnerable groups</x:v>
      </x:c>
      <x:c r="D94" s="25" t="str">
        <x:v>EXECUTABLE_NGRAM</x:v>
      </x:c>
      <x:c r="E94" s="25" t="str">
        <x:v>COMPATIBLE</x:v>
      </x:c>
      <x:c r="F94" s="25" t="str">
        <x:v>True</x:v>
      </x:c>
      <x:c r="G94" s="24" t="str">
        <x:v>Compatible exact string/phrase for unsmoothed public Ngram retrieval (current interface supports up to seven words).</x:v>
      </x:c>
      <x:c r="H94" s="25" t="str">
        <x:v>CONTEXT_REQUIRED</x:v>
      </x:c>
      <x:c r="I94" s="24" t="str">
        <x:v>Fear of Temperature_ Stratified Lexical Expansion, Voice Mapping, and Semantic-Relational Pre-Valida.pdf</x:v>
      </x:c>
      <x:c r="J94" s="25" t="str">
        <x:v>11</x:v>
      </x:c>
      <x:c r="K94" s="49" t="str">
        <x:v>RECONSTRUCTED_FROM_REPORT</x:v>
      </x:c>
    </x:row>
    <x:row r="95" ht="19" customHeight="1">
      <x:c r="A95" s="23" t="str">
        <x:v>FT-Q-V01-094</x:v>
      </x:c>
      <x:c r="B95" s="25" t="str">
        <x:v>2015</x:v>
      </x:c>
      <x:c r="C95" s="24" t="str">
        <x:v>loss and damage</x:v>
      </x:c>
      <x:c r="D95" s="25" t="str">
        <x:v>EXECUTABLE_NGRAM</x:v>
      </x:c>
      <x:c r="E95" s="25" t="str">
        <x:v>COMPATIBLE</x:v>
      </x:c>
      <x:c r="F95" s="25" t="str">
        <x:v>True</x:v>
      </x:c>
      <x:c r="G95" s="24" t="str">
        <x:v>Compatible exact string/phrase for unsmoothed public Ngram retrieval (current interface supports up to seven words).</x:v>
      </x:c>
      <x:c r="H95" s="25" t="str">
        <x:v>CLIMATE_SPECIFIC</x:v>
      </x:c>
      <x:c r="I95" s="24" t="str">
        <x:v>Fear of Temperature_ Stratified Lexical Expansion, Voice Mapping, and Semantic-Relational Pre-Valida.pdf</x:v>
      </x:c>
      <x:c r="J95" s="25" t="str">
        <x:v>11</x:v>
      </x:c>
      <x:c r="K95" s="49" t="str">
        <x:v>RECONSTRUCTED_FROM_REPORT</x:v>
      </x:c>
    </x:row>
    <x:row r="96" ht="19" customHeight="1">
      <x:c r="A96" s="23" t="str">
        <x:v>FT-Q-V01-095</x:v>
      </x:c>
      <x:c r="B96" s="25" t="str">
        <x:v>2015</x:v>
      </x:c>
      <x:c r="C96" s="24" t="str">
        <x:v>extreme weather events</x:v>
      </x:c>
      <x:c r="D96" s="25" t="str">
        <x:v>EXECUTABLE_NGRAM</x:v>
      </x:c>
      <x:c r="E96" s="25" t="str">
        <x:v>COMPATIBLE</x:v>
      </x:c>
      <x:c r="F96" s="25" t="str">
        <x:v>True</x:v>
      </x:c>
      <x:c r="G96" s="24" t="str">
        <x:v>Compatible exact string/phrase for unsmoothed public Ngram retrieval (current interface supports up to seven words).</x:v>
      </x:c>
      <x:c r="H96" s="25" t="str">
        <x:v>CONTEXT_REQUIRED</x:v>
      </x:c>
      <x:c r="I96" s="24" t="str">
        <x:v>Fear of Temperature_ Stratified Lexical Expansion, Voice Mapping, and Semantic-Relational Pre-Valida.pdf</x:v>
      </x:c>
      <x:c r="J96" s="25" t="str">
        <x:v>11</x:v>
      </x:c>
      <x:c r="K96" s="49" t="str">
        <x:v>RECONSTRUCTED_FROM_REPORT</x:v>
      </x:c>
    </x:row>
    <x:row r="97" ht="19" customHeight="1">
      <x:c r="A97" s="23" t="str">
        <x:v>FT-Q-V01-096</x:v>
      </x:c>
      <x:c r="B97" s="25" t="str">
        <x:v>2015</x:v>
      </x:c>
      <x:c r="C97" s="24" t="str">
        <x:v>slow onset events</x:v>
      </x:c>
      <x:c r="D97" s="25" t="str">
        <x:v>EXECUTABLE_NGRAM</x:v>
      </x:c>
      <x:c r="E97" s="25" t="str">
        <x:v>COMPATIBLE</x:v>
      </x:c>
      <x:c r="F97" s="25" t="str">
        <x:v>True</x:v>
      </x:c>
      <x:c r="G97" s="24" t="str">
        <x:v>Compatible exact string/phrase for unsmoothed public Ngram retrieval (current interface supports up to seven words).</x:v>
      </x:c>
      <x:c r="H97" s="25" t="str">
        <x:v>CONTEXT_REQUIRED</x:v>
      </x:c>
      <x:c r="I97" s="24" t="str">
        <x:v>Fear of Temperature_ Stratified Lexical Expansion, Voice Mapping, and Semantic-Relational Pre-Valida.pdf</x:v>
      </x:c>
      <x:c r="J97" s="25" t="str">
        <x:v>11</x:v>
      </x:c>
      <x:c r="K97" s="49" t="str">
        <x:v>RECONSTRUCTED_FROM_REPORT</x:v>
      </x:c>
    </x:row>
    <x:row r="98" ht="19" customHeight="1">
      <x:c r="A98" s="23" t="str">
        <x:v>FT-Q-V01-097</x:v>
      </x:c>
      <x:c r="B98" s="25" t="str">
        <x:v>2015</x:v>
      </x:c>
      <x:c r="C98" s="24" t="str">
        <x:v>risk of loss and damage</x:v>
      </x:c>
      <x:c r="D98" s="25" t="str">
        <x:v>EXECUTABLE_NGRAM</x:v>
      </x:c>
      <x:c r="E98" s="25" t="str">
        <x:v>COMPATIBLE</x:v>
      </x:c>
      <x:c r="F98" s="25" t="str">
        <x:v>True</x:v>
      </x:c>
      <x:c r="G98" s="24" t="str">
        <x:v>Compatible exact string/phrase for unsmoothed public Ngram retrieval (current interface supports up to seven words).</x:v>
      </x:c>
      <x:c r="H98" s="25" t="str">
        <x:v>CONTEXT_REQUIRED</x:v>
      </x:c>
      <x:c r="I98" s="24" t="str">
        <x:v>Fear of Temperature_ Stratified Lexical Expansion, Voice Mapping, and Semantic-Relational Pre-Valida.pdf</x:v>
      </x:c>
      <x:c r="J98" s="25" t="str">
        <x:v>11</x:v>
      </x:c>
      <x:c r="K98" s="49" t="str">
        <x:v>RECONSTRUCTED_FROM_REPORT</x:v>
      </x:c>
    </x:row>
    <x:row r="99" ht="19" customHeight="1">
      <x:c r="A99" s="23" t="str">
        <x:v>FT-Q-V01-098</x:v>
      </x:c>
      <x:c r="B99" s="25" t="str">
        <x:v>2015</x:v>
      </x:c>
      <x:c r="C99" s="24" t="str">
        <x:v>early warning systems</x:v>
      </x:c>
      <x:c r="D99" s="25" t="str">
        <x:v>EXECUTABLE_NGRAM</x:v>
      </x:c>
      <x:c r="E99" s="25" t="str">
        <x:v>COMPATIBLE</x:v>
      </x:c>
      <x:c r="F99" s="25" t="str">
        <x:v>True</x:v>
      </x:c>
      <x:c r="G99" s="24" t="str">
        <x:v>Compatible exact string/phrase for unsmoothed public Ngram retrieval (current interface supports up to seven words).</x:v>
      </x:c>
      <x:c r="H99" s="25" t="str">
        <x:v>CONTEXT_REQUIRED</x:v>
      </x:c>
      <x:c r="I99" s="24" t="str">
        <x:v>Fear of Temperature_ Stratified Lexical Expansion, Voice Mapping, and Semantic-Relational Pre-Valida.pdf</x:v>
      </x:c>
      <x:c r="J99" s="25" t="str">
        <x:v>11</x:v>
      </x:c>
      <x:c r="K99" s="49" t="str">
        <x:v>RECONSTRUCTED_FROM_REPORT</x:v>
      </x:c>
    </x:row>
    <x:row r="100" ht="19" customHeight="1">
      <x:c r="A100" s="23" t="str">
        <x:v>FT-Q-V01-099</x:v>
      </x:c>
      <x:c r="B100" s="25" t="str">
        <x:v>2015</x:v>
      </x:c>
      <x:c r="C100" s="24" t="str">
        <x:v>emergency preparedness</x:v>
      </x:c>
      <x:c r="D100" s="25" t="str">
        <x:v>EXECUTABLE_NGRAM</x:v>
      </x:c>
      <x:c r="E100" s="25" t="str">
        <x:v>COMPATIBLE</x:v>
      </x:c>
      <x:c r="F100" s="25" t="str">
        <x:v>True</x:v>
      </x:c>
      <x:c r="G100" s="24" t="str">
        <x:v>Compatible exact string/phrase for unsmoothed public Ngram retrieval (current interface supports up to seven words).</x:v>
      </x:c>
      <x:c r="H100" s="25" t="str">
        <x:v>CONTEXT_REQUIRED</x:v>
      </x:c>
      <x:c r="I100" s="24" t="str">
        <x:v>Fear of Temperature_ Stratified Lexical Expansion, Voice Mapping, and Semantic-Relational Pre-Valida.pdf</x:v>
      </x:c>
      <x:c r="J100" s="25" t="str">
        <x:v>11</x:v>
      </x:c>
      <x:c r="K100" s="49" t="str">
        <x:v>RECONSTRUCTED_FROM_REPORT</x:v>
      </x:c>
    </x:row>
    <x:row r="101" ht="19" customHeight="1">
      <x:c r="A101" s="23" t="str">
        <x:v>FT-Q-V01-100</x:v>
      </x:c>
      <x:c r="B101" s="25" t="str">
        <x:v>2015</x:v>
      </x:c>
      <x:c r="C101" s="24" t="str">
        <x:v>irreversible and permanent loss and damage</x:v>
      </x:c>
      <x:c r="D101" s="25" t="str">
        <x:v>EXECUTABLE_NGRAM</x:v>
      </x:c>
      <x:c r="E101" s="25" t="str">
        <x:v>COMPATIBLE</x:v>
      </x:c>
      <x:c r="F101" s="25" t="str">
        <x:v>True</x:v>
      </x:c>
      <x:c r="G101" s="24" t="str">
        <x:v>Compatible exact string/phrase for unsmoothed public Ngram retrieval (current interface supports up to seven words).</x:v>
      </x:c>
      <x:c r="H101" s="25" t="str">
        <x:v>CONTEXT_REQUIRED</x:v>
      </x:c>
      <x:c r="I101" s="24" t="str">
        <x:v>Fear of Temperature_ Stratified Lexical Expansion, Voice Mapping, and Semantic-Relational Pre-Valida.pdf</x:v>
      </x:c>
      <x:c r="J101" s="25" t="str">
        <x:v>11</x:v>
      </x:c>
      <x:c r="K101" s="49" t="str">
        <x:v>RECONSTRUCTED_FROM_REPORT</x:v>
      </x:c>
    </x:row>
    <x:row r="102" ht="19" customHeight="1">
      <x:c r="A102" s="23" t="str">
        <x:v>FT-Q-V01-101</x:v>
      </x:c>
      <x:c r="B102" s="25" t="str">
        <x:v>2022</x:v>
      </x:c>
      <x:c r="C102" s="24" t="str">
        <x:v>climate change</x:v>
      </x:c>
      <x:c r="D102" s="25" t="str">
        <x:v>EXECUTABLE_NGRAM</x:v>
      </x:c>
      <x:c r="E102" s="25" t="str">
        <x:v>COMPATIBLE</x:v>
      </x:c>
      <x:c r="F102" s="25" t="str">
        <x:v>True</x:v>
      </x:c>
      <x:c r="G102" s="24" t="str">
        <x:v>Compatible exact string/phrase for unsmoothed public Ngram retrieval (current interface supports up to seven words).</x:v>
      </x:c>
      <x:c r="H102" s="25" t="str">
        <x:v>CLIMATE_SPECIFIC</x:v>
      </x:c>
      <x:c r="I102" s="24" t="str">
        <x:v>Fear of Temperature_ Stratified Lexical Expansion, Voice Mapping, and Semantic-Relational Pre-Valida.pdf</x:v>
      </x:c>
      <x:c r="J102" s="25" t="str">
        <x:v>12</x:v>
      </x:c>
      <x:c r="K102" s="49" t="str">
        <x:v>RECONSTRUCTED_FROM_REPORT</x:v>
      </x:c>
    </x:row>
    <x:row r="103" ht="19" customHeight="1">
      <x:c r="A103" s="23" t="str">
        <x:v>FT-Q-V01-102</x:v>
      </x:c>
      <x:c r="B103" s="25" t="str">
        <x:v>2022</x:v>
      </x:c>
      <x:c r="C103" s="24" t="str">
        <x:v>global warming</x:v>
      </x:c>
      <x:c r="D103" s="25" t="str">
        <x:v>EXECUTABLE_NGRAM</x:v>
      </x:c>
      <x:c r="E103" s="25" t="str">
        <x:v>COMPATIBLE</x:v>
      </x:c>
      <x:c r="F103" s="25" t="str">
        <x:v>True</x:v>
      </x:c>
      <x:c r="G103" s="24" t="str">
        <x:v>Compatible exact string/phrase for unsmoothed public Ngram retrieval (current interface supports up to seven words).</x:v>
      </x:c>
      <x:c r="H103" s="25" t="str">
        <x:v>CLIMATE_SPECIFIC</x:v>
      </x:c>
      <x:c r="I103" s="24" t="str">
        <x:v>Fear of Temperature_ Stratified Lexical Expansion, Voice Mapping, and Semantic-Relational Pre-Valida.pdf</x:v>
      </x:c>
      <x:c r="J103" s="25" t="str">
        <x:v>12</x:v>
      </x:c>
      <x:c r="K103" s="49" t="str">
        <x:v>RECONSTRUCTED_FROM_REPORT</x:v>
      </x:c>
    </x:row>
    <x:row r="104" ht="19" customHeight="1">
      <x:c r="A104" s="23" t="str">
        <x:v>FT-Q-V01-103</x:v>
      </x:c>
      <x:c r="B104" s="25" t="str">
        <x:v>2022</x:v>
      </x:c>
      <x:c r="C104" s="24" t="str">
        <x:v>very worried</x:v>
      </x:c>
      <x:c r="D104" s="25" t="str">
        <x:v>EXECUTABLE_NGRAM</x:v>
      </x:c>
      <x:c r="E104" s="25" t="str">
        <x:v>COMPATIBLE</x:v>
      </x:c>
      <x:c r="F104" s="25" t="str">
        <x:v>True</x:v>
      </x:c>
      <x:c r="G104" s="24" t="str">
        <x:v>Compatible exact string/phrase for unsmoothed public Ngram retrieval (current interface supports up to seven words).</x:v>
      </x:c>
      <x:c r="H104" s="25" t="str">
        <x:v>CONTEXT_REQUIRED</x:v>
      </x:c>
      <x:c r="I104" s="24" t="str">
        <x:v>Fear of Temperature_ Stratified Lexical Expansion, Voice Mapping, and Semantic-Relational Pre-Valida.pdf</x:v>
      </x:c>
      <x:c r="J104" s="25" t="str">
        <x:v>12</x:v>
      </x:c>
      <x:c r="K104" s="49" t="str">
        <x:v>RECONSTRUCTED_FROM_REPORT</x:v>
      </x:c>
    </x:row>
    <x:row r="105" ht="19" customHeight="1">
      <x:c r="A105" s="23" t="str">
        <x:v>FT-Q-V01-104</x:v>
      </x:c>
      <x:c r="B105" s="25" t="str">
        <x:v>2022</x:v>
      </x:c>
      <x:c r="C105" s="24" t="str">
        <x:v>somewhat worried</x:v>
      </x:c>
      <x:c r="D105" s="25" t="str">
        <x:v>EXECUTABLE_NGRAM</x:v>
      </x:c>
      <x:c r="E105" s="25" t="str">
        <x:v>COMPATIBLE</x:v>
      </x:c>
      <x:c r="F105" s="25" t="str">
        <x:v>True</x:v>
      </x:c>
      <x:c r="G105" s="24" t="str">
        <x:v>Compatible exact string/phrase for unsmoothed public Ngram retrieval (current interface supports up to seven words).</x:v>
      </x:c>
      <x:c r="H105" s="25" t="str">
        <x:v>CONTEXT_REQUIRED</x:v>
      </x:c>
      <x:c r="I105" s="24" t="str">
        <x:v>Fear of Temperature_ Stratified Lexical Expansion, Voice Mapping, and Semantic-Relational Pre-Valida.pdf</x:v>
      </x:c>
      <x:c r="J105" s="25" t="str">
        <x:v>12</x:v>
      </x:c>
      <x:c r="K105" s="49" t="str">
        <x:v>RECONSTRUCTED_FROM_REPORT</x:v>
      </x:c>
    </x:row>
    <x:row r="106" ht="19" customHeight="1">
      <x:c r="A106" s="23" t="str">
        <x:v>FT-Q-V01-105</x:v>
      </x:c>
      <x:c r="B106" s="25" t="str">
        <x:v>2022</x:v>
      </x:c>
      <x:c r="C106" s="24" t="str">
        <x:v>afraid</x:v>
      </x:c>
      <x:c r="D106" s="25" t="str">
        <x:v>BACKGROUND_AMBIGUOUS</x:v>
      </x:c>
      <x:c r="E106" s="25" t="str">
        <x:v>COMPATIBLE</x:v>
      </x:c>
      <x:c r="F106" s="25" t="str">
        <x:v>True</x:v>
      </x:c>
      <x:c r="G106" s="24" t="str">
        <x:v>Compatible exact string/phrase for unsmoothed public Ngram retrieval (current interface supports up to seven words).</x:v>
      </x:c>
      <x:c r="H106" s="25" t="str">
        <x:v>BACKGROUND_AMBIGUOUS</x:v>
      </x:c>
      <x:c r="I106" s="24" t="str">
        <x:v>Fear of Temperature_ Stratified Lexical Expansion, Voice Mapping, and Semantic-Relational Pre-Valida.pdf</x:v>
      </x:c>
      <x:c r="J106" s="25" t="str">
        <x:v>12</x:v>
      </x:c>
      <x:c r="K106" s="49" t="str">
        <x:v>RECONSTRUCTED_FROM_REPORT</x:v>
      </x:c>
    </x:row>
    <x:row r="107" ht="19" customHeight="1">
      <x:c r="A107" s="23" t="str">
        <x:v>FT-Q-V01-106</x:v>
      </x:c>
      <x:c r="B107" s="25" t="str">
        <x:v>2022</x:v>
      </x:c>
      <x:c r="C107" s="24" t="str">
        <x:v>anxious</x:v>
      </x:c>
      <x:c r="D107" s="25" t="str">
        <x:v>EXECUTABLE_NGRAM</x:v>
      </x:c>
      <x:c r="E107" s="25" t="str">
        <x:v>COMPATIBLE</x:v>
      </x:c>
      <x:c r="F107" s="25" t="str">
        <x:v>True</x:v>
      </x:c>
      <x:c r="G107" s="24" t="str">
        <x:v>Compatible exact string/phrase for unsmoothed public Ngram retrieval (current interface supports up to seven words).</x:v>
      </x:c>
      <x:c r="H107" s="25" t="str">
        <x:v>CONTEXT_REQUIRED</x:v>
      </x:c>
      <x:c r="I107" s="24" t="str">
        <x:v>Fear of Temperature_ Stratified Lexical Expansion, Voice Mapping, and Semantic-Relational Pre-Valida.pdf</x:v>
      </x:c>
      <x:c r="J107" s="25" t="str">
        <x:v>12</x:v>
      </x:c>
      <x:c r="K107" s="49" t="str">
        <x:v>RECONSTRUCTED_FROM_REPORT</x:v>
      </x:c>
    </x:row>
    <x:row r="108" ht="19" customHeight="1">
      <x:c r="A108" s="23" t="str">
        <x:v>FT-Q-V01-107</x:v>
      </x:c>
      <x:c r="B108" s="25" t="str">
        <x:v>2022</x:v>
      </x:c>
      <x:c r="C108" s="24" t="str">
        <x:v>hopeless</x:v>
      </x:c>
      <x:c r="D108" s="25" t="str">
        <x:v>EXECUTABLE_NGRAM</x:v>
      </x:c>
      <x:c r="E108" s="25" t="str">
        <x:v>COMPATIBLE</x:v>
      </x:c>
      <x:c r="F108" s="25" t="str">
        <x:v>True</x:v>
      </x:c>
      <x:c r="G108" s="24" t="str">
        <x:v>Compatible exact string/phrase for unsmoothed public Ngram retrieval (current interface supports up to seven words).</x:v>
      </x:c>
      <x:c r="H108" s="25" t="str">
        <x:v>CONTEXT_REQUIRED</x:v>
      </x:c>
      <x:c r="I108" s="24" t="str">
        <x:v>Fear of Temperature_ Stratified Lexical Expansion, Voice Mapping, and Semantic-Relational Pre-Valida.pdf</x:v>
      </x:c>
      <x:c r="J108" s="25" t="str">
        <x:v>12</x:v>
      </x:c>
      <x:c r="K108" s="49" t="str">
        <x:v>RECONSTRUCTED_FROM_REPORT</x:v>
      </x:c>
    </x:row>
    <x:row r="109" ht="19" customHeight="1">
      <x:c r="A109" s="23" t="str">
        <x:v>FT-Q-V01-108</x:v>
      </x:c>
      <x:c r="B109" s="25" t="str">
        <x:v>2022</x:v>
      </x:c>
      <x:c r="C109" s="24" t="str">
        <x:v>sad</x:v>
      </x:c>
      <x:c r="D109" s="25" t="str">
        <x:v>EXECUTABLE_NGRAM</x:v>
      </x:c>
      <x:c r="E109" s="25" t="str">
        <x:v>COMPATIBLE</x:v>
      </x:c>
      <x:c r="F109" s="25" t="str">
        <x:v>True</x:v>
      </x:c>
      <x:c r="G109" s="24" t="str">
        <x:v>Compatible exact string/phrase for unsmoothed public Ngram retrieval (current interface supports up to seven words).</x:v>
      </x:c>
      <x:c r="H109" s="25" t="str">
        <x:v>CONTEXT_REQUIRED</x:v>
      </x:c>
      <x:c r="I109" s="24" t="str">
        <x:v>Fear of Temperature_ Stratified Lexical Expansion, Voice Mapping, and Semantic-Relational Pre-Valida.pdf</x:v>
      </x:c>
      <x:c r="J109" s="25" t="str">
        <x:v>12</x:v>
      </x:c>
      <x:c r="K109" s="49" t="str">
        <x:v>RECONSTRUCTED_FROM_REPORT</x:v>
      </x:c>
    </x:row>
    <x:row r="110" ht="19" customHeight="1">
      <x:c r="A110" s="23" t="str">
        <x:v>FT-Q-V01-109</x:v>
      </x:c>
      <x:c r="B110" s="25" t="str">
        <x:v>2022</x:v>
      </x:c>
      <x:c r="C110" s="24" t="str">
        <x:v>angry</x:v>
      </x:c>
      <x:c r="D110" s="25" t="str">
        <x:v>EXECUTABLE_NGRAM</x:v>
      </x:c>
      <x:c r="E110" s="25" t="str">
        <x:v>COMPATIBLE</x:v>
      </x:c>
      <x:c r="F110" s="25" t="str">
        <x:v>True</x:v>
      </x:c>
      <x:c r="G110" s="24" t="str">
        <x:v>Compatible exact string/phrase for unsmoothed public Ngram retrieval (current interface supports up to seven words).</x:v>
      </x:c>
      <x:c r="H110" s="25" t="str">
        <x:v>CONTEXT_REQUIRED</x:v>
      </x:c>
      <x:c r="I110" s="24" t="str">
        <x:v>Fear of Temperature_ Stratified Lexical Expansion, Voice Mapping, and Semantic-Relational Pre-Valida.pdf</x:v>
      </x:c>
      <x:c r="J110" s="25" t="str">
        <x:v>13</x:v>
      </x:c>
      <x:c r="K110" s="49" t="str">
        <x:v>RECONSTRUCTED_FROM_REPORT</x:v>
      </x:c>
    </x:row>
    <x:row r="111" ht="19" customHeight="1">
      <x:c r="A111" s="23" t="str">
        <x:v>FT-Q-V01-110</x:v>
      </x:c>
      <x:c r="B111" s="25" t="str">
        <x:v>2022</x:v>
      </x:c>
      <x:c r="C111" s="24" t="str">
        <x:v>frustrated</x:v>
      </x:c>
      <x:c r="D111" s="25" t="str">
        <x:v>EXECUTABLE_NGRAM</x:v>
      </x:c>
      <x:c r="E111" s="25" t="str">
        <x:v>COMPATIBLE</x:v>
      </x:c>
      <x:c r="F111" s="25" t="str">
        <x:v>True</x:v>
      </x:c>
      <x:c r="G111" s="24" t="str">
        <x:v>Compatible exact string/phrase for unsmoothed public Ngram retrieval (current interface supports up to seven words).</x:v>
      </x:c>
      <x:c r="H111" s="25" t="str">
        <x:v>CONTEXT_REQUIRED</x:v>
      </x:c>
      <x:c r="I111" s="24" t="str">
        <x:v>Fear of Temperature_ Stratified Lexical Expansion, Voice Mapping, and Semantic-Relational Pre-Valida.pdf</x:v>
      </x:c>
      <x:c r="J111" s="25" t="str">
        <x:v>13</x:v>
      </x:c>
      <x:c r="K111" s="49" t="str">
        <x:v>RECONSTRUCTED_FROM_REPORT</x:v>
      </x:c>
    </x:row>
    <x:row r="112" ht="19" customHeight="1">
      <x:c r="A112" s="23" t="str">
        <x:v>FT-Q-V01-111</x:v>
      </x:c>
      <x:c r="B112" s="25" t="str">
        <x:v>2022</x:v>
      </x:c>
      <x:c r="C112" s="24" t="str">
        <x:v>hopeful</x:v>
      </x:c>
      <x:c r="D112" s="25" t="str">
        <x:v>EXECUTABLE_NGRAM</x:v>
      </x:c>
      <x:c r="E112" s="25" t="str">
        <x:v>COMPATIBLE</x:v>
      </x:c>
      <x:c r="F112" s="25" t="str">
        <x:v>True</x:v>
      </x:c>
      <x:c r="G112" s="24" t="str">
        <x:v>Compatible exact string/phrase for unsmoothed public Ngram retrieval (current interface supports up to seven words).</x:v>
      </x:c>
      <x:c r="H112" s="25" t="str">
        <x:v>CONTEXT_REQUIRED</x:v>
      </x:c>
      <x:c r="I112" s="24" t="str">
        <x:v>Fear of Temperature_ Stratified Lexical Expansion, Voice Mapping, and Semantic-Relational Pre-Valida.pdf</x:v>
      </x:c>
      <x:c r="J112" s="25" t="str">
        <x:v>12</x:v>
      </x:c>
      <x:c r="K112" s="49" t="str">
        <x:v>RECONSTRUCTED_FROM_REPORT</x:v>
      </x:c>
    </x:row>
    <x:row r="113" ht="19" customHeight="1">
      <x:c r="A113" s="23" t="str">
        <x:v>FT-Q-V01-112</x:v>
      </x:c>
      <x:c r="B113" s="25" t="str">
        <x:v>2022</x:v>
      </x:c>
      <x:c r="C113" s="24" t="str">
        <x:v>disgusted</x:v>
      </x:c>
      <x:c r="D113" s="25" t="str">
        <x:v>EXECUTABLE_NGRAM</x:v>
      </x:c>
      <x:c r="E113" s="25" t="str">
        <x:v>COMPATIBLE</x:v>
      </x:c>
      <x:c r="F113" s="25" t="str">
        <x:v>True</x:v>
      </x:c>
      <x:c r="G113" s="24" t="str">
        <x:v>Compatible exact string/phrase for unsmoothed public Ngram retrieval (current interface supports up to seven words).</x:v>
      </x:c>
      <x:c r="H113" s="25" t="str">
        <x:v>CONTEXT_REQUIRED</x:v>
      </x:c>
      <x:c r="I113" s="24" t="str">
        <x:v>Fear of Temperature_ Stratified Lexical Expansion, Voice Mapping, and Semantic-Relational Pre-Valida.pdf</x:v>
      </x:c>
      <x:c r="J113" s="25" t="str">
        <x:v>12</x:v>
      </x:c>
      <x:c r="K113" s="49" t="str">
        <x:v>RECONSTRUCTED_FROM_REPORT</x:v>
      </x:c>
    </x:row>
    <x:row r="114" ht="19" customHeight="1">
      <x:c r="A114" s="23" t="str">
        <x:v>FT-Q-V01-113</x:v>
      </x:c>
      <x:c r="B114" s="25" t="str">
        <x:v>2022</x:v>
      </x:c>
      <x:c r="C114" s="24" t="str">
        <x:v>outraged</x:v>
      </x:c>
      <x:c r="D114" s="25" t="str">
        <x:v>EXECUTABLE_NGRAM</x:v>
      </x:c>
      <x:c r="E114" s="25" t="str">
        <x:v>COMPATIBLE</x:v>
      </x:c>
      <x:c r="F114" s="25" t="str">
        <x:v>True</x:v>
      </x:c>
      <x:c r="G114" s="24" t="str">
        <x:v>Compatible exact string/phrase for unsmoothed public Ngram retrieval (current interface supports up to seven words).</x:v>
      </x:c>
      <x:c r="H114" s="25" t="str">
        <x:v>CONTEXT_REQUIRED</x:v>
      </x:c>
      <x:c r="I114" s="24" t="str">
        <x:v>Fear of Temperature_ Stratified Lexical Expansion, Voice Mapping, and Semantic-Relational Pre-Valida.pdf</x:v>
      </x:c>
      <x:c r="J114" s="25" t="str">
        <x:v>12</x:v>
      </x:c>
      <x:c r="K114" s="49" t="str">
        <x:v>RECONSTRUCTED_FROM_REPORT</x:v>
      </x:c>
    </x:row>
    <x:row r="115" ht="19" customHeight="1">
      <x:c r="A115" s="23" t="str">
        <x:v>FT-Q-V01-114</x:v>
      </x:c>
      <x:c r="B115" s="25" t="str">
        <x:v>2022</x:v>
      </x:c>
      <x:c r="C115" s="24" t="str">
        <x:v>depressed</x:v>
      </x:c>
      <x:c r="D115" s="25" t="str">
        <x:v>BACKGROUND_AMBIGUOUS</x:v>
      </x:c>
      <x:c r="E115" s="25" t="str">
        <x:v>COMPATIBLE</x:v>
      </x:c>
      <x:c r="F115" s="25" t="str">
        <x:v>True</x:v>
      </x:c>
      <x:c r="G115" s="24" t="str">
        <x:v>Compatible exact string/phrase for unsmoothed public Ngram retrieval (current interface supports up to seven words).</x:v>
      </x:c>
      <x:c r="H115" s="25" t="str">
        <x:v>BACKGROUND_AMBIGUOUS</x:v>
      </x:c>
      <x:c r="I115" s="24" t="str">
        <x:v>Fear of Temperature_ Stratified Lexical Expansion, Voice Mapping, and Semantic-Relational Pre-Valida.pdf</x:v>
      </x:c>
      <x:c r="J115" s="25" t="str">
        <x:v>12</x:v>
      </x:c>
      <x:c r="K115" s="49" t="str">
        <x:v>RECONSTRUCTED_FROM_REPORT</x:v>
      </x:c>
    </x:row>
    <x:row r="116" ht="19" customHeight="1">
      <x:c r="A116" s="23" t="str">
        <x:v>FT-Q-V01-115</x:v>
      </x:c>
      <x:c r="B116" s="25" t="str">
        <x:v>2022</x:v>
      </x:c>
      <x:c r="C116" s="24" t="str">
        <x:v>symptoms of anxiety</x:v>
      </x:c>
      <x:c r="D116" s="25" t="str">
        <x:v>EXECUTABLE_NGRAM</x:v>
      </x:c>
      <x:c r="E116" s="25" t="str">
        <x:v>COMPATIBLE</x:v>
      </x:c>
      <x:c r="F116" s="25" t="str">
        <x:v>True</x:v>
      </x:c>
      <x:c r="G116" s="24" t="str">
        <x:v>Compatible exact string/phrase for unsmoothed public Ngram retrieval (current interface supports up to seven words).</x:v>
      </x:c>
      <x:c r="H116" s="25" t="str">
        <x:v>CONTEXT_REQUIRED</x:v>
      </x:c>
      <x:c r="I116" s="24" t="str">
        <x:v>Fear of Temperature_ Stratified Lexical Expansion, Voice Mapping, and Semantic-Relational Pre-Valida.pdf</x:v>
      </x:c>
      <x:c r="J116" s="25" t="str">
        <x:v>12</x:v>
      </x:c>
      <x:c r="K116" s="49" t="str">
        <x:v>RECONSTRUCTED_FROM_REPORT</x:v>
      </x:c>
    </x:row>
    <x:row r="117" ht="19" customHeight="1">
      <x:c r="A117" s="23" t="str">
        <x:v>FT-Q-V01-116</x:v>
      </x:c>
      <x:c r="B117" s="25" t="str">
        <x:v>2022</x:v>
      </x:c>
      <x:c r="C117" s="24" t="str">
        <x:v>climate anxiety</x:v>
      </x:c>
      <x:c r="D117" s="25" t="str">
        <x:v>EXECUTABLE_NGRAM</x:v>
      </x:c>
      <x:c r="E117" s="25" t="str">
        <x:v>COMPATIBLE</x:v>
      </x:c>
      <x:c r="F117" s="25" t="str">
        <x:v>True</x:v>
      </x:c>
      <x:c r="G117" s="24" t="str">
        <x:v>Compatible exact string/phrase for unsmoothed public Ngram retrieval (current interface supports up to seven words).</x:v>
      </x:c>
      <x:c r="H117" s="25" t="str">
        <x:v>CLIMATE_SPECIFIC</x:v>
      </x:c>
      <x:c r="I117" s="24" t="str">
        <x:v>Fear of Temperature_ Stratified Lexical Expansion, Voice Mapping, and Semantic-Relational Pre-Valida.pdf</x:v>
      </x:c>
      <x:c r="J117" s="25" t="str">
        <x:v>12</x:v>
      </x:c>
      <x:c r="K117" s="49" t="str">
        <x:v>RECONSTRUCTED_FROM_REPORT</x:v>
      </x:c>
    </x:row>
    <x:row r="118" ht="19" customHeight="1">
      <x:c r="A118" s="23" t="str">
        <x:v>FT-Q-V01-117</x:v>
      </x:c>
      <x:c r="B118" s="25" t="str">
        <x:v>2022</x:v>
      </x:c>
      <x:c r="C118" s="24" t="str">
        <x:v>eco-anxiety</x:v>
      </x:c>
      <x:c r="D118" s="25" t="str">
        <x:v>EXECUTABLE_NGRAM</x:v>
      </x:c>
      <x:c r="E118" s="25" t="str">
        <x:v>COMPATIBLE</x:v>
      </x:c>
      <x:c r="F118" s="25" t="str">
        <x:v>True</x:v>
      </x:c>
      <x:c r="G118" s="24" t="str">
        <x:v>Compatible exact string/phrase for unsmoothed public Ngram retrieval (current interface supports up to seven words).</x:v>
      </x:c>
      <x:c r="H118" s="25" t="str">
        <x:v>CLIMATE_SPECIFIC</x:v>
      </x:c>
      <x:c r="I118" s="24" t="str">
        <x:v>Fear of Temperature_ Stratified Lexical Expansion, Voice Mapping, and Semantic-Relational Pre-Valida.pdf</x:v>
      </x:c>
      <x:c r="J118" s="25" t="str">
        <x:v>12</x:v>
      </x:c>
      <x:c r="K118" s="49" t="str">
        <x:v>RECONSTRUCTED_FROM_REPORT</x:v>
      </x:c>
    </x:row>
    <x:row r="119" ht="19" customHeight="1">
      <x:c r="A119" s="23" t="str">
        <x:v>FT-Q-V01-118</x:v>
      </x:c>
      <x:c r="B119" s="25" t="str">
        <x:v>2022</x:v>
      </x:c>
      <x:c r="C119" s="24" t="str">
        <x:v>psychological distress</x:v>
      </x:c>
      <x:c r="D119" s="25" t="str">
        <x:v>EXECUTABLE_NGRAM</x:v>
      </x:c>
      <x:c r="E119" s="25" t="str">
        <x:v>COMPATIBLE</x:v>
      </x:c>
      <x:c r="F119" s="25" t="str">
        <x:v>True</x:v>
      </x:c>
      <x:c r="G119" s="24" t="str">
        <x:v>Compatible exact string/phrase for unsmoothed public Ngram retrieval (current interface supports up to seven words).</x:v>
      </x:c>
      <x:c r="H119" s="25" t="str">
        <x:v>CONTEXT_REQUIRED</x:v>
      </x:c>
      <x:c r="I119" s="24" t="str">
        <x:v>Fear of Temperature_ Stratified Lexical Expansion, Voice Mapping, and Semantic-Relational Pre-Valida.pdf</x:v>
      </x:c>
      <x:c r="J119" s="25" t="str">
        <x:v>12</x:v>
      </x:c>
      <x:c r="K119" s="49" t="str">
        <x:v>RECONSTRUCTED_FROM_REPORT</x:v>
      </x:c>
    </x:row>
    <x:row r="120" ht="19" customHeight="1">
      <x:c r="A120" s="23" t="str">
        <x:v>FT-Q-V01-119</x:v>
      </x:c>
      <x:c r="B120" s="25" t="str">
        <x:v>2022</x:v>
      </x:c>
      <x:c r="C120" s="24" t="str">
        <x:v>distress</x:v>
      </x:c>
      <x:c r="D120" s="25" t="str">
        <x:v>BACKGROUND_AMBIGUOUS</x:v>
      </x:c>
      <x:c r="E120" s="25" t="str">
        <x:v>COMPATIBLE</x:v>
      </x:c>
      <x:c r="F120" s="25" t="str">
        <x:v>True</x:v>
      </x:c>
      <x:c r="G120" s="24" t="str">
        <x:v>Compatible exact string/phrase for unsmoothed public Ngram retrieval (current interface supports up to seven words).</x:v>
      </x:c>
      <x:c r="H120" s="25" t="str">
        <x:v>BACKGROUND_AMBIGUOUS</x:v>
      </x:c>
      <x:c r="I120" s="24" t="str">
        <x:v>Fear of Temperature_ Stratified Lexical Expansion, Voice Mapping, and Semantic-Relational Pre-Valida.pdf</x:v>
      </x:c>
      <x:c r="J120" s="25" t="str">
        <x:v>13</x:v>
      </x:c>
      <x:c r="K120" s="49" t="str">
        <x:v>RECONSTRUCTED_FROM_REPORT</x:v>
      </x:c>
    </x:row>
    <x:row r="121" ht="19" customHeight="1">
      <x:c r="A121" s="23" t="str">
        <x:v>FT-Q-V01-120</x:v>
      </x:c>
      <x:c r="B121" s="25" t="str">
        <x:v>2022</x:v>
      </x:c>
      <x:c r="C121" s="24" t="str">
        <x:v>powerlessness</x:v>
      </x:c>
      <x:c r="D121" s="25" t="str">
        <x:v>EXECUTABLE_NGRAM</x:v>
      </x:c>
      <x:c r="E121" s="25" t="str">
        <x:v>COMPATIBLE</x:v>
      </x:c>
      <x:c r="F121" s="25" t="str">
        <x:v>True</x:v>
      </x:c>
      <x:c r="G121" s="24" t="str">
        <x:v>Compatible exact string/phrase for unsmoothed public Ngram retrieval (current interface supports up to seven words).</x:v>
      </x:c>
      <x:c r="H121" s="25" t="str">
        <x:v>CONTEXT_REQUIRED</x:v>
      </x:c>
      <x:c r="I121" s="24" t="str">
        <x:v>Fear of Temperature_ Stratified Lexical Expansion, Voice Mapping, and Semantic-Relational Pre-Valida.pdf</x:v>
      </x:c>
      <x:c r="J121" s="25" t="str">
        <x:v>13</x:v>
      </x:c>
      <x:c r="K121" s="49" t="str">
        <x:v>RECONSTRUCTED_FROM_REPORT</x:v>
      </x:c>
    </x:row>
    <x:row r="122" ht="19" customHeight="1">
      <x:c r="A122" s="23" t="str">
        <x:v>FT-Q-V01-121</x:v>
      </x:c>
      <x:c r="B122" s="25" t="str">
        <x:v>1938</x:v>
      </x:c>
      <x:c r="C122" s="24" t="str">
        <x:v>climatic change</x:v>
      </x:c>
      <x:c r="D122" s="25" t="str">
        <x:v>EXECUTABLE_NGRAM</x:v>
      </x:c>
      <x:c r="E122" s="25" t="str">
        <x:v>COMPATIBLE</x:v>
      </x:c>
      <x:c r="F122" s="25" t="str">
        <x:v>True</x:v>
      </x:c>
      <x:c r="G122" s="24" t="str">
        <x:v>Compatible exact string/phrase for unsmoothed public Ngram retrieval (current interface supports up to seven words).</x:v>
      </x:c>
      <x:c r="H122" s="25" t="str">
        <x:v>CLIMATE_SPECIFIC</x:v>
      </x:c>
      <x:c r="I122" s="24" t="str">
        <x:v>Fear of Temperature — Deep Research Round Two_ Historical Semantic Validation, Cross-Voice Relationa.pdf</x:v>
      </x:c>
      <x:c r="J122" s="25" t="str">
        <x:v>14–17</x:v>
      </x:c>
      <x:c r="K122" s="49" t="str">
        <x:v>RECONSTRUCTED_FROM_REPORT</x:v>
      </x:c>
    </x:row>
    <x:row r="123" ht="19" customHeight="1">
      <x:c r="A123" s="23" t="str">
        <x:v>FT-Q-V01-122</x:v>
      </x:c>
      <x:c r="B123" s="25" t="str">
        <x:v>2006–2007</x:v>
      </x:c>
      <x:c r="C123" s="24" t="str">
        <x:v>climate system</x:v>
      </x:c>
      <x:c r="D123" s="25" t="str">
        <x:v>EXECUTABLE_NGRAM</x:v>
      </x:c>
      <x:c r="E123" s="25" t="str">
        <x:v>COMPATIBLE</x:v>
      </x:c>
      <x:c r="F123" s="25" t="str">
        <x:v>True</x:v>
      </x:c>
      <x:c r="G123" s="24" t="str">
        <x:v>Compatible exact string/phrase for unsmoothed public Ngram retrieval (current interface supports up to seven words).</x:v>
      </x:c>
      <x:c r="H123" s="25" t="str">
        <x:v>CLIMATE_SPECIFIC</x:v>
      </x:c>
      <x:c r="I123" s="24" t="str">
        <x:v>Fear of Temperature — Deep Research Round Two_ Historical Semantic Validation, Cross-Voice Relationa.pdf</x:v>
      </x:c>
      <x:c r="J123" s="25" t="str">
        <x:v>14–17</x:v>
      </x:c>
      <x:c r="K123" s="49" t="str">
        <x:v>RECONSTRUCTED_FROM_REPORT</x:v>
      </x:c>
    </x:row>
    <x:row r="124" ht="19" customHeight="1">
      <x:c r="A124" s="23" t="str">
        <x:v>FT-Q-V01-123</x:v>
      </x:c>
      <x:c r="B124" s="25" t="str">
        <x:v>2022</x:v>
      </x:c>
      <x:c r="C124" s="24" t="str">
        <x:v>climate crisis</x:v>
      </x:c>
      <x:c r="D124" s="25" t="str">
        <x:v>EXECUTABLE_NGRAM</x:v>
      </x:c>
      <x:c r="E124" s="25" t="str">
        <x:v>COMPATIBLE</x:v>
      </x:c>
      <x:c r="F124" s="25" t="str">
        <x:v>True</x:v>
      </x:c>
      <x:c r="G124" s="24" t="str">
        <x:v>Compatible exact string/phrase for unsmoothed public Ngram retrieval (current interface supports up to seven words).</x:v>
      </x:c>
      <x:c r="H124" s="25" t="str">
        <x:v>CLIMATE_SPECIFIC</x:v>
      </x:c>
      <x:c r="I124" s="24" t="str">
        <x:v>Fear of Temperature — Deep Research Round Two_ Historical Semantic Validation, Cross-Voice Relationa.pdf</x:v>
      </x:c>
      <x:c r="J124" s="25" t="str">
        <x:v>14–17</x:v>
      </x:c>
      <x:c r="K124" s="49" t="str">
        <x:v>RECONSTRUCTED_FROM_REPORT</x:v>
      </x:c>
    </x:row>
    <x:row r="125" ht="19" customHeight="1">
      <x:c r="A125" s="23" t="str">
        <x:v>FT-Q-V01-124</x:v>
      </x:c>
      <x:c r="B125" s="25" t="str">
        <x:v>2022</x:v>
      </x:c>
      <x:c r="C125" s="24" t="str">
        <x:v>climate emergency</x:v>
      </x:c>
      <x:c r="D125" s="25" t="str">
        <x:v>EXECUTABLE_NGRAM</x:v>
      </x:c>
      <x:c r="E125" s="25" t="str">
        <x:v>COMPATIBLE</x:v>
      </x:c>
      <x:c r="F125" s="25" t="str">
        <x:v>True</x:v>
      </x:c>
      <x:c r="G125" s="24" t="str">
        <x:v>Compatible exact string/phrase for unsmoothed public Ngram retrieval (current interface supports up to seven words).</x:v>
      </x:c>
      <x:c r="H125" s="25" t="str">
        <x:v>CLIMATE_SPECIFIC</x:v>
      </x:c>
      <x:c r="I125" s="24" t="str">
        <x:v>Fear of Temperature — Deep Research Round Two_ Historical Semantic Validation, Cross-Voice Relationa.pdf</x:v>
      </x:c>
      <x:c r="J125" s="25" t="str">
        <x:v>14–17</x:v>
      </x:c>
      <x:c r="K125" s="49" t="str">
        <x:v>RECONSTRUCTED_FROM_REPORT</x:v>
      </x:c>
    </x:row>
    <x:row r="126" ht="19" customHeight="1">
      <x:c r="A126" s="23" t="str">
        <x:v>FT-Q-V01-125</x:v>
      </x:c>
      <x:c r="B126" s="25" t="str">
        <x:v>1842</x:v>
      </x:c>
      <x:c r="C126" s="24" t="str">
        <x:v>heat</x:v>
      </x:c>
      <x:c r="D126" s="25" t="str">
        <x:v>BACKGROUND_AMBIGUOUS</x:v>
      </x:c>
      <x:c r="E126" s="25" t="str">
        <x:v>COMPATIBLE</x:v>
      </x:c>
      <x:c r="F126" s="25" t="str">
        <x:v>True</x:v>
      </x:c>
      <x:c r="G126" s="24" t="str">
        <x:v>Compatible exact string/phrase for unsmoothed public Ngram retrieval (current interface supports up to seven words).</x:v>
      </x:c>
      <x:c r="H126" s="25" t="str">
        <x:v>BACKGROUND_AMBIGUOUS</x:v>
      </x:c>
      <x:c r="I126" s="24" t="str">
        <x:v>Fear of Temperature — Deep Research Round Two_ Historical Semantic Validation, Cross-Voice Relationa.pdf</x:v>
      </x:c>
      <x:c r="J126" s="25" t="str">
        <x:v>14–17</x:v>
      </x:c>
      <x:c r="K126" s="49" t="str">
        <x:v>RECONSTRUCTED_FROM_REPORT</x:v>
      </x:c>
    </x:row>
    <x:row r="127" ht="19" customHeight="1">
      <x:c r="A127" s="23" t="str">
        <x:v>FT-Q-V01-126</x:v>
      </x:c>
      <x:c r="B127" s="25" t="str">
        <x:v>2022</x:v>
      </x:c>
      <x:c r="C127" s="24" t="str">
        <x:v>extreme heat</x:v>
      </x:c>
      <x:c r="D127" s="25" t="str">
        <x:v>EXECUTABLE_NGRAM</x:v>
      </x:c>
      <x:c r="E127" s="25" t="str">
        <x:v>COMPATIBLE</x:v>
      </x:c>
      <x:c r="F127" s="25" t="str">
        <x:v>True</x:v>
      </x:c>
      <x:c r="G127" s="24" t="str">
        <x:v>Compatible exact string/phrase for unsmoothed public Ngram retrieval (current interface supports up to seven words).</x:v>
      </x:c>
      <x:c r="H127" s="25" t="str">
        <x:v>CLIMATE_SPECIFIC</x:v>
      </x:c>
      <x:c r="I127" s="24" t="str">
        <x:v>Fear of Temperature — Deep Research Round Two_ Historical Semantic Validation, Cross-Voice Relationa.pdf</x:v>
      </x:c>
      <x:c r="J127" s="25" t="str">
        <x:v>14–17</x:v>
      </x:c>
      <x:c r="K127" s="49" t="str">
        <x:v>RECONSTRUCTED_FROM_REPORT</x:v>
      </x:c>
    </x:row>
    <x:row r="128" ht="19" customHeight="1">
      <x:c r="A128" s="23" t="str">
        <x:v>FT-Q-V01-127</x:v>
      </x:c>
      <x:c r="B128" s="25" t="str">
        <x:v>2022</x:v>
      </x:c>
      <x:c r="C128" s="24" t="str">
        <x:v>fear</x:v>
      </x:c>
      <x:c r="D128" s="25" t="str">
        <x:v>BACKGROUND_AMBIGUOUS</x:v>
      </x:c>
      <x:c r="E128" s="25" t="str">
        <x:v>COMPATIBLE</x:v>
      </x:c>
      <x:c r="F128" s="25" t="str">
        <x:v>True</x:v>
      </x:c>
      <x:c r="G128" s="24" t="str">
        <x:v>Compatible exact string/phrase for unsmoothed public Ngram retrieval (current interface supports up to seven words).</x:v>
      </x:c>
      <x:c r="H128" s="25" t="str">
        <x:v>BACKGROUND_AMBIGUOUS</x:v>
      </x:c>
      <x:c r="I128" s="24" t="str">
        <x:v>Fear of Temperature — Deep Research Round Two_ Historical Semantic Validation, Cross-Voice Relationa.pdf</x:v>
      </x:c>
      <x:c r="J128" s="25" t="str">
        <x:v>14–17</x:v>
      </x:c>
      <x:c r="K128" s="49" t="str">
        <x:v>RECONSTRUCTED_FROM_REPORT</x:v>
      </x:c>
    </x:row>
    <x:row r="129" ht="19" customHeight="1">
      <x:c r="A129" s="23" t="str">
        <x:v>FT-Q-V01-128</x:v>
      </x:c>
      <x:c r="B129" s="25" t="str">
        <x:v>2006–2007</x:v>
      </x:c>
      <x:c r="C129" s="24" t="str">
        <x:v>worry</x:v>
      </x:c>
      <x:c r="D129" s="25" t="str">
        <x:v>BACKGROUND_AMBIGUOUS</x:v>
      </x:c>
      <x:c r="E129" s="25" t="str">
        <x:v>COMPATIBLE</x:v>
      </x:c>
      <x:c r="F129" s="25" t="str">
        <x:v>True</x:v>
      </x:c>
      <x:c r="G129" s="24" t="str">
        <x:v>Compatible exact string/phrase for unsmoothed public Ngram retrieval (current interface supports up to seven words).</x:v>
      </x:c>
      <x:c r="H129" s="25" t="str">
        <x:v>BACKGROUND_AMBIGUOUS</x:v>
      </x:c>
      <x:c r="I129" s="24" t="str">
        <x:v>Fear of Temperature — Deep Research Round Two_ Historical Semantic Validation, Cross-Voice Relationa.pdf</x:v>
      </x:c>
      <x:c r="J129" s="25" t="str">
        <x:v>14–17</x:v>
      </x:c>
      <x:c r="K129" s="49" t="str">
        <x:v>RECONSTRUCTED_FROM_REPORT</x:v>
      </x:c>
    </x:row>
    <x:row r="130" ht="19" customHeight="1">
      <x:c r="A130" s="23" t="str">
        <x:v>FT-Q-V01-129</x:v>
      </x:c>
      <x:c r="B130" s="25" t="str">
        <x:v>2006–2007</x:v>
      </x:c>
      <x:c r="C130" s="24" t="str">
        <x:v>worried</x:v>
      </x:c>
      <x:c r="D130" s="25" t="str">
        <x:v>BACKGROUND_AMBIGUOUS</x:v>
      </x:c>
      <x:c r="E130" s="25" t="str">
        <x:v>COMPATIBLE</x:v>
      </x:c>
      <x:c r="F130" s="25" t="str">
        <x:v>True</x:v>
      </x:c>
      <x:c r="G130" s="24" t="str">
        <x:v>Compatible exact string/phrase for unsmoothed public Ngram retrieval (current interface supports up to seven words).</x:v>
      </x:c>
      <x:c r="H130" s="25" t="str">
        <x:v>BACKGROUND_AMBIGUOUS</x:v>
      </x:c>
      <x:c r="I130" s="24" t="str">
        <x:v>Fear of Temperature — Deep Research Round Two_ Historical Semantic Validation, Cross-Voice Relationa.pdf</x:v>
      </x:c>
      <x:c r="J130" s="25" t="str">
        <x:v>14–17</x:v>
      </x:c>
      <x:c r="K130" s="49" t="str">
        <x:v>RECONSTRUCTED_FROM_REPORT</x:v>
      </x:c>
    </x:row>
    <x:row r="131" ht="19" customHeight="1">
      <x:c r="A131" s="23" t="str">
        <x:v>FT-Q-V01-130</x:v>
      </x:c>
      <x:c r="B131" s="25" t="str">
        <x:v>2015</x:v>
      </x:c>
      <x:c r="C131" s="24" t="str">
        <x:v>concern</x:v>
      </x:c>
      <x:c r="D131" s="25" t="str">
        <x:v>BACKGROUND_AMBIGUOUS</x:v>
      </x:c>
      <x:c r="E131" s="25" t="str">
        <x:v>COMPATIBLE</x:v>
      </x:c>
      <x:c r="F131" s="25" t="str">
        <x:v>True</x:v>
      </x:c>
      <x:c r="G131" s="24" t="str">
        <x:v>Compatible exact string/phrase for unsmoothed public Ngram retrieval (current interface supports up to seven words).</x:v>
      </x:c>
      <x:c r="H131" s="25" t="str">
        <x:v>BACKGROUND_AMBIGUOUS</x:v>
      </x:c>
      <x:c r="I131" s="24" t="str">
        <x:v>Fear of Temperature — Deep Research Round Two_ Historical Semantic Validation, Cross-Voice Relationa.pdf</x:v>
      </x:c>
      <x:c r="J131" s="25" t="str">
        <x:v>14–17</x:v>
      </x:c>
      <x:c r="K131" s="49" t="str">
        <x:v>RECONSTRUCTED_FROM_REPORT</x:v>
      </x:c>
    </x:row>
    <x:row r="132" ht="19" customHeight="1">
      <x:c r="A132" s="23" t="str">
        <x:v>FT-Q-V01-131</x:v>
      </x:c>
      <x:c r="B132" s="25" t="str">
        <x:v>2022</x:v>
      </x:c>
      <x:c r="C132" s="24" t="str">
        <x:v>anxiety</x:v>
      </x:c>
      <x:c r="D132" s="25" t="str">
        <x:v>BACKGROUND_AMBIGUOUS</x:v>
      </x:c>
      <x:c r="E132" s="25" t="str">
        <x:v>COMPATIBLE</x:v>
      </x:c>
      <x:c r="F132" s="25" t="str">
        <x:v>True</x:v>
      </x:c>
      <x:c r="G132" s="24" t="str">
        <x:v>Compatible exact string/phrase for unsmoothed public Ngram retrieval (current interface supports up to seven words).</x:v>
      </x:c>
      <x:c r="H132" s="25" t="str">
        <x:v>BACKGROUND_AMBIGUOUS</x:v>
      </x:c>
      <x:c r="I132" s="24" t="str">
        <x:v>Fear of Temperature — Deep Research Round Two_ Historical Semantic Validation, Cross-Voice Relationa.pdf</x:v>
      </x:c>
      <x:c r="J132" s="25" t="str">
        <x:v>14–17</x:v>
      </x:c>
      <x:c r="K132" s="49" t="str">
        <x:v>RECONSTRUCTED_FROM_REPORT</x:v>
      </x:c>
    </x:row>
    <x:row r="133" ht="19" customHeight="1">
      <x:c r="A133" s="23" t="str">
        <x:v>FT-Q-V01-132</x:v>
      </x:c>
      <x:c r="B133" s="25" t="str">
        <x:v>2006–2007</x:v>
      </x:c>
      <x:c r="C133" s="24" t="str">
        <x:v>danger</x:v>
      </x:c>
      <x:c r="D133" s="25" t="str">
        <x:v>BACKGROUND_AMBIGUOUS</x:v>
      </x:c>
      <x:c r="E133" s="25" t="str">
        <x:v>COMPATIBLE</x:v>
      </x:c>
      <x:c r="F133" s="25" t="str">
        <x:v>True</x:v>
      </x:c>
      <x:c r="G133" s="24" t="str">
        <x:v>Compatible exact string/phrase for unsmoothed public Ngram retrieval (current interface supports up to seven words).</x:v>
      </x:c>
      <x:c r="H133" s="25" t="str">
        <x:v>BACKGROUND_AMBIGUOUS</x:v>
      </x:c>
      <x:c r="I133" s="24" t="str">
        <x:v>Fear of Temperature — Deep Research Round Two_ Historical Semantic Validation, Cross-Voice Relationa.pdf</x:v>
      </x:c>
      <x:c r="J133" s="25" t="str">
        <x:v>14–17</x:v>
      </x:c>
      <x:c r="K133" s="49" t="str">
        <x:v>RECONSTRUCTED_FROM_REPORT</x:v>
      </x:c>
    </x:row>
    <x:row r="134" ht="19" customHeight="1">
      <x:c r="A134" s="23" t="str">
        <x:v>FT-Q-V01-133</x:v>
      </x:c>
      <x:c r="B134" s="25" t="str">
        <x:v>1988</x:v>
      </x:c>
      <x:c r="C134" s="24" t="str">
        <x:v>threat</x:v>
      </x:c>
      <x:c r="D134" s="25" t="str">
        <x:v>BACKGROUND_AMBIGUOUS</x:v>
      </x:c>
      <x:c r="E134" s="25" t="str">
        <x:v>COMPATIBLE</x:v>
      </x:c>
      <x:c r="F134" s="25" t="str">
        <x:v>True</x:v>
      </x:c>
      <x:c r="G134" s="24" t="str">
        <x:v>Compatible exact string/phrase for unsmoothed public Ngram retrieval (current interface supports up to seven words).</x:v>
      </x:c>
      <x:c r="H134" s="25" t="str">
        <x:v>BACKGROUND_AMBIGUOUS</x:v>
      </x:c>
      <x:c r="I134" s="24" t="str">
        <x:v>Fear of Temperature — Deep Research Round Two_ Historical Semantic Validation, Cross-Voice Relationa.pdf</x:v>
      </x:c>
      <x:c r="J134" s="25" t="str">
        <x:v>14–17</x:v>
      </x:c>
      <x:c r="K134" s="49" t="str">
        <x:v>RECONSTRUCTED_FROM_REPORT</x:v>
      </x:c>
    </x:row>
    <x:row r="135" ht="19" customHeight="1">
      <x:c r="A135" s="23" t="str">
        <x:v>FT-Q-V01-134</x:v>
      </x:c>
      <x:c r="B135" s="25" t="str">
        <x:v>2015</x:v>
      </x:c>
      <x:c r="C135" s="24" t="str">
        <x:v>risk</x:v>
      </x:c>
      <x:c r="D135" s="25" t="str">
        <x:v>BACKGROUND_AMBIGUOUS</x:v>
      </x:c>
      <x:c r="E135" s="25" t="str">
        <x:v>COMPATIBLE</x:v>
      </x:c>
      <x:c r="F135" s="25" t="str">
        <x:v>True</x:v>
      </x:c>
      <x:c r="G135" s="24" t="str">
        <x:v>Compatible exact string/phrase for unsmoothed public Ngram retrieval (current interface supports up to seven words).</x:v>
      </x:c>
      <x:c r="H135" s="25" t="str">
        <x:v>BACKGROUND_AMBIGUOUS</x:v>
      </x:c>
      <x:c r="I135" s="24" t="str">
        <x:v>Fear of Temperature — Deep Research Round Two_ Historical Semantic Validation, Cross-Voice Relationa.pdf</x:v>
      </x:c>
      <x:c r="J135" s="25" t="str">
        <x:v>14–17</x:v>
      </x:c>
      <x:c r="K135" s="49" t="str">
        <x:v>RECONSTRUCTED_FROM_REPORT</x:v>
      </x:c>
    </x:row>
    <x:row r="136" ht="19" customHeight="1">
      <x:c r="A136" s="23" t="str">
        <x:v>FT-Q-V01-135</x:v>
      </x:c>
      <x:c r="B136" s="25" t="str">
        <x:v>1988</x:v>
      </x:c>
      <x:c r="C136" s="24" t="str">
        <x:v>crisis</x:v>
      </x:c>
      <x:c r="D136" s="25" t="str">
        <x:v>BACKGROUND_AMBIGUOUS</x:v>
      </x:c>
      <x:c r="E136" s="25" t="str">
        <x:v>COMPATIBLE</x:v>
      </x:c>
      <x:c r="F136" s="25" t="str">
        <x:v>True</x:v>
      </x:c>
      <x:c r="G136" s="24" t="str">
        <x:v>Compatible exact string/phrase for unsmoothed public Ngram retrieval (current interface supports up to seven words).</x:v>
      </x:c>
      <x:c r="H136" s="25" t="str">
        <x:v>BACKGROUND_AMBIGUOUS</x:v>
      </x:c>
      <x:c r="I136" s="24" t="str">
        <x:v>Fear of Temperature — Deep Research Round Two_ Historical Semantic Validation, Cross-Voice Relationa.pdf</x:v>
      </x:c>
      <x:c r="J136" s="25" t="str">
        <x:v>14–17</x:v>
      </x:c>
      <x:c r="K136" s="49" t="str">
        <x:v>RECONSTRUCTED_FROM_REPORT</x:v>
      </x:c>
    </x:row>
    <x:row r="137" ht="19" customHeight="1">
      <x:c r="A137" s="23" t="str">
        <x:v>FT-Q-V01-136</x:v>
      </x:c>
      <x:c r="B137" s="25" t="str">
        <x:v>2015</x:v>
      </x:c>
      <x:c r="C137" s="24" t="str">
        <x:v>emergency</x:v>
      </x:c>
      <x:c r="D137" s="25" t="str">
        <x:v>BACKGROUND_AMBIGUOUS</x:v>
      </x:c>
      <x:c r="E137" s="25" t="str">
        <x:v>COMPATIBLE</x:v>
      </x:c>
      <x:c r="F137" s="25" t="str">
        <x:v>True</x:v>
      </x:c>
      <x:c r="G137" s="24" t="str">
        <x:v>Compatible exact string/phrase for unsmoothed public Ngram retrieval (current interface supports up to seven words).</x:v>
      </x:c>
      <x:c r="H137" s="25" t="str">
        <x:v>BACKGROUND_AMBIGUOUS</x:v>
      </x:c>
      <x:c r="I137" s="24" t="str">
        <x:v>Fear of Temperature — Deep Research Round Two_ Historical Semantic Validation, Cross-Voice Relationa.pdf</x:v>
      </x:c>
      <x:c r="J137" s="25" t="str">
        <x:v>14–17</x:v>
      </x:c>
      <x:c r="K137" s="49" t="str">
        <x:v>RECONSTRUCTED_FROM_REPORT</x:v>
      </x:c>
    </x:row>
    <x:row r="138" ht="19" customHeight="1">
      <x:c r="A138" s="23" t="str">
        <x:v>FT-Q-V01-137</x:v>
      </x:c>
      <x:c r="B138" s="25" t="str">
        <x:v>2022</x:v>
      </x:c>
      <x:c r="C138" s="24" t="str">
        <x:v>mortality</x:v>
      </x:c>
      <x:c r="D138" s="25" t="str">
        <x:v>BACKGROUND_AMBIGUOUS</x:v>
      </x:c>
      <x:c r="E138" s="25" t="str">
        <x:v>COMPATIBLE</x:v>
      </x:c>
      <x:c r="F138" s="25" t="str">
        <x:v>True</x:v>
      </x:c>
      <x:c r="G138" s="24" t="str">
        <x:v>Compatible exact string/phrase for unsmoothed public Ngram retrieval (current interface supports up to seven words).</x:v>
      </x:c>
      <x:c r="H138" s="25" t="str">
        <x:v>BACKGROUND_AMBIGUOUS</x:v>
      </x:c>
      <x:c r="I138" s="24" t="str">
        <x:v>Fear of Temperature — Deep Research Round Two_ Historical Semantic Validation, Cross-Voice Relationa.pdf</x:v>
      </x:c>
      <x:c r="J138" s="25" t="str">
        <x:v>14–17</x:v>
      </x:c>
      <x:c r="K138" s="49" t="str">
        <x:v>RECONSTRUCTED_FROM_REPORT</x:v>
      </x:c>
    </x:row>
    <x:row r="139" ht="19" customHeight="1">
      <x:c r="A139" s="23" t="str">
        <x:v>FT-Q-V01-138</x:v>
      </x:c>
      <x:c r="B139" s="25" t="str">
        <x:v>1842</x:v>
      </x:c>
      <x:c r="C139" s="24" t="str">
        <x:v>heat of the irons</x:v>
      </x:c>
      <x:c r="D139" s="25" t="str">
        <x:v>EXECUTABLE_NGRAM</x:v>
      </x:c>
      <x:c r="E139" s="25" t="str">
        <x:v>COMPATIBLE</x:v>
      </x:c>
      <x:c r="F139" s="25" t="str">
        <x:v>True</x:v>
      </x:c>
      <x:c r="G139" s="24" t="str">
        <x:v>Compatible exact string/phrase for unsmoothed public Ngram retrieval (current interface supports up to seven words).</x:v>
      </x:c>
      <x:c r="H139" s="25" t="str">
        <x:v>CONTEXT_REQUIRED</x:v>
      </x:c>
      <x:c r="I139" s="24" t="str">
        <x:v>Fear of Temperature_ Stratified Lexical Expansion, Voice Mapping, and Semantic-Relational Pre-Valida.pdf</x:v>
      </x:c>
      <x:c r="J139" s="25" t="str">
        <x:v>6</x:v>
      </x:c>
      <x:c r="K139" s="49" t="str">
        <x:v>RECONSTRUCTED_FROM_REPORT</x:v>
      </x:c>
    </x:row>
    <x:row r="140" ht="19" customHeight="1">
      <x:c r="A140" s="23" t="str">
        <x:v>FT-Q-V01-139</x:v>
      </x:c>
      <x:c r="B140" s="25" t="str">
        <x:v>1938</x:v>
      </x:c>
      <x:c r="C140" s="24" t="str">
        <x:v>heat wave</x:v>
      </x:c>
      <x:c r="D140" s="25" t="str">
        <x:v>EXECUTABLE_NGRAM</x:v>
      </x:c>
      <x:c r="E140" s="25" t="str">
        <x:v>COMPATIBLE</x:v>
      </x:c>
      <x:c r="F140" s="25" t="str">
        <x:v>True</x:v>
      </x:c>
      <x:c r="G140" s="24" t="str">
        <x:v>Compatible exact string/phrase for unsmoothed public Ngram retrieval (current interface supports up to seven words).</x:v>
      </x:c>
      <x:c r="H140" s="25" t="str">
        <x:v>CLIMATE_SPECIFIC</x:v>
      </x:c>
      <x:c r="I140" s="24" t="str">
        <x:v>Fear of Temperature_ Stratified Lexical Expansion, Voice Mapping, and Semantic-Relational Pre-Valida.pdf</x:v>
      </x:c>
      <x:c r="J140" s="25" t="str">
        <x:v>7</x:v>
      </x:c>
      <x:c r="K140" s="49" t="str">
        <x:v>RECONSTRUCTED_FROM_REPORT</x:v>
      </x:c>
    </x:row>
    <x:row r="141" ht="19" customHeight="1">
      <x:c r="A141" s="23" t="str">
        <x:v>FT-Q-V01-140</x:v>
      </x:c>
      <x:c r="B141" s="25" t="str">
        <x:v>1988</x:v>
      </x:c>
      <x:c r="C141" s="24" t="str">
        <x:v>grave threats</x:v>
      </x:c>
      <x:c r="D141" s="25" t="str">
        <x:v>EXECUTABLE_NGRAM</x:v>
      </x:c>
      <x:c r="E141" s="25" t="str">
        <x:v>COMPATIBLE</x:v>
      </x:c>
      <x:c r="F141" s="25" t="str">
        <x:v>True</x:v>
      </x:c>
      <x:c r="G141" s="24" t="str">
        <x:v>Compatible exact string/phrase for unsmoothed public Ngram retrieval (current interface supports up to seven words).</x:v>
      </x:c>
      <x:c r="H141" s="25" t="str">
        <x:v>CONTEXT_REQUIRED</x:v>
      </x:c>
      <x:c r="I141" s="24" t="str">
        <x:v>Fear of Temperature_ Stratified Lexical Expansion, Voice Mapping, and Semantic-Relational Pre-Valida.pdf</x:v>
      </x:c>
      <x:c r="J141" s="25" t="str">
        <x:v>9</x:v>
      </x:c>
      <x:c r="K141" s="49" t="str">
        <x:v>RECONSTRUCTED_FROM_REPORT</x:v>
      </x:c>
    </x:row>
    <x:row r="142" ht="19" customHeight="1">
      <x:c r="A142" s="23" t="str">
        <x:v>FT-Q-V01-141</x:v>
      </x:c>
      <x:c r="B142" s="25" t="str">
        <x:v>2006–2007</x:v>
      </x:c>
      <x:c r="C142" s="24" t="str">
        <x:v>Be Worried. Be Very Worried.</x:v>
      </x:c>
      <x:c r="D142" s="25" t="str">
        <x:v>EXECUTABLE_CORPUS_ONLY</x:v>
      </x:c>
      <x:c r="E142" s="25" t="str">
        <x:v>PUNCTUATION_HEAVY</x:v>
      </x:c>
      <x:c r="F142" s="25" t="str">
        <x:v>False</x:v>
      </x:c>
      <x:c r="G142" s="24" t="str">
        <x:v>Sentence-level punctuation makes this a corpus-context rule, not an Ngram phrase.</x:v>
      </x:c>
      <x:c r="H142" s="25" t="str">
        <x:v>CLIMATE_SPECIFIC</x:v>
      </x:c>
      <x:c r="I142" s="24" t="str">
        <x:v>Fear of Temperature_ Stratified Lexical Expansion, Voice Mapping, and Semantic-Relational Pre-Valida.pdf</x:v>
      </x:c>
      <x:c r="J142" s="25" t="str">
        <x:v>10</x:v>
      </x:c>
      <x:c r="K142" s="49" t="str">
        <x:v>RECONSTRUCTED_FROM_REPORT</x:v>
      </x:c>
    </x:row>
    <x:row r="143" ht="19" customHeight="1">
      <x:c r="A143" s="23" t="str">
        <x:v>FT-Q-V01-142</x:v>
      </x:c>
      <x:c r="B143" s="25" t="str">
        <x:v>2015</x:v>
      </x:c>
      <x:c r="C143" s="24" t="str">
        <x:v>comprehensive risk assessment and management</x:v>
      </x:c>
      <x:c r="D143" s="25" t="str">
        <x:v>EXECUTABLE_NGRAM</x:v>
      </x:c>
      <x:c r="E143" s="25" t="str">
        <x:v>COMPATIBLE</x:v>
      </x:c>
      <x:c r="F143" s="25" t="str">
        <x:v>True</x:v>
      </x:c>
      <x:c r="G143" s="24" t="str">
        <x:v>Compatible exact string/phrase for unsmoothed public Ngram retrieval (current interface supports up to seven words).</x:v>
      </x:c>
      <x:c r="H143" s="25" t="str">
        <x:v>CONTEXT_REQUIRED</x:v>
      </x:c>
      <x:c r="I143" s="24" t="str">
        <x:v>Fear of Temperature_ Stratified Lexical Expansion, Voice Mapping, and Semantic-Relational Pre-Valida.pdf</x:v>
      </x:c>
      <x:c r="J143" s="25" t="str">
        <x:v>11</x:v>
      </x:c>
      <x:c r="K143" s="49" t="str">
        <x:v>RECONSTRUCTED_FROM_REPORT</x:v>
      </x:c>
    </x:row>
    <x:row r="144" ht="19" customHeight="1">
      <x:c r="A144" s="28" t="str">
        <x:v>FT-Q-V01-143</x:v>
      </x:c>
      <x:c r="B144" s="30" t="str">
        <x:v>2022</x:v>
      </x:c>
      <x:c r="C144" s="29" t="str">
        <x:v>guilt</x:v>
      </x:c>
      <x:c r="D144" s="30" t="str">
        <x:v>EXECUTABLE_NGRAM</x:v>
      </x:c>
      <x:c r="E144" s="30" t="str">
        <x:v>COMPATIBLE</x:v>
      </x:c>
      <x:c r="F144" s="30" t="str">
        <x:v>True</x:v>
      </x:c>
      <x:c r="G144" s="29" t="str">
        <x:v>Compatible exact string/phrase for unsmoothed public Ngram retrieval (current interface supports up to seven words).</x:v>
      </x:c>
      <x:c r="H144" s="30" t="str">
        <x:v>CONTEXT_REQUIRED</x:v>
      </x:c>
      <x:c r="I144" s="29" t="str">
        <x:v>Fear of Temperature_ Stratified Lexical Expansion, Voice Mapping, and Semantic-Relational Pre-Valida.pdf</x:v>
      </x:c>
      <x:c r="J144" s="30" t="str">
        <x:v>12</x:v>
      </x:c>
      <x:c r="K144" s="50" t="str">
        <x:v>RECONSTRUCTED_FROM_REPORT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42" hidden="0" customWidth="1"/>
    <x:col min="10" max="10" width="20" hidden="0" customWidth="1"/>
    <x:col min="11" max="11" width="15" hidden="0" customWidth="1"/>
    <x:col min="12" max="12" width="15" hidden="0" customWidth="1"/>
  </x:cols>
  <x:sheetData>
    <x:row r="1" ht="34" customHeight="1">
      <x:c r="A1" s="12" t="str">
        <x:v>query_id</x:v>
      </x:c>
      <x:c r="B1" s="12" t="str">
        <x:v>request_surface_form</x:v>
      </x:c>
      <x:c r="C1" s="12" t="str">
        <x:v>execution_status</x:v>
      </x:c>
      <x:c r="D1" s="12" t="str">
        <x:v>attempt_count</x:v>
      </x:c>
      <x:c r="E1" s="12" t="str">
        <x:v>observation_count</x:v>
      </x:c>
      <x:c r="F1" s="12" t="str">
        <x:v>first_response_ngram</x:v>
      </x:c>
      <x:c r="G1" s="12" t="str">
        <x:v>raw_response_path</x:v>
      </x:c>
      <x:c r="H1" s="12" t="str">
        <x:v>raw_payload_sha256</x:v>
      </x:c>
      <x:c r="I1" s="12" t="str">
        <x:v>error_reason</x:v>
      </x:c>
      <x:c r="J1" s="12" t="str">
        <x:v>retrieved_at</x:v>
      </x:c>
      <x:c r="K1" s="12" t="str">
        <x:v>request_url</x:v>
      </x:c>
      <x:c r="L1" s="12" t="str">
        <x:v>content_type</x:v>
      </x:c>
    </x:row>
    <x:row r="2" ht="19" customHeight="1">
      <x:c r="A2" s="18" t="str">
        <x:v>FT-Q-V01-001</x:v>
      </x:c>
      <x:c r="B2" s="19" t="str">
        <x:v>temperature</x:v>
      </x:c>
      <x:c r="C2" s="20" t="str">
        <x:v>SUCCEEDED</x:v>
      </x:c>
      <x:c r="D2" s="20" t="str">
        <x:v>0</x:v>
      </x:c>
      <x:c r="E2" s="20" t="str">
        <x:v>181</x:v>
      </x:c>
      <x:c r="F2" s="20" t="str">
        <x:v>temperature (All)</x:v>
      </x:c>
      <x:c r="G2" s="19" t="str">
        <x:v>data/fear-temperature/ngram/raw/179a52b9336531c34b94ed0259d967ff017a402a8b91c8b496d5e31653598f08.json</x:v>
      </x:c>
      <x:c r="H2" s="19" t="str">
        <x:v>7b1ac8fa84bb224c6710a58bfcebdfa405b91a35f16b0993dddc025192051e21</x:v>
      </x:c>
      <x:c r="I2" s="19" t="str"/>
      <x:c r="J2" s="56" t="n">
        <x:v>46260.106770833336</x:v>
      </x:c>
      <x:c r="K2" s="20" t="str">
        <x:v>https://books.google.com/ngrams/json?content=temperature&amp;year_start=1842&amp;year_end=2022&amp;corpus=eng&amp;smoothing=0&amp;case_insensitive=true</x:v>
      </x:c>
      <x:c r="L2" s="48" t="str">
        <x:v>application/json (cached)</x:v>
      </x:c>
    </x:row>
    <x:row r="3" ht="19" customHeight="1">
      <x:c r="A3" s="23" t="str">
        <x:v>FT-Q-V01-002</x:v>
      </x:c>
      <x:c r="B3" s="24" t="str">
        <x:v>mean temperature</x:v>
      </x:c>
      <x:c r="C3" s="25" t="str">
        <x:v>SUCCEEDED</x:v>
      </x:c>
      <x:c r="D3" s="25" t="str">
        <x:v>0</x:v>
      </x:c>
      <x:c r="E3" s="25" t="str">
        <x:v>181</x:v>
      </x:c>
      <x:c r="F3" s="25" t="str">
        <x:v>mean temperature (All)</x:v>
      </x:c>
      <x:c r="G3" s="24" t="str">
        <x:v>data/fear-temperature/ngram/raw/264e2d12fe20c5aa6284ae43253eabc03ec9e11aa2056afde9e77d33d8e97530.json</x:v>
      </x:c>
      <x:c r="H3" s="24" t="str">
        <x:v>0d049bebf2e700224bc9339569434af87e3983662263462216b4b91cca41460d</x:v>
      </x:c>
      <x:c r="I3" s="24" t="str"/>
      <x:c r="J3" s="57" t="n">
        <x:v>46260.106782407405</x:v>
      </x:c>
      <x:c r="K3" s="25" t="str">
        <x:v>https://books.google.com/ngrams/json?content=mean+temperature&amp;year_start=1842&amp;year_end=2022&amp;corpus=eng&amp;smoothing=0&amp;case_insensitive=true</x:v>
      </x:c>
      <x:c r="L3" s="49" t="str">
        <x:v>application/json (cached)</x:v>
      </x:c>
    </x:row>
    <x:row r="4" ht="19" customHeight="1">
      <x:c r="A4" s="23" t="str">
        <x:v>FT-Q-V01-003</x:v>
      </x:c>
      <x:c r="B4" s="24" t="str">
        <x:v>temperature of the air in shade</x:v>
      </x:c>
      <x:c r="C4" s="25" t="str">
        <x:v>SUCCEEDED</x:v>
      </x:c>
      <x:c r="D4" s="25" t="str">
        <x:v>0</x:v>
      </x:c>
      <x:c r="E4" s="25" t="str">
        <x:v>181</x:v>
      </x:c>
      <x:c r="F4" s="25" t="str">
        <x:v>temperature of the air in shade</x:v>
      </x:c>
      <x:c r="G4" s="24" t="str">
        <x:v>data/fear-temperature/ngram/raw/1524427f0c535f347e97e3332fb50571eca9bae9e865c6017848e2e009d95b39.json</x:v>
      </x:c>
      <x:c r="H4" s="24" t="str">
        <x:v>250caa923d54487a5a3bc3708b3e20595f2a4f76a5b9c32eafd5ea9a114d410e</x:v>
      </x:c>
      <x:c r="I4" s="24" t="str"/>
      <x:c r="J4" s="57" t="n">
        <x:v>46260.10679398148</x:v>
      </x:c>
      <x:c r="K4" s="25" t="str">
        <x:v>https://books.google.com/ngrams/json?content=temperature+of+the+air+in+shade&amp;year_start=1842&amp;year_end=2022&amp;corpus=eng&amp;smoothing=0&amp;case_insensitive=true</x:v>
      </x:c>
      <x:c r="L4" s="49" t="str">
        <x:v>application/json (cached)</x:v>
      </x:c>
    </x:row>
    <x:row r="5" ht="19" customHeight="1">
      <x:c r="A5" s="23" t="str">
        <x:v>FT-Q-V01-004</x:v>
      </x:c>
      <x:c r="B5" s="24" t="str">
        <x:v>maximum temperature</x:v>
      </x:c>
      <x:c r="C5" s="25" t="str">
        <x:v>SUCCEEDED</x:v>
      </x:c>
      <x:c r="D5" s="25" t="str">
        <x:v>0</x:v>
      </x:c>
      <x:c r="E5" s="25" t="str">
        <x:v>181</x:v>
      </x:c>
      <x:c r="F5" s="25" t="str">
        <x:v>maximum temperature (All)</x:v>
      </x:c>
      <x:c r="G5" s="24" t="str">
        <x:v>data/fear-temperature/ngram/raw/9ef1e684d6470a99165d520c50c1782090e9e2db528fdf5e71f55f8f1d4f7ce2.json</x:v>
      </x:c>
      <x:c r="H5" s="24" t="str">
        <x:v>28f029f228a6a5f33352648bfa6c4b4b1c052cd8d2099dc7b0a0edb3cf22a8bd</x:v>
      </x:c>
      <x:c r="I5" s="24" t="str"/>
      <x:c r="J5" s="57" t="n">
        <x:v>46260.10680555556</x:v>
      </x:c>
      <x:c r="K5" s="25" t="str">
        <x:v>https://books.google.com/ngrams/json?content=maximum+temperature&amp;year_start=1842&amp;year_end=2022&amp;corpus=eng&amp;smoothing=0&amp;case_insensitive=true</x:v>
      </x:c>
      <x:c r="L5" s="49" t="str">
        <x:v>application/json (cached)</x:v>
      </x:c>
    </x:row>
    <x:row r="6" ht="19" customHeight="1">
      <x:c r="A6" s="23" t="str">
        <x:v>FT-Q-V01-005</x:v>
      </x:c>
      <x:c r="B6" s="24" t="str">
        <x:v>minimum temperature</x:v>
      </x:c>
      <x:c r="C6" s="25" t="str">
        <x:v>SUCCEEDED</x:v>
      </x:c>
      <x:c r="D6" s="25" t="str">
        <x:v>0</x:v>
      </x:c>
      <x:c r="E6" s="25" t="str">
        <x:v>181</x:v>
      </x:c>
      <x:c r="F6" s="25" t="str">
        <x:v>minimum temperature (All)</x:v>
      </x:c>
      <x:c r="G6" s="24" t="str">
        <x:v>data/fear-temperature/ngram/raw/f32958ead9a4b7905bc78d007acd99b3363766a0ba25f1c363d262f5614f0be2.json</x:v>
      </x:c>
      <x:c r="H6" s="24" t="str">
        <x:v>cb4937cf3c5e61cba23f17e6b3b008d1d901e8f46f706f8854c043ed5362a30f</x:v>
      </x:c>
      <x:c r="I6" s="24" t="str"/>
      <x:c r="J6" s="57" t="n">
        <x:v>46260.10681712963</x:v>
      </x:c>
      <x:c r="K6" s="25" t="str">
        <x:v>https://books.google.com/ngrams/json?content=minimum+temperature&amp;year_start=1842&amp;year_end=2022&amp;corpus=eng&amp;smoothing=0&amp;case_insensitive=true</x:v>
      </x:c>
      <x:c r="L6" s="49" t="str">
        <x:v>application/json (cached)</x:v>
      </x:c>
    </x:row>
    <x:row r="7" ht="19" customHeight="1">
      <x:c r="A7" s="23" t="str">
        <x:v>FT-Q-V01-006</x:v>
      </x:c>
      <x:c r="B7" s="24" t="str">
        <x:v>mean temperature of sea at surface</x:v>
      </x:c>
      <x:c r="C7" s="25" t="str">
        <x:v>ZERO_RESULT</x:v>
      </x:c>
      <x:c r="D7" s="25" t="str">
        <x:v>0</x:v>
      </x:c>
      <x:c r="E7" s="25" t="str">
        <x:v>0</x:v>
      </x:c>
      <x:c r="F7" s="25" t="str"/>
      <x:c r="G7" s="24" t="str">
        <x:v>data/fear-temperature/ngram/raw/3821c7b527e63ea16225f9ddeb9ceaf467e51e1486c0c84fca0bc5502dcf20d4.json</x:v>
      </x:c>
      <x:c r="H7" s="24" t="str">
        <x:v>4f53cda18c2baa0c0354bb5f9a3ecbe5ed12ab4d8e11ba873c2f11161202b945</x:v>
      </x:c>
      <x:c r="I7" s="24" t="str"/>
      <x:c r="J7" s="57" t="n">
        <x:v>46260.10681712963</x:v>
      </x:c>
      <x:c r="K7" s="25" t="str">
        <x:v>https://books.google.com/ngrams/json?content=mean+temperature+of+sea+at+surface&amp;year_start=1842&amp;year_end=2022&amp;corpus=eng&amp;smoothing=0&amp;case_insensitive=true</x:v>
      </x:c>
      <x:c r="L7" s="49" t="str">
        <x:v>application/json (cached)</x:v>
      </x:c>
    </x:row>
    <x:row r="8" ht="19" customHeight="1">
      <x:c r="A8" s="23" t="str">
        <x:v>FT-Q-V01-007</x:v>
      </x:c>
      <x:c r="B8" s="24" t="str">
        <x:v>dew point</x:v>
      </x:c>
      <x:c r="C8" s="25" t="str">
        <x:v>SUCCEEDED</x:v>
      </x:c>
      <x:c r="D8" s="25" t="str">
        <x:v>0</x:v>
      </x:c>
      <x:c r="E8" s="25" t="str">
        <x:v>181</x:v>
      </x:c>
      <x:c r="F8" s="25" t="str">
        <x:v>dew point (All)</x:v>
      </x:c>
      <x:c r="G8" s="24" t="str">
        <x:v>data/fear-temperature/ngram/raw/4898435e13db75c393f88431adaa7c57e859e86e427c2a0c7f85ffed43c9489d.json</x:v>
      </x:c>
      <x:c r="H8" s="24" t="str">
        <x:v>b9e4619dcf3e1a5a8ef4241db90057077bb2a84c43f8b339efefff04c99478ae</x:v>
      </x:c>
      <x:c r="I8" s="24" t="str"/>
      <x:c r="J8" s="57" t="n">
        <x:v>46260.106828703705</x:v>
      </x:c>
      <x:c r="K8" s="25" t="str">
        <x:v>https://books.google.com/ngrams/json?content=dew+point&amp;year_start=1842&amp;year_end=2022&amp;corpus=eng&amp;smoothing=0&amp;case_insensitive=true</x:v>
      </x:c>
      <x:c r="L8" s="49" t="str">
        <x:v>application/json (cached)</x:v>
      </x:c>
    </x:row>
    <x:row r="9" ht="19" customHeight="1">
      <x:c r="A9" s="23" t="str">
        <x:v>FT-Q-V01-008</x:v>
      </x:c>
      <x:c r="B9" s="24" t="str">
        <x:v>standard thermometer</x:v>
      </x:c>
      <x:c r="C9" s="25" t="str">
        <x:v>SUCCEEDED</x:v>
      </x:c>
      <x:c r="D9" s="25" t="str">
        <x:v>0</x:v>
      </x:c>
      <x:c r="E9" s="25" t="str">
        <x:v>181</x:v>
      </x:c>
      <x:c r="F9" s="25" t="str">
        <x:v>standard thermometer (All)</x:v>
      </x:c>
      <x:c r="G9" s="24" t="str">
        <x:v>data/fear-temperature/ngram/raw/1b5489f7c11dc47a84c822f25bba9106c5bb57ed260344f09cccb40c2a47e5ab.json</x:v>
      </x:c>
      <x:c r="H9" s="24" t="str">
        <x:v>c1cfa95abfec15203a98da604e7f82af601f7015f3cc2da0ac62fe18e736fe0a</x:v>
      </x:c>
      <x:c r="I9" s="24" t="str"/>
      <x:c r="J9" s="57" t="n">
        <x:v>46260.106840277775</x:v>
      </x:c>
      <x:c r="K9" s="25" t="str">
        <x:v>https://books.google.com/ngrams/json?content=standard+thermometer&amp;year_start=1842&amp;year_end=2022&amp;corpus=eng&amp;smoothing=0&amp;case_insensitive=true</x:v>
      </x:c>
      <x:c r="L9" s="49" t="str">
        <x:v>application/json (cached)</x:v>
      </x:c>
    </x:row>
    <x:row r="10" ht="19" customHeight="1">
      <x:c r="A10" s="23" t="str">
        <x:v>FT-Q-V01-009</x:v>
      </x:c>
      <x:c r="B10" s="24" t="str">
        <x:v>attached thermometer</x:v>
      </x:c>
      <x:c r="C10" s="25" t="str">
        <x:v>SUCCEEDED</x:v>
      </x:c>
      <x:c r="D10" s="25" t="str">
        <x:v>0</x:v>
      </x:c>
      <x:c r="E10" s="25" t="str">
        <x:v>181</x:v>
      </x:c>
      <x:c r="F10" s="25" t="str">
        <x:v>attached thermometer (All)</x:v>
      </x:c>
      <x:c r="G10" s="24" t="str">
        <x:v>data/fear-temperature/ngram/raw/6a0588ceb7b0cd726403d59e6ae13eb6618e91f3b5f21baa3ed0fa972b12fdf6.json</x:v>
      </x:c>
      <x:c r="H10" s="24" t="str">
        <x:v>59a1407d0cf2bd7a984e4b5daefd48fce43fdfda233e90f0e15253ccb38a5a1c</x:v>
      </x:c>
      <x:c r="I10" s="24" t="str"/>
      <x:c r="J10" s="57" t="n">
        <x:v>46260.10685185185</x:v>
      </x:c>
      <x:c r="K10" s="25" t="str">
        <x:v>https://books.google.com/ngrams/json?content=attached+thermometer&amp;year_start=1842&amp;year_end=2022&amp;corpus=eng&amp;smoothing=0&amp;case_insensitive=true</x:v>
      </x:c>
      <x:c r="L10" s="49" t="str">
        <x:v>application/json (cached)</x:v>
      </x:c>
    </x:row>
    <x:row r="11" ht="19" customHeight="1">
      <x:c r="A11" s="23" t="str">
        <x:v>FT-Q-V01-010</x:v>
      </x:c>
      <x:c r="B11" s="24" t="str">
        <x:v>dry bulb thermometer</x:v>
      </x:c>
      <x:c r="C11" s="25" t="str">
        <x:v>SUCCEEDED</x:v>
      </x:c>
      <x:c r="D11" s="25" t="str">
        <x:v>0</x:v>
      </x:c>
      <x:c r="E11" s="25" t="str">
        <x:v>181</x:v>
      </x:c>
      <x:c r="F11" s="25" t="str">
        <x:v>dry bulb thermometer (All)</x:v>
      </x:c>
      <x:c r="G11" s="24" t="str">
        <x:v>data/fear-temperature/ngram/raw/ccf7b062d1c1fa3d9074e3f27879fdf37eb632c5d285dd90fa3bbaaeca5e0586.json</x:v>
      </x:c>
      <x:c r="H11" s="24" t="str">
        <x:v>8c09120e509519427381f873a7d0a9a62003137ee5ceba10bcaf908e05767047</x:v>
      </x:c>
      <x:c r="I11" s="24" t="str"/>
      <x:c r="J11" s="57" t="n">
        <x:v>46260.10686342593</x:v>
      </x:c>
      <x:c r="K11" s="25" t="str">
        <x:v>https://books.google.com/ngrams/json?content=dry+bulb+thermometer&amp;year_start=1842&amp;year_end=2022&amp;corpus=eng&amp;smoothing=0&amp;case_insensitive=true</x:v>
      </x:c>
      <x:c r="L11" s="49" t="str">
        <x:v>application/json (cached)</x:v>
      </x:c>
    </x:row>
    <x:row r="12" ht="19" customHeight="1">
      <x:c r="A12" s="23" t="str">
        <x:v>FT-Q-V01-011</x:v>
      </x:c>
      <x:c r="B12" s="24" t="str">
        <x:v>wet bulb thermometer</x:v>
      </x:c>
      <x:c r="C12" s="25" t="str">
        <x:v>SUCCEEDED</x:v>
      </x:c>
      <x:c r="D12" s="25" t="str">
        <x:v>0</x:v>
      </x:c>
      <x:c r="E12" s="25" t="str">
        <x:v>181</x:v>
      </x:c>
      <x:c r="F12" s="25" t="str">
        <x:v>wet bulb thermometer (All)</x:v>
      </x:c>
      <x:c r="G12" s="24" t="str">
        <x:v>data/fear-temperature/ngram/raw/39268f7b0edac2a3caeb7bce6236c526ab82e48a6b48cb0cc06bf5cf840cbe9a.json</x:v>
      </x:c>
      <x:c r="H12" s="24" t="str">
        <x:v>d35055a0b9c6a637171bbd8239bfe1bc58480ec784c994c23cb833d3a9ad128e</x:v>
      </x:c>
      <x:c r="I12" s="24" t="str"/>
      <x:c r="J12" s="57" t="n">
        <x:v>46260.106875</x:v>
      </x:c>
      <x:c r="K12" s="25" t="str">
        <x:v>https://books.google.com/ngrams/json?content=wet+bulb+thermometer&amp;year_start=1842&amp;year_end=2022&amp;corpus=eng&amp;smoothing=0&amp;case_insensitive=true</x:v>
      </x:c>
      <x:c r="L12" s="49" t="str">
        <x:v>application/json (cached)</x:v>
      </x:c>
    </x:row>
    <x:row r="13" ht="19" customHeight="1">
      <x:c r="A13" s="23" t="str">
        <x:v>FT-Q-V01-012</x:v>
      </x:c>
      <x:c r="B13" s="24" t="str">
        <x:v>meteorological observations</x:v>
      </x:c>
      <x:c r="C13" s="25" t="str">
        <x:v>SUCCEEDED</x:v>
      </x:c>
      <x:c r="D13" s="25" t="str">
        <x:v>0</x:v>
      </x:c>
      <x:c r="E13" s="25" t="str">
        <x:v>181</x:v>
      </x:c>
      <x:c r="F13" s="25" t="str">
        <x:v>meteorological observations (All)</x:v>
      </x:c>
      <x:c r="G13" s="24" t="str">
        <x:v>data/fear-temperature/ngram/raw/32e5ce8ef7371cdbf27a5865c35c03777dcd78911b87337158ac77f129ae383f.json</x:v>
      </x:c>
      <x:c r="H13" s="24" t="str">
        <x:v>0905be99bac63e06ac6c8e689f3bfbe505ac621dca092ce408faaf136cd061a7</x:v>
      </x:c>
      <x:c r="I13" s="24" t="str"/>
      <x:c r="J13" s="57" t="n">
        <x:v>46260.106886574074</x:v>
      </x:c>
      <x:c r="K13" s="25" t="str">
        <x:v>https://books.google.com/ngrams/json?content=meteorological+observations&amp;year_start=1842&amp;year_end=2022&amp;corpus=eng&amp;smoothing=0&amp;case_insensitive=true</x:v>
      </x:c>
      <x:c r="L13" s="49" t="str">
        <x:v>application/json (cached)</x:v>
      </x:c>
    </x:row>
    <x:row r="14" ht="19" customHeight="1">
      <x:c r="A14" s="23" t="str">
        <x:v>FT-Q-V01-013</x:v>
      </x:c>
      <x:c r="B14" s="24" t="str">
        <x:v>meteorological journal</x:v>
      </x:c>
      <x:c r="C14" s="25" t="str">
        <x:v>SUCCEEDED</x:v>
      </x:c>
      <x:c r="D14" s="25" t="str">
        <x:v>0</x:v>
      </x:c>
      <x:c r="E14" s="25" t="str">
        <x:v>181</x:v>
      </x:c>
      <x:c r="F14" s="25" t="str">
        <x:v>meteorological journal (All)</x:v>
      </x:c>
      <x:c r="G14" s="24" t="str">
        <x:v>data/fear-temperature/ngram/raw/e11a874b3aa528b4ca775a4792b211f9ae21d79d674027de8fdaf55138f5e246.json</x:v>
      </x:c>
      <x:c r="H14" s="24" t="str">
        <x:v>13edc32ce4e15cc2ce6084d18fb145eef7b82ccb515d23a482a404e4b6411bb0</x:v>
      </x:c>
      <x:c r="I14" s="24" t="str"/>
      <x:c r="J14" s="57" t="n">
        <x:v>46260.106886574074</x:v>
      </x:c>
      <x:c r="K14" s="25" t="str">
        <x:v>https://books.google.com/ngrams/json?content=meteorological+journal&amp;year_start=1842&amp;year_end=2022&amp;corpus=eng&amp;smoothing=0&amp;case_insensitive=true</x:v>
      </x:c>
      <x:c r="L14" s="49" t="str">
        <x:v>application/json (cached)</x:v>
      </x:c>
    </x:row>
    <x:row r="15" ht="19" customHeight="1">
      <x:c r="A15" s="23" t="str">
        <x:v>FT-Q-V01-014</x:v>
      </x:c>
      <x:c r="B15" s="24" t="str">
        <x:v>weather</x:v>
      </x:c>
      <x:c r="C15" s="25" t="str">
        <x:v>SUCCEEDED</x:v>
      </x:c>
      <x:c r="D15" s="25" t="str">
        <x:v>0</x:v>
      </x:c>
      <x:c r="E15" s="25" t="str">
        <x:v>181</x:v>
      </x:c>
      <x:c r="F15" s="25" t="str">
        <x:v>weather (All)</x:v>
      </x:c>
      <x:c r="G15" s="24" t="str">
        <x:v>data/fear-temperature/ngram/raw/b1c235e1f9b54d9c47f30260c9750c598212bb32714ef6ab727ce897ed2fe408.json</x:v>
      </x:c>
      <x:c r="H15" s="24" t="str">
        <x:v>81c3fdb4504f11cc591d1094b7f7e132e70acb0cb11aa2a35823019cf3ecc4d9</x:v>
      </x:c>
      <x:c r="I15" s="24" t="str"/>
      <x:c r="J15" s="57" t="n">
        <x:v>46260.10689814815</x:v>
      </x:c>
      <x:c r="K15" s="25" t="str">
        <x:v>https://books.google.com/ngrams/json?content=weather&amp;year_start=1842&amp;year_end=2022&amp;corpus=eng&amp;smoothing=0&amp;case_insensitive=true</x:v>
      </x:c>
      <x:c r="L15" s="49" t="str">
        <x:v>application/json (cached)</x:v>
      </x:c>
    </x:row>
    <x:row r="16" ht="19" customHeight="1">
      <x:c r="A16" s="23" t="str">
        <x:v>FT-Q-V01-015</x:v>
      </x:c>
      <x:c r="B16" s="24" t="str">
        <x:v>climate</x:v>
      </x:c>
      <x:c r="C16" s="25" t="str">
        <x:v>SUCCEEDED</x:v>
      </x:c>
      <x:c r="D16" s="25" t="str">
        <x:v>0</x:v>
      </x:c>
      <x:c r="E16" s="25" t="str">
        <x:v>181</x:v>
      </x:c>
      <x:c r="F16" s="25" t="str">
        <x:v>climate (All)</x:v>
      </x:c>
      <x:c r="G16" s="24" t="str">
        <x:v>data/fear-temperature/ngram/raw/15b0e51d7801a15c04a08d94fa0d6eafde8f1970a7229d0a666bcb7896395fae.json</x:v>
      </x:c>
      <x:c r="H16" s="24" t="str">
        <x:v>497b1e86894d256ceba1b428edc7ff112ec189615241b53db1c94f3f850e6b68</x:v>
      </x:c>
      <x:c r="I16" s="24" t="str"/>
      <x:c r="J16" s="57" t="n">
        <x:v>46260.10690972222</x:v>
      </x:c>
      <x:c r="K16" s="25" t="str">
        <x:v>https://books.google.com/ngrams/json?content=climate&amp;year_start=1842&amp;year_end=2022&amp;corpus=eng&amp;smoothing=0&amp;case_insensitive=true</x:v>
      </x:c>
      <x:c r="L16" s="49" t="str">
        <x:v>application/json (cached)</x:v>
      </x:c>
    </x:row>
    <x:row r="17" ht="19" customHeight="1">
      <x:c r="A17" s="23" t="str">
        <x:v>FT-Q-V01-016</x:v>
      </x:c>
      <x:c r="B17" s="24" t="str">
        <x:v>sun's heat</x:v>
      </x:c>
      <x:c r="C17" s="25" t="str">
        <x:v>ZERO_RESULT</x:v>
      </x:c>
      <x:c r="D17" s="25" t="str">
        <x:v>0</x:v>
      </x:c>
      <x:c r="E17" s="25" t="str">
        <x:v>0</x:v>
      </x:c>
      <x:c r="F17" s="25" t="str"/>
      <x:c r="G17" s="24" t="str">
        <x:v>data/fear-temperature/ngram/raw/a5e0c6f662bea7df30da2af8d6f74cfa8d7e2db15acbb2556c3ecd3d4ba34a26.json</x:v>
      </x:c>
      <x:c r="H17" s="24" t="str">
        <x:v>4f53cda18c2baa0c0354bb5f9a3ecbe5ed12ab4d8e11ba873c2f11161202b945</x:v>
      </x:c>
      <x:c r="I17" s="24" t="str"/>
      <x:c r="J17" s="57" t="n">
        <x:v>46260.1069212963</x:v>
      </x:c>
      <x:c r="K17" s="25" t="str">
        <x:v>https://books.google.com/ngrams/json?content=sun%27s+heat&amp;year_start=1842&amp;year_end=2022&amp;corpus=eng&amp;smoothing=0&amp;case_insensitive=true</x:v>
      </x:c>
      <x:c r="L17" s="49" t="str">
        <x:v>application/json (cached)</x:v>
      </x:c>
    </x:row>
    <x:row r="18" ht="19" customHeight="1">
      <x:c r="A18" s="23" t="str">
        <x:v>FT-Q-V01-017</x:v>
      </x:c>
      <x:c r="B18" s="24" t="str">
        <x:v>radiation of the heat</x:v>
      </x:c>
      <x:c r="C18" s="25" t="str">
        <x:v>SUCCEEDED</x:v>
      </x:c>
      <x:c r="D18" s="25" t="str">
        <x:v>0</x:v>
      </x:c>
      <x:c r="E18" s="25" t="str">
        <x:v>181</x:v>
      </x:c>
      <x:c r="F18" s="25" t="str">
        <x:v>radiation of the heat (All)</x:v>
      </x:c>
      <x:c r="G18" s="24" t="str">
        <x:v>data/fear-temperature/ngram/raw/b1d91453b664fdcc21e4e3d3431ebf93f214078ffc9208777f1b541cd6603b40.json</x:v>
      </x:c>
      <x:c r="H18" s="24" t="str">
        <x:v>5b539f367ffe9914083998b2749e39e0b726e55e37756d5b8d0dbaf5c75df734</x:v>
      </x:c>
      <x:c r="I18" s="24" t="str"/>
      <x:c r="J18" s="57" t="n">
        <x:v>46260.10693287037</x:v>
      </x:c>
      <x:c r="K18" s="25" t="str">
        <x:v>https://books.google.com/ngrams/json?content=radiation+of+the+heat&amp;year_start=1842&amp;year_end=2022&amp;corpus=eng&amp;smoothing=0&amp;case_insensitive=true</x:v>
      </x:c>
      <x:c r="L18" s="49" t="str">
        <x:v>application/json (cached)</x:v>
      </x:c>
    </x:row>
    <x:row r="19" ht="19" customHeight="1">
      <x:c r="A19" s="23" t="str">
        <x:v>FT-Q-V01-018</x:v>
      </x:c>
      <x:c r="B19" s="24" t="str">
        <x:v>changes of temperature</x:v>
      </x:c>
      <x:c r="C19" s="25" t="str">
        <x:v>SUCCEEDED</x:v>
      </x:c>
      <x:c r="D19" s="25" t="str">
        <x:v>0</x:v>
      </x:c>
      <x:c r="E19" s="25" t="str">
        <x:v>181</x:v>
      </x:c>
      <x:c r="F19" s="25" t="str">
        <x:v>changes of temperature (All)</x:v>
      </x:c>
      <x:c r="G19" s="24" t="str">
        <x:v>data/fear-temperature/ngram/raw/e6b380a089b14610402078727599ceb65a1975ef78d3de6b2dc206afdbe3ddba.json</x:v>
      </x:c>
      <x:c r="H19" s="24" t="str">
        <x:v>080dc94b39011e4da65776e12ece9845800098be171ee8c1b24afa91a751ea3b</x:v>
      </x:c>
      <x:c r="I19" s="24" t="str"/>
      <x:c r="J19" s="57" t="n">
        <x:v>46260.106944444444</x:v>
      </x:c>
      <x:c r="K19" s="25" t="str">
        <x:v>https://books.google.com/ngrams/json?content=changes+of+temperature&amp;year_start=1842&amp;year_end=2022&amp;corpus=eng&amp;smoothing=0&amp;case_insensitive=true</x:v>
      </x:c>
      <x:c r="L19" s="49" t="str">
        <x:v>application/json (cached)</x:v>
      </x:c>
    </x:row>
    <x:row r="20" ht="19" customHeight="1">
      <x:c r="A20" s="23" t="str">
        <x:v>FT-Q-V01-019</x:v>
      </x:c>
      <x:c r="B20" s="24" t="str">
        <x:v>excessive heat</x:v>
      </x:c>
      <x:c r="C20" s="25" t="str">
        <x:v>SUCCEEDED</x:v>
      </x:c>
      <x:c r="D20" s="25" t="str">
        <x:v>0</x:v>
      </x:c>
      <x:c r="E20" s="25" t="str">
        <x:v>181</x:v>
      </x:c>
      <x:c r="F20" s="25" t="str">
        <x:v>excessive heat (All)</x:v>
      </x:c>
      <x:c r="G20" s="24" t="str">
        <x:v>data/fear-temperature/ngram/raw/f7c0a10c571c1deb244f8aad5b8580355924bf82e62e8910fbf3e507732cb56e.json</x:v>
      </x:c>
      <x:c r="H20" s="24" t="str">
        <x:v>cc8006ffcb3fe6076f98567d0d500509f3533b04ced7153830c62dfe297d0de3</x:v>
      </x:c>
      <x:c r="I20" s="24" t="str"/>
      <x:c r="J20" s="57" t="n">
        <x:v>46260.106944444444</x:v>
      </x:c>
      <x:c r="K20" s="25" t="str">
        <x:v>https://books.google.com/ngrams/json?content=excessive+heat&amp;year_start=1842&amp;year_end=2022&amp;corpus=eng&amp;smoothing=0&amp;case_insensitive=true</x:v>
      </x:c>
      <x:c r="L20" s="49" t="str">
        <x:v>application/json (cached)</x:v>
      </x:c>
    </x:row>
    <x:row r="21" ht="19" customHeight="1">
      <x:c r="A21" s="23" t="str">
        <x:v>FT-Q-V01-020</x:v>
      </x:c>
      <x:c r="B21" s="24" t="str">
        <x:v>heat of the men</x:v>
      </x:c>
      <x:c r="C21" s="25" t="str">
        <x:v>SUCCEEDED</x:v>
      </x:c>
      <x:c r="D21" s="25" t="str">
        <x:v>0</x:v>
      </x:c>
      <x:c r="E21" s="25" t="str">
        <x:v>181</x:v>
      </x:c>
      <x:c r="F21" s="25" t="str">
        <x:v>heat of the men</x:v>
      </x:c>
      <x:c r="G21" s="24" t="str">
        <x:v>data/fear-temperature/ngram/raw/092dbc9916c5011136639ba399e86bd9ee47958643e7546a67c81d6201da72e9.json</x:v>
      </x:c>
      <x:c r="H21" s="24" t="str">
        <x:v>85120697d4c2ec437cc3ea2a4c686fc42ab6389635aabd58bb86e2eb1fc84f24</x:v>
      </x:c>
      <x:c r="I21" s="24" t="str"/>
      <x:c r="J21" s="57" t="n">
        <x:v>46260.10695601852</x:v>
      </x:c>
      <x:c r="K21" s="25" t="str">
        <x:v>https://books.google.com/ngrams/json?content=heat+of+the+men&amp;year_start=1842&amp;year_end=2022&amp;corpus=eng&amp;smoothing=0&amp;case_insensitive=true</x:v>
      </x:c>
      <x:c r="L21" s="49" t="str">
        <x:v>application/json (cached)</x:v>
      </x:c>
    </x:row>
    <x:row r="22" ht="19" customHeight="1">
      <x:c r="A22" s="23" t="str">
        <x:v>FT-Q-V01-021</x:v>
      </x:c>
      <x:c r="B22" s="24" t="str">
        <x:v>artificial production of carbon dioxide</x:v>
      </x:c>
      <x:c r="C22" s="25" t="str">
        <x:v>SUCCEEDED</x:v>
      </x:c>
      <x:c r="D22" s="25" t="str">
        <x:v>0</x:v>
      </x:c>
      <x:c r="E22" s="25" t="str">
        <x:v>181</x:v>
      </x:c>
      <x:c r="F22" s="25" t="str">
        <x:v>artificial production of carbon dioxide (All)</x:v>
      </x:c>
      <x:c r="G22" s="24" t="str">
        <x:v>data/fear-temperature/ngram/raw/2070ecc01d91fb37ee4d7883be04c16d4a7880b3a2dff5f0827d4e72b3e577c0.json</x:v>
      </x:c>
      <x:c r="H22" s="24" t="str">
        <x:v>f5423761dba07093eab528001d454329accbcbef9b6106139045774d51243ae4</x:v>
      </x:c>
      <x:c r="I22" s="24" t="str"/>
      <x:c r="J22" s="57" t="n">
        <x:v>46260.10696759259</x:v>
      </x:c>
      <x:c r="K22" s="25" t="str">
        <x:v>https://books.google.com/ngrams/json?content=artificial+production+of+carbon+dioxide&amp;year_start=1842&amp;year_end=2022&amp;corpus=eng&amp;smoothing=0&amp;case_insensitive=true</x:v>
      </x:c>
      <x:c r="L22" s="49" t="str">
        <x:v>application/json (cached)</x:v>
      </x:c>
    </x:row>
    <x:row r="23" ht="19" customHeight="1">
      <x:c r="A23" s="23" t="str">
        <x:v>FT-Q-V01-022</x:v>
      </x:c>
      <x:c r="B23" s="24" t="str">
        <x:v>carbon dioxide</x:v>
      </x:c>
      <x:c r="C23" s="25" t="str">
        <x:v>SUCCEEDED</x:v>
      </x:c>
      <x:c r="D23" s="25" t="str">
        <x:v>0</x:v>
      </x:c>
      <x:c r="E23" s="25" t="str">
        <x:v>181</x:v>
      </x:c>
      <x:c r="F23" s="25" t="str">
        <x:v>carbon dioxide (All)</x:v>
      </x:c>
      <x:c r="G23" s="24" t="str">
        <x:v>data/fear-temperature/ngram/raw/4cb80f44edde6549156066466a74bfc57366da8f1cf6ad90b5890db731dd8d38.json</x:v>
      </x:c>
      <x:c r="H23" s="24" t="str">
        <x:v>48113e3d3205ec18e7a5090548a782b9e47ab9cba22c54d7740a706f13225f21</x:v>
      </x:c>
      <x:c r="I23" s="24" t="str"/>
      <x:c r="J23" s="57" t="n">
        <x:v>46260.10697916667</x:v>
      </x:c>
      <x:c r="K23" s="25" t="str">
        <x:v>https://books.google.com/ngrams/json?content=carbon+dioxide&amp;year_start=1842&amp;year_end=2022&amp;corpus=eng&amp;smoothing=0&amp;case_insensitive=true</x:v>
      </x:c>
      <x:c r="L23" s="49" t="str">
        <x:v>application/json (cached)</x:v>
      </x:c>
    </x:row>
    <x:row r="24" ht="19" customHeight="1">
      <x:c r="A24" s="23" t="str">
        <x:v>FT-Q-V01-023</x:v>
      </x:c>
      <x:c r="B24" s="24" t="str">
        <x:v>fuel combustion</x:v>
      </x:c>
      <x:c r="C24" s="25" t="str">
        <x:v>SUCCEEDED</x:v>
      </x:c>
      <x:c r="D24" s="25" t="str">
        <x:v>0</x:v>
      </x:c>
      <x:c r="E24" s="25" t="str">
        <x:v>181</x:v>
      </x:c>
      <x:c r="F24" s="25" t="str">
        <x:v>fuel combustion (All)</x:v>
      </x:c>
      <x:c r="G24" s="24" t="str">
        <x:v>data/fear-temperature/ngram/raw/12a8595c1716a3689b1352a631f6c4cb21fd6f97651228f8731d5c059da7ddcd.json</x:v>
      </x:c>
      <x:c r="H24" s="24" t="str">
        <x:v>244ceafe1a112e8748b2a3cd2a6cabbfc3e2828f5f28f5778e8b3d81fb111dfd</x:v>
      </x:c>
      <x:c r="I24" s="24" t="str"/>
      <x:c r="J24" s="57" t="n">
        <x:v>46260.106990740744</x:v>
      </x:c>
      <x:c r="K24" s="25" t="str">
        <x:v>https://books.google.com/ngrams/json?content=fuel+combustion&amp;year_start=1842&amp;year_end=2022&amp;corpus=eng&amp;smoothing=0&amp;case_insensitive=true</x:v>
      </x:c>
      <x:c r="L24" s="49" t="str">
        <x:v>application/json (cached)</x:v>
      </x:c>
    </x:row>
    <x:row r="25" ht="19" customHeight="1">
      <x:c r="A25" s="23" t="str">
        <x:v>FT-Q-V01-024</x:v>
      </x:c>
      <x:c r="B25" s="24" t="str">
        <x:v>air</x:v>
      </x:c>
      <x:c r="C25" s="25" t="str">
        <x:v>SUCCEEDED</x:v>
      </x:c>
      <x:c r="D25" s="25" t="str">
        <x:v>0</x:v>
      </x:c>
      <x:c r="E25" s="25" t="str">
        <x:v>181</x:v>
      </x:c>
      <x:c r="F25" s="25" t="str">
        <x:v>air (All)</x:v>
      </x:c>
      <x:c r="G25" s="24" t="str">
        <x:v>data/fear-temperature/ngram/raw/d1d71646f7752f96d980c2569f429edc861dee3fe41954ab8819ae80ac484917.json</x:v>
      </x:c>
      <x:c r="H25" s="24" t="str">
        <x:v>b0041edf36e3d95fedb2fe877b9a64ddc622b5166bb8bae9208f83dbb8b6f3e4</x:v>
      </x:c>
      <x:c r="I25" s="24" t="str"/>
      <x:c r="J25" s="57" t="n">
        <x:v>46260.10700231481</x:v>
      </x:c>
      <x:c r="K25" s="25" t="str">
        <x:v>https://books.google.com/ngrams/json?content=air&amp;year_start=1842&amp;year_end=2022&amp;corpus=eng&amp;smoothing=0&amp;case_insensitive=true</x:v>
      </x:c>
      <x:c r="L25" s="49" t="str">
        <x:v>application/json (cached)</x:v>
      </x:c>
    </x:row>
    <x:row r="26" ht="19" customHeight="1">
      <x:c r="A26" s="23" t="str">
        <x:v>FT-Q-V01-025</x:v>
      </x:c>
      <x:c r="B26" s="24" t="str">
        <x:v>atmosphere</x:v>
      </x:c>
      <x:c r="C26" s="25" t="str">
        <x:v>SUCCEEDED</x:v>
      </x:c>
      <x:c r="D26" s="25" t="str">
        <x:v>0</x:v>
      </x:c>
      <x:c r="E26" s="25" t="str">
        <x:v>181</x:v>
      </x:c>
      <x:c r="F26" s="25" t="str">
        <x:v>atmosphere (All)</x:v>
      </x:c>
      <x:c r="G26" s="24" t="str">
        <x:v>data/fear-temperature/ngram/raw/02abb1ffa0f647541454d9a403cb3fde6448b9c7ffe5a64372a582db79e9c276.json</x:v>
      </x:c>
      <x:c r="H26" s="24" t="str">
        <x:v>01b831b06cfb1018234a37db43abc0667a82c36388beaf342b71cdf531d34577</x:v>
      </x:c>
      <x:c r="I26" s="24" t="str"/>
      <x:c r="J26" s="57" t="n">
        <x:v>46260.10701388889</x:v>
      </x:c>
      <x:c r="K26" s="25" t="str">
        <x:v>https://books.google.com/ngrams/json?content=atmosphere&amp;year_start=1842&amp;year_end=2022&amp;corpus=eng&amp;smoothing=0&amp;case_insensitive=true</x:v>
      </x:c>
      <x:c r="L26" s="49" t="str">
        <x:v>application/json (cached)</x:v>
      </x:c>
    </x:row>
    <x:row r="27" ht="19" customHeight="1">
      <x:c r="A27" s="23" t="str">
        <x:v>FT-Q-V01-026</x:v>
      </x:c>
      <x:c r="B27" s="24" t="str">
        <x:v>radiation absorption coefficients</x:v>
      </x:c>
      <x:c r="C27" s="25" t="str">
        <x:v>SUCCEEDED</x:v>
      </x:c>
      <x:c r="D27" s="25" t="str">
        <x:v>0</x:v>
      </x:c>
      <x:c r="E27" s="25" t="str">
        <x:v>181</x:v>
      </x:c>
      <x:c r="F27" s="25" t="str">
        <x:v>radiation absorption coefficients (All)</x:v>
      </x:c>
      <x:c r="G27" s="24" t="str">
        <x:v>data/fear-temperature/ngram/raw/2171601fde96b2bd2865c8be4c2da3ae797032f05534d51e6686631886ce7cdb.json</x:v>
      </x:c>
      <x:c r="H27" s="24" t="str">
        <x:v>4aac3954e8bef6ac1877e3fef39fc9ddbabeef2b1e170714656bb83e2ce1e528</x:v>
      </x:c>
      <x:c r="I27" s="24" t="str"/>
      <x:c r="J27" s="57" t="n">
        <x:v>46260.10701388889</x:v>
      </x:c>
      <x:c r="K27" s="25" t="str">
        <x:v>https://books.google.com/ngrams/json?content=radiation+absorption+coefficients&amp;year_start=1842&amp;year_end=2022&amp;corpus=eng&amp;smoothing=0&amp;case_insensitive=true</x:v>
      </x:c>
      <x:c r="L27" s="49" t="str">
        <x:v>application/json (cached)</x:v>
      </x:c>
    </x:row>
    <x:row r="28" ht="19" customHeight="1">
      <x:c r="A28" s="23" t="str">
        <x:v>FT-Q-V01-027</x:v>
      </x:c>
      <x:c r="B28" s="24" t="str">
        <x:v>water vapour</x:v>
      </x:c>
      <x:c r="C28" s="25" t="str">
        <x:v>SUCCEEDED</x:v>
      </x:c>
      <x:c r="D28" s="25" t="str">
        <x:v>0</x:v>
      </x:c>
      <x:c r="E28" s="25" t="str">
        <x:v>181</x:v>
      </x:c>
      <x:c r="F28" s="25" t="str">
        <x:v>water vapour (All)</x:v>
      </x:c>
      <x:c r="G28" s="24" t="str">
        <x:v>data/fear-temperature/ngram/raw/f51ff51dc09cac2d8a00e7b237acf835741ce26e1efca30bbc7f9b4da5279a28.json</x:v>
      </x:c>
      <x:c r="H28" s="24" t="str">
        <x:v>761aea14257443c413894e7eaf46e5946d911d1d4afab42642a6b38b7dd741a0</x:v>
      </x:c>
      <x:c r="I28" s="24" t="str"/>
      <x:c r="J28" s="57" t="n">
        <x:v>46260.10702546296</x:v>
      </x:c>
      <x:c r="K28" s="25" t="str">
        <x:v>https://books.google.com/ngrams/json?content=water+vapour&amp;year_start=1842&amp;year_end=2022&amp;corpus=eng&amp;smoothing=0&amp;case_insensitive=true</x:v>
      </x:c>
      <x:c r="L28" s="49" t="str">
        <x:v>application/json (cached)</x:v>
      </x:c>
    </x:row>
    <x:row r="29" ht="19" customHeight="1">
      <x:c r="A29" s="23" t="str">
        <x:v>FT-Q-V01-028</x:v>
      </x:c>
      <x:c r="B29" s="24" t="str">
        <x:v>sky radiation</x:v>
      </x:c>
      <x:c r="C29" s="25" t="str">
        <x:v>SUCCEEDED</x:v>
      </x:c>
      <x:c r="D29" s="25" t="str">
        <x:v>0</x:v>
      </x:c>
      <x:c r="E29" s="25" t="str">
        <x:v>181</x:v>
      </x:c>
      <x:c r="F29" s="25" t="str">
        <x:v>sky radiation (All)</x:v>
      </x:c>
      <x:c r="G29" s="24" t="str">
        <x:v>data/fear-temperature/ngram/raw/25f6f758b041c15280f5b78e2745bcaf174c736ac625ba6c8fa3f9e9b8acb3d0.json</x:v>
      </x:c>
      <x:c r="H29" s="24" t="str">
        <x:v>cfb78a6207414f9558ad0aa06605126a2a33fe0f8bfdc3c0a25d33f4719c7920</x:v>
      </x:c>
      <x:c r="I29" s="24" t="str"/>
      <x:c r="J29" s="57" t="n">
        <x:v>46260.107037037036</x:v>
      </x:c>
      <x:c r="K29" s="25" t="str">
        <x:v>https://books.google.com/ngrams/json?content=sky+radiation&amp;year_start=1842&amp;year_end=2022&amp;corpus=eng&amp;smoothing=0&amp;case_insensitive=true</x:v>
      </x:c>
      <x:c r="L29" s="49" t="str">
        <x:v>application/json (cached)</x:v>
      </x:c>
    </x:row>
    <x:row r="30" ht="19" customHeight="1">
      <x:c r="A30" s="23" t="str">
        <x:v>FT-Q-V01-029</x:v>
      </x:c>
      <x:c r="B30" s="24" t="str">
        <x:v>increase in mean temperature</x:v>
      </x:c>
      <x:c r="C30" s="25" t="str">
        <x:v>SUCCEEDED</x:v>
      </x:c>
      <x:c r="D30" s="25" t="str">
        <x:v>0</x:v>
      </x:c>
      <x:c r="E30" s="25" t="str">
        <x:v>181</x:v>
      </x:c>
      <x:c r="F30" s="25" t="str">
        <x:v>increase in mean temperature (All)</x:v>
      </x:c>
      <x:c r="G30" s="24" t="str">
        <x:v>data/fear-temperature/ngram/raw/f17eca0292278251b17b3815a9781852804a5b948c3f6ebb56f9d678e7907143.json</x:v>
      </x:c>
      <x:c r="H30" s="24" t="str">
        <x:v>3b8207f1add4405c93ce8330b8f2b7f87cd9c2ebcc226afc169d0f5482626786</x:v>
      </x:c>
      <x:c r="I30" s="24" t="str"/>
      <x:c r="J30" s="57" t="n">
        <x:v>46260.10704861111</x:v>
      </x:c>
      <x:c r="K30" s="25" t="str">
        <x:v>https://books.google.com/ngrams/json?content=increase+in+mean+temperature&amp;year_start=1842&amp;year_end=2022&amp;corpus=eng&amp;smoothing=0&amp;case_insensitive=true</x:v>
      </x:c>
      <x:c r="L30" s="49" t="str">
        <x:v>application/json (cached)</x:v>
      </x:c>
    </x:row>
    <x:row r="31" ht="19" customHeight="1">
      <x:c r="A31" s="23" t="str">
        <x:v>FT-Q-V01-030</x:v>
      </x:c>
      <x:c r="B31" s="24" t="str">
        <x:v>mean temperature</x:v>
      </x:c>
      <x:c r="C31" s="25" t="str">
        <x:v>SUCCEEDED</x:v>
      </x:c>
      <x:c r="D31" s="25" t="str">
        <x:v>0</x:v>
      </x:c>
      <x:c r="E31" s="25" t="str">
        <x:v>181</x:v>
      </x:c>
      <x:c r="F31" s="25" t="str">
        <x:v>mean temperature (All)</x:v>
      </x:c>
      <x:c r="G31" s="24" t="str">
        <x:v>data/fear-temperature/ngram/raw/264e2d12fe20c5aa6284ae43253eabc03ec9e11aa2056afde9e77d33d8e97530.json</x:v>
      </x:c>
      <x:c r="H31" s="24" t="str">
        <x:v>0d049bebf2e700224bc9339569434af87e3983662263462216b4b91cca41460d</x:v>
      </x:c>
      <x:c r="I31" s="24" t="str"/>
      <x:c r="J31" s="57" t="n">
        <x:v>46260.106782407405</x:v>
      </x:c>
      <x:c r="K31" s="25" t="str">
        <x:v>https://books.google.com/ngrams/json?content=mean+temperature&amp;year_start=1842&amp;year_end=2022&amp;corpus=eng&amp;smoothing=0&amp;case_insensitive=true</x:v>
      </x:c>
      <x:c r="L31" s="49" t="str">
        <x:v>application/json (cached)</x:v>
      </x:c>
    </x:row>
    <x:row r="32" ht="19" customHeight="1">
      <x:c r="A32" s="23" t="str">
        <x:v>FT-Q-V01-031</x:v>
      </x:c>
      <x:c r="B32" s="24" t="str">
        <x:v>temperature observations</x:v>
      </x:c>
      <x:c r="C32" s="25" t="str">
        <x:v>SUCCEEDED</x:v>
      </x:c>
      <x:c r="D32" s="25" t="str">
        <x:v>0</x:v>
      </x:c>
      <x:c r="E32" s="25" t="str">
        <x:v>181</x:v>
      </x:c>
      <x:c r="F32" s="25" t="str">
        <x:v>temperature observations (All)</x:v>
      </x:c>
      <x:c r="G32" s="24" t="str">
        <x:v>data/fear-temperature/ngram/raw/66206e9216362147b860e1e6c3a8001945a83264107212b1c0f3c3d2fd551522.json</x:v>
      </x:c>
      <x:c r="H32" s="24" t="str">
        <x:v>a865035ec64b9a084b3eb1b5db51b1366d21dba4ed9edfde4fe7236541c02e91</x:v>
      </x:c>
      <x:c r="I32" s="24" t="str"/>
      <x:c r="J32" s="57" t="n">
        <x:v>46260.107152777775</x:v>
      </x:c>
      <x:c r="K32" s="25" t="str">
        <x:v>https://books.google.com/ngrams/json?content=temperature+observations&amp;year_start=1842&amp;year_end=2022&amp;corpus=eng&amp;smoothing=0&amp;case_insensitive=true</x:v>
      </x:c>
      <x:c r="L32" s="49" t="str">
        <x:v>application/json (cached)</x:v>
      </x:c>
    </x:row>
    <x:row r="33" ht="19" customHeight="1">
      <x:c r="A33" s="23" t="str">
        <x:v>FT-Q-V01-032</x:v>
      </x:c>
      <x:c r="B33" s="24" t="str">
        <x:v>meteorological stations</x:v>
      </x:c>
      <x:c r="C33" s="25" t="str">
        <x:v>SUCCEEDED</x:v>
      </x:c>
      <x:c r="D33" s="25" t="str">
        <x:v>0</x:v>
      </x:c>
      <x:c r="E33" s="25" t="str">
        <x:v>181</x:v>
      </x:c>
      <x:c r="F33" s="25" t="str">
        <x:v>meteorological stations (All)</x:v>
      </x:c>
      <x:c r="G33" s="24" t="str">
        <x:v>data/fear-temperature/ngram/raw/e9d57e4d27daeaa5ff3a311226643238760265d483bb429b63cf1eaf703e26ff.json</x:v>
      </x:c>
      <x:c r="H33" s="24" t="str">
        <x:v>f6e21222c0b563f3c5c13707a8c0d6677b89213285e3d5b51034e457dd2da382</x:v>
      </x:c>
      <x:c r="I33" s="24" t="str"/>
      <x:c r="J33" s="57" t="n">
        <x:v>46260.10716435185</x:v>
      </x:c>
      <x:c r="K33" s="25" t="str">
        <x:v>https://books.google.com/ngrams/json?content=meteorological+stations&amp;year_start=1842&amp;year_end=2022&amp;corpus=eng&amp;smoothing=0&amp;case_insensitive=true</x:v>
      </x:c>
      <x:c r="L33" s="49" t="str">
        <x:v>application/json (cached)</x:v>
      </x:c>
    </x:row>
    <x:row r="34" ht="19" customHeight="1">
      <x:c r="A34" s="23" t="str">
        <x:v>FT-Q-V01-033</x:v>
      </x:c>
      <x:c r="B34" s="24" t="str">
        <x:v>world temperatures</x:v>
      </x:c>
      <x:c r="C34" s="25" t="str">
        <x:v>SUCCEEDED</x:v>
      </x:c>
      <x:c r="D34" s="25" t="str">
        <x:v>0</x:v>
      </x:c>
      <x:c r="E34" s="25" t="str">
        <x:v>181</x:v>
      </x:c>
      <x:c r="F34" s="25" t="str">
        <x:v>world temperatures (All)</x:v>
      </x:c>
      <x:c r="G34" s="24" t="str">
        <x:v>data/fear-temperature/ngram/raw/c7e50063801250140864a7c772bbe06a1a5b4b6b0adaa4ccb81beedc0fdd8bbc.json</x:v>
      </x:c>
      <x:c r="H34" s="24" t="str">
        <x:v>9d6bc09ea2864f6f77a071e5b53a862eb05ae205a31160769b0f0371128a0c11</x:v>
      </x:c>
      <x:c r="I34" s="24" t="str"/>
      <x:c r="J34" s="57" t="n">
        <x:v>46260.10717592593</x:v>
      </x:c>
      <x:c r="K34" s="25" t="str">
        <x:v>https://books.google.com/ngrams/json?content=world+temperatures&amp;year_start=1842&amp;year_end=2022&amp;corpus=eng&amp;smoothing=0&amp;case_insensitive=true</x:v>
      </x:c>
      <x:c r="L34" s="49" t="str">
        <x:v>application/json (cached)</x:v>
      </x:c>
    </x:row>
    <x:row r="35" ht="19" customHeight="1">
      <x:c r="A35" s="23" t="str">
        <x:v>FT-Q-V01-034</x:v>
      </x:c>
      <x:c r="B35" s="24" t="str">
        <x:v>actually increased</x:v>
      </x:c>
      <x:c r="C35" s="25" t="str">
        <x:v>SUCCEEDED</x:v>
      </x:c>
      <x:c r="D35" s="25" t="str">
        <x:v>0</x:v>
      </x:c>
      <x:c r="E35" s="25" t="str">
        <x:v>181</x:v>
      </x:c>
      <x:c r="F35" s="25" t="str">
        <x:v>actually increased (All)</x:v>
      </x:c>
      <x:c r="G35" s="24" t="str">
        <x:v>data/fear-temperature/ngram/raw/9167b97ea3895d8f249f2aa5de33317b397ec2743be4c95d3c595b1798795eb5.json</x:v>
      </x:c>
      <x:c r="H35" s="24" t="str">
        <x:v>f0d3dc867797b40552e6f415e3058c20f810f218854efd8ede34ec4a4064a695</x:v>
      </x:c>
      <x:c r="I35" s="24" t="str"/>
      <x:c r="J35" s="57" t="n">
        <x:v>46260.1071875</x:v>
      </x:c>
      <x:c r="K35" s="25" t="str">
        <x:v>https://books.google.com/ngrams/json?content=actually+increased&amp;year_start=1842&amp;year_end=2022&amp;corpus=eng&amp;smoothing=0&amp;case_insensitive=true</x:v>
      </x:c>
      <x:c r="L35" s="49" t="str">
        <x:v>application/json (cached)</x:v>
      </x:c>
    </x:row>
    <x:row r="36" ht="19" customHeight="1">
      <x:c r="A36" s="23" t="str">
        <x:v>FT-Q-V01-035</x:v>
      </x:c>
      <x:c r="B36" s="24" t="str">
        <x:v>average rate</x:v>
      </x:c>
      <x:c r="C36" s="25" t="str">
        <x:v>SUCCEEDED</x:v>
      </x:c>
      <x:c r="D36" s="25" t="str">
        <x:v>0</x:v>
      </x:c>
      <x:c r="E36" s="25" t="str">
        <x:v>181</x:v>
      </x:c>
      <x:c r="F36" s="25" t="str">
        <x:v>average rate (All)</x:v>
      </x:c>
      <x:c r="G36" s="24" t="str">
        <x:v>data/fear-temperature/ngram/raw/e427f2da752395cacbd7c32fdf3f8f75639075e807d2631a0c0fc4f137209b9f.json</x:v>
      </x:c>
      <x:c r="H36" s="24" t="str">
        <x:v>2b17c381f626f175c184f79053b5b9cad2f1dd035e954ed8a1d93983f89fa8a8</x:v>
      </x:c>
      <x:c r="I36" s="24" t="str"/>
      <x:c r="J36" s="57" t="n">
        <x:v>46260.107199074075</x:v>
      </x:c>
      <x:c r="K36" s="25" t="str">
        <x:v>https://books.google.com/ngrams/json?content=average+rate&amp;year_start=1842&amp;year_end=2022&amp;corpus=eng&amp;smoothing=0&amp;case_insensitive=true</x:v>
      </x:c>
      <x:c r="L36" s="49" t="str">
        <x:v>application/json (cached)</x:v>
      </x:c>
    </x:row>
    <x:row r="37" ht="19" customHeight="1">
      <x:c r="A37" s="23" t="str">
        <x:v>FT-Q-V01-036</x:v>
      </x:c>
      <x:c r="B37" s="24" t="str">
        <x:v>small increases in mean temperature</x:v>
      </x:c>
      <x:c r="C37" s="25" t="str">
        <x:v>ZERO_RESULT</x:v>
      </x:c>
      <x:c r="D37" s="25" t="str">
        <x:v>0</x:v>
      </x:c>
      <x:c r="E37" s="25" t="str">
        <x:v>0</x:v>
      </x:c>
      <x:c r="F37" s="25" t="str"/>
      <x:c r="G37" s="24" t="str">
        <x:v>data/fear-temperature/ngram/raw/d6d0759da43a3f360d038f003e572d16c77ddbfc718996d3d12107850601cb5e.json</x:v>
      </x:c>
      <x:c r="H37" s="24" t="str">
        <x:v>4f53cda18c2baa0c0354bb5f9a3ecbe5ed12ab4d8e11ba873c2f11161202b945</x:v>
      </x:c>
      <x:c r="I37" s="24" t="str"/>
      <x:c r="J37" s="57" t="n">
        <x:v>46260.107199074075</x:v>
      </x:c>
      <x:c r="K37" s="25" t="str">
        <x:v>https://books.google.com/ngrams/json?content=small+increases+in+mean+temperature&amp;year_start=1842&amp;year_end=2022&amp;corpus=eng&amp;smoothing=0&amp;case_insensitive=true</x:v>
      </x:c>
      <x:c r="L37" s="49" t="str">
        <x:v>application/json (cached)</x:v>
      </x:c>
    </x:row>
    <x:row r="38" ht="19" customHeight="1">
      <x:c r="A38" s="23" t="str">
        <x:v>FT-Q-V01-037</x:v>
      </x:c>
      <x:c r="B38" s="24" t="str">
        <x:v>deadly glaciers</x:v>
      </x:c>
      <x:c r="C38" s="25" t="str">
        <x:v>SUCCEEDED</x:v>
      </x:c>
      <x:c r="D38" s="25" t="str">
        <x:v>0</x:v>
      </x:c>
      <x:c r="E38" s="25" t="str">
        <x:v>181</x:v>
      </x:c>
      <x:c r="F38" s="25" t="str">
        <x:v>deadly glaciers</x:v>
      </x:c>
      <x:c r="G38" s="24" t="str">
        <x:v>data/fear-temperature/ngram/raw/acd1c78d49da2b3a6c3ef64dbd5a9c1d23715156d453753d86190a592a0bf21f.json</x:v>
      </x:c>
      <x:c r="H38" s="24" t="str">
        <x:v>4d3f95cda81f4c64bb3d91cd7c585ce3165ee2d0ae3bd7da22ced9606e4610dd</x:v>
      </x:c>
      <x:c r="I38" s="24" t="str"/>
      <x:c r="J38" s="57" t="n">
        <x:v>46260.10721064815</x:v>
      </x:c>
      <x:c r="K38" s="25" t="str">
        <x:v>https://books.google.com/ngrams/json?content=deadly+glaciers&amp;year_start=1842&amp;year_end=2022&amp;corpus=eng&amp;smoothing=0&amp;case_insensitive=true</x:v>
      </x:c>
      <x:c r="L38" s="49" t="str">
        <x:v>application/json (cached)</x:v>
      </x:c>
    </x:row>
    <x:row r="39" ht="19" customHeight="1">
      <x:c r="A39" s="23" t="str">
        <x:v>FT-Q-V01-038</x:v>
      </x:c>
      <x:c r="B39" s="24" t="str">
        <x:v>rather a coincidence</x:v>
      </x:c>
      <x:c r="C39" s="25" t="str">
        <x:v>SUCCEEDED</x:v>
      </x:c>
      <x:c r="D39" s="25" t="str">
        <x:v>0</x:v>
      </x:c>
      <x:c r="E39" s="25" t="str">
        <x:v>181</x:v>
      </x:c>
      <x:c r="F39" s="25" t="str">
        <x:v>rather a coincidence (All)</x:v>
      </x:c>
      <x:c r="G39" s="24" t="str">
        <x:v>data/fear-temperature/ngram/raw/bca4b0be62a4f63b3d0e7919b771c514c52a4bdc627ec3a3afe9095da1caf1ba.json</x:v>
      </x:c>
      <x:c r="H39" s="24" t="str">
        <x:v>76256aa11332fa1c24234bbac1e01598b531efe888c20291cd31fc8d6d0af22f</x:v>
      </x:c>
      <x:c r="I39" s="24" t="str"/>
      <x:c r="J39" s="57" t="n">
        <x:v>46260.10722222222</x:v>
      </x:c>
      <x:c r="K39" s="25" t="str">
        <x:v>https://books.google.com/ngrams/json?content=rather+a+coincidence&amp;year_start=1842&amp;year_end=2022&amp;corpus=eng&amp;smoothing=0&amp;case_insensitive=true</x:v>
      </x:c>
      <x:c r="L39" s="49" t="str">
        <x:v>application/json (cached)</x:v>
      </x:c>
    </x:row>
    <x:row r="40" ht="19" customHeight="1">
      <x:c r="A40" s="23" t="str">
        <x:v>FT-Q-V01-039</x:v>
      </x:c>
      <x:c r="B40" s="24" t="str">
        <x:v>Hottest Day for Ten Years</x:v>
      </x:c>
      <x:c r="C40" s="25" t="str">
        <x:v>ZERO_RESULT</x:v>
      </x:c>
      <x:c r="D40" s="25" t="str">
        <x:v>0</x:v>
      </x:c>
      <x:c r="E40" s="25" t="str">
        <x:v>0</x:v>
      </x:c>
      <x:c r="F40" s="25" t="str"/>
      <x:c r="G40" s="24" t="str">
        <x:v>data/fear-temperature/ngram/raw/7c1cabc675b2da12af25d48ca83988bcbc1381ceee50bb7b5e8500626cbe9b00.json</x:v>
      </x:c>
      <x:c r="H40" s="24" t="str">
        <x:v>4f53cda18c2baa0c0354bb5f9a3ecbe5ed12ab4d8e11ba873c2f11161202b945</x:v>
      </x:c>
      <x:c r="I40" s="24" t="str"/>
      <x:c r="J40" s="57" t="n">
        <x:v>46260.1072337963</x:v>
      </x:c>
      <x:c r="K40" s="25" t="str">
        <x:v>https://books.google.com/ngrams/json?content=Hottest+Day+for+Ten+Years&amp;year_start=1842&amp;year_end=2022&amp;corpus=eng&amp;smoothing=0&amp;case_insensitive=true</x:v>
      </x:c>
      <x:c r="L40" s="49" t="str">
        <x:v>application/json (cached)</x:v>
      </x:c>
    </x:row>
    <x:row r="41" ht="19" customHeight="1">
      <x:c r="A41" s="23" t="str">
        <x:v>FT-Q-V01-040</x:v>
      </x:c>
      <x:c r="B41" s="24" t="str">
        <x:v>Heat Wave Over Queensland</x:v>
      </x:c>
      <x:c r="C41" s="25" t="str">
        <x:v>ZERO_RESULT</x:v>
      </x:c>
      <x:c r="D41" s="25" t="str">
        <x:v>0</x:v>
      </x:c>
      <x:c r="E41" s="25" t="str">
        <x:v>0</x:v>
      </x:c>
      <x:c r="F41" s="25" t="str"/>
      <x:c r="G41" s="24" t="str">
        <x:v>data/fear-temperature/ngram/raw/ff4de47b36b0ffff4f03545db968f819af528c6de47ea4be4984876b37550a41.json</x:v>
      </x:c>
      <x:c r="H41" s="24" t="str">
        <x:v>4f53cda18c2baa0c0354bb5f9a3ecbe5ed12ab4d8e11ba873c2f11161202b945</x:v>
      </x:c>
      <x:c r="I41" s="24" t="str"/>
      <x:c r="J41" s="57" t="n">
        <x:v>46260.10724537037</x:v>
      </x:c>
      <x:c r="K41" s="25" t="str">
        <x:v>https://books.google.com/ngrams/json?content=Heat+Wave+Over+Queensland&amp;year_start=1842&amp;year_end=2022&amp;corpus=eng&amp;smoothing=0&amp;case_insensitive=true</x:v>
      </x:c>
      <x:c r="L41" s="49" t="str">
        <x:v>application/json (cached)</x:v>
      </x:c>
    </x:row>
    <x:row r="42" ht="19" customHeight="1">
      <x:c r="A42" s="23" t="str">
        <x:v>FT-Q-V01-041</x:v>
      </x:c>
      <x:c r="B42" s="24" t="str">
        <x:v>greenhouse effect</x:v>
      </x:c>
      <x:c r="C42" s="25" t="str">
        <x:v>SUCCEEDED</x:v>
      </x:c>
      <x:c r="D42" s="25" t="str">
        <x:v>0</x:v>
      </x:c>
      <x:c r="E42" s="25" t="str">
        <x:v>181</x:v>
      </x:c>
      <x:c r="F42" s="25" t="str">
        <x:v>greenhouse effect (All)</x:v>
      </x:c>
      <x:c r="G42" s="24" t="str">
        <x:v>data/fear-temperature/ngram/raw/205959f263c8ae6824e66753a55df505e51b40905b28c4cb916bd1952aea4bdb.json</x:v>
      </x:c>
      <x:c r="H42" s="24" t="str">
        <x:v>4286ccb83770f8e9550a4b862463947b8edb637081d5f43cfee319f9d7681262</x:v>
      </x:c>
      <x:c r="I42" s="24" t="str"/>
      <x:c r="J42" s="57" t="n">
        <x:v>46260.10724537037</x:v>
      </x:c>
      <x:c r="K42" s="25" t="str">
        <x:v>https://books.google.com/ngrams/json?content=greenhouse+effect&amp;year_start=1842&amp;year_end=2022&amp;corpus=eng&amp;smoothing=0&amp;case_insensitive=true</x:v>
      </x:c>
      <x:c r="L42" s="49" t="str">
        <x:v>application/json (cached)</x:v>
      </x:c>
    </x:row>
    <x:row r="43" ht="19" customHeight="1">
      <x:c r="A43" s="23" t="str">
        <x:v>FT-Q-V01-042</x:v>
      </x:c>
      <x:c r="B43" s="24" t="str">
        <x:v>global warming</x:v>
      </x:c>
      <x:c r="C43" s="25" t="str">
        <x:v>SUCCEEDED</x:v>
      </x:c>
      <x:c r="D43" s="25" t="str">
        <x:v>0</x:v>
      </x:c>
      <x:c r="E43" s="25" t="str">
        <x:v>181</x:v>
      </x:c>
      <x:c r="F43" s="25" t="str">
        <x:v>global warming (All)</x:v>
      </x:c>
      <x:c r="G43" s="24" t="str">
        <x:v>data/fear-temperature/ngram/raw/e982c3b5d6e77fc759f19bb2931d892bfaa9221ade4a44977579a8d5a8afab71.json</x:v>
      </x:c>
      <x:c r="H43" s="24" t="str">
        <x:v>edd5437f92999c829c0fea3e5822ab6cb22f6b319b6eab7bc697d0dc4f6023f9</x:v>
      </x:c>
      <x:c r="I43" s="24" t="str"/>
      <x:c r="J43" s="57" t="n">
        <x:v>46260.107256944444</x:v>
      </x:c>
      <x:c r="K43" s="25" t="str">
        <x:v>https://books.google.com/ngrams/json?content=global+warming&amp;year_start=1842&amp;year_end=2022&amp;corpus=eng&amp;smoothing=0&amp;case_insensitive=true</x:v>
      </x:c>
      <x:c r="L43" s="49" t="str">
        <x:v>application/json (cached)</x:v>
      </x:c>
    </x:row>
    <x:row r="44" ht="19" customHeight="1">
      <x:c r="A44" s="23" t="str">
        <x:v>FT-Q-V01-043</x:v>
      </x:c>
      <x:c r="B44" s="24" t="str">
        <x:v>earth is warmer</x:v>
      </x:c>
      <x:c r="C44" s="25" t="str">
        <x:v>SUCCEEDED</x:v>
      </x:c>
      <x:c r="D44" s="25" t="str">
        <x:v>0</x:v>
      </x:c>
      <x:c r="E44" s="25" t="str">
        <x:v>181</x:v>
      </x:c>
      <x:c r="F44" s="25" t="str">
        <x:v>earth is warmer (All)</x:v>
      </x:c>
      <x:c r="G44" s="24" t="str">
        <x:v>data/fear-temperature/ngram/raw/ae93b0533e9e2ca24d879c60ebc4c416dc7f4834ae02aa0e97387d0fc291a9d5.json</x:v>
      </x:c>
      <x:c r="H44" s="24" t="str">
        <x:v>f848a3f0be8780fa8aff8fc0d227d15ea0a131684e7a17dd3b76b346023ffffa</x:v>
      </x:c>
      <x:c r="I44" s="24" t="str"/>
      <x:c r="J44" s="57" t="n">
        <x:v>46260.10726851852</x:v>
      </x:c>
      <x:c r="K44" s="25" t="str">
        <x:v>https://books.google.com/ngrams/json?content=earth+is+warmer&amp;year_start=1842&amp;year_end=2022&amp;corpus=eng&amp;smoothing=0&amp;case_insensitive=true</x:v>
      </x:c>
      <x:c r="L44" s="49" t="str">
        <x:v>application/json (cached)</x:v>
      </x:c>
    </x:row>
    <x:row r="45" ht="19" customHeight="1">
      <x:c r="A45" s="23" t="str">
        <x:v>FT-Q-V01-044</x:v>
      </x:c>
      <x:c r="B45" s="24" t="str">
        <x:v>instrumental measurements</x:v>
      </x:c>
      <x:c r="C45" s="25" t="str">
        <x:v>SUCCEEDED</x:v>
      </x:c>
      <x:c r="D45" s="25" t="str">
        <x:v>0</x:v>
      </x:c>
      <x:c r="E45" s="25" t="str">
        <x:v>181</x:v>
      </x:c>
      <x:c r="F45" s="25" t="str">
        <x:v>instrumental measurements (All)</x:v>
      </x:c>
      <x:c r="G45" s="24" t="str">
        <x:v>data/fear-temperature/ngram/raw/c3041954c2284cf34bcd5a29020d6fdb5062957ed9d066a23d0fa6dec11d5477.json</x:v>
      </x:c>
      <x:c r="H45" s="24" t="str">
        <x:v>614e6efe10364a6f0c4c0ad4f0a15603efe8de4e36f4312ead7fbfc5641c1d17</x:v>
      </x:c>
      <x:c r="I45" s="24" t="str"/>
      <x:c r="J45" s="57" t="n">
        <x:v>46260.10728009259</x:v>
      </x:c>
      <x:c r="K45" s="25" t="str">
        <x:v>https://books.google.com/ngrams/json?content=instrumental+measurements&amp;year_start=1842&amp;year_end=2022&amp;corpus=eng&amp;smoothing=0&amp;case_insensitive=true</x:v>
      </x:c>
      <x:c r="L45" s="49" t="str">
        <x:v>application/json (cached)</x:v>
      </x:c>
    </x:row>
    <x:row r="46" ht="19" customHeight="1">
      <x:c r="A46" s="23" t="str">
        <x:v>FT-Q-V01-045</x:v>
      </x:c>
      <x:c r="B46" s="24" t="str">
        <x:v>cause-and-effect relationship</x:v>
      </x:c>
      <x:c r="C46" s="25" t="str">
        <x:v>SUCCEEDED</x:v>
      </x:c>
      <x:c r="D46" s="25" t="str">
        <x:v>0</x:v>
      </x:c>
      <x:c r="E46" s="25" t="str">
        <x:v>181</x:v>
      </x:c>
      <x:c r="F46" s="25" t="str">
        <x:v>cause - and - effect relationship (All)</x:v>
      </x:c>
      <x:c r="G46" s="24" t="str">
        <x:v>data/fear-temperature/ngram/raw/e8efe8017919981d401ccd71f2302b528ff86d0e6a69149a56ed3d7dde862bfc.json</x:v>
      </x:c>
      <x:c r="H46" s="24" t="str">
        <x:v>c29d507b2761f1c572bd9273b2544b9ddee587ffb7fc5070610c23817cdb85ed</x:v>
      </x:c>
      <x:c r="I46" s="24" t="str"/>
      <x:c r="J46" s="57" t="n">
        <x:v>46260.10729166667</x:v>
      </x:c>
      <x:c r="K46" s="25" t="str">
        <x:v>https://books.google.com/ngrams/json?content=cause-and-effect+relationship&amp;year_start=1842&amp;year_end=2022&amp;corpus=eng&amp;smoothing=0&amp;case_insensitive=true</x:v>
      </x:c>
      <x:c r="L46" s="49" t="str">
        <x:v>application/json (cached)</x:v>
      </x:c>
    </x:row>
    <x:row r="47" ht="19" customHeight="1">
      <x:c r="A47" s="23" t="str">
        <x:v>FT-Q-V01-046</x:v>
      </x:c>
      <x:c r="B47" s="24" t="str">
        <x:v>global temperature</x:v>
      </x:c>
      <x:c r="C47" s="25" t="str">
        <x:v>SUCCEEDED</x:v>
      </x:c>
      <x:c r="D47" s="25" t="str">
        <x:v>0</x:v>
      </x:c>
      <x:c r="E47" s="25" t="str">
        <x:v>181</x:v>
      </x:c>
      <x:c r="F47" s="25" t="str">
        <x:v>global temperature (All)</x:v>
      </x:c>
      <x:c r="G47" s="24" t="str">
        <x:v>data/fear-temperature/ngram/raw/9d665931c5878a5de16bd731767c2e6571f77c1eb6e01bf9fa50497db3ebbd93.json</x:v>
      </x:c>
      <x:c r="H47" s="24" t="str">
        <x:v>dfccce7cf0455733d8ecdee75ed8daa3d838ba44face6a1a8e02e22ef16cebee</x:v>
      </x:c>
      <x:c r="I47" s="24" t="str"/>
      <x:c r="J47" s="57" t="n">
        <x:v>46260.10729166667</x:v>
      </x:c>
      <x:c r="K47" s="25" t="str">
        <x:v>https://books.google.com/ngrams/json?content=global+temperature&amp;year_start=1842&amp;year_end=2022&amp;corpus=eng&amp;smoothing=0&amp;case_insensitive=true</x:v>
      </x:c>
      <x:c r="L47" s="49" t="str">
        <x:v>application/json (cached)</x:v>
      </x:c>
    </x:row>
    <x:row r="48" ht="19" customHeight="1">
      <x:c r="A48" s="23" t="str">
        <x:v>FT-Q-V01-047</x:v>
      </x:c>
      <x:c r="B48" s="24" t="str">
        <x:v>regional heat waves</x:v>
      </x:c>
      <x:c r="C48" s="25" t="str">
        <x:v>SUCCEEDED</x:v>
      </x:c>
      <x:c r="D48" s="25" t="str">
        <x:v>0</x:v>
      </x:c>
      <x:c r="E48" s="25" t="str">
        <x:v>181</x:v>
      </x:c>
      <x:c r="F48" s="25" t="str">
        <x:v>regional heat waves (All)</x:v>
      </x:c>
      <x:c r="G48" s="24" t="str">
        <x:v>data/fear-temperature/ngram/raw/9937ebec5dbc305d8752f541539d2c1d1521c4688bdf38c7075d02cee934d6b0.json</x:v>
      </x:c>
      <x:c r="H48" s="24" t="str">
        <x:v>c1f7b893ef7aa6e62187de96f33ead717ed46628217e2cddbdd7ac8874271d71</x:v>
      </x:c>
      <x:c r="I48" s="24" t="str"/>
      <x:c r="J48" s="57" t="n">
        <x:v>46260.107303240744</x:v>
      </x:c>
      <x:c r="K48" s="25" t="str">
        <x:v>https://books.google.com/ngrams/json?content=regional+heat+waves&amp;year_start=1842&amp;year_end=2022&amp;corpus=eng&amp;smoothing=0&amp;case_insensitive=true</x:v>
      </x:c>
      <x:c r="L48" s="49" t="str">
        <x:v>application/json (cached)</x:v>
      </x:c>
    </x:row>
    <x:row r="49" ht="19" customHeight="1">
      <x:c r="A49" s="23" t="str">
        <x:v>FT-Q-V01-048</x:v>
      </x:c>
      <x:c r="B49" s="24" t="str">
        <x:v>heat wave</x:v>
      </x:c>
      <x:c r="C49" s="25" t="str">
        <x:v>SUCCEEDED</x:v>
      </x:c>
      <x:c r="D49" s="25" t="str">
        <x:v>0</x:v>
      </x:c>
      <x:c r="E49" s="25" t="str">
        <x:v>181</x:v>
      </x:c>
      <x:c r="F49" s="25" t="str">
        <x:v>heat wave (All)</x:v>
      </x:c>
      <x:c r="G49" s="24" t="str">
        <x:v>data/fear-temperature/ngram/raw/306e212ec9cdb980f5e1f91f3e6734e7998c99820aa93fd4a8109533d1676f5a.json</x:v>
      </x:c>
      <x:c r="H49" s="24" t="str">
        <x:v>2200e466cdeea1c919a9efd658599043ca1621d3175da78ab13e6b29984795b5</x:v>
      </x:c>
      <x:c r="I49" s="24" t="str"/>
      <x:c r="J49" s="57" t="n">
        <x:v>46260.10731481481</x:v>
      </x:c>
      <x:c r="K49" s="25" t="str">
        <x:v>https://books.google.com/ngrams/json?content=heat+wave&amp;year_start=1842&amp;year_end=2022&amp;corpus=eng&amp;smoothing=0&amp;case_insensitive=true</x:v>
      </x:c>
      <x:c r="L49" s="49" t="str">
        <x:v>application/json (cached)</x:v>
      </x:c>
    </x:row>
    <x:row r="50" ht="19" customHeight="1">
      <x:c r="A50" s="23" t="str">
        <x:v>FT-Q-V01-049</x:v>
      </x:c>
      <x:c r="B50" s="24" t="str">
        <x:v>drought</x:v>
      </x:c>
      <x:c r="C50" s="25" t="str">
        <x:v>SUCCEEDED</x:v>
      </x:c>
      <x:c r="D50" s="25" t="str">
        <x:v>0</x:v>
      </x:c>
      <x:c r="E50" s="25" t="str">
        <x:v>181</x:v>
      </x:c>
      <x:c r="F50" s="25" t="str">
        <x:v>drought (All)</x:v>
      </x:c>
      <x:c r="G50" s="24" t="str">
        <x:v>data/fear-temperature/ngram/raw/a3bdefd3e410e2b0f75ef6e82328b0b053a2b9a4d162237384d67e405f89fe96.json</x:v>
      </x:c>
      <x:c r="H50" s="24" t="str">
        <x:v>7111144594039704bb360fddab4543676f02b68eeeb68174dac206fabbd85276</x:v>
      </x:c>
      <x:c r="I50" s="24" t="str"/>
      <x:c r="J50" s="57" t="n">
        <x:v>46260.10732638889</x:v>
      </x:c>
      <x:c r="K50" s="25" t="str">
        <x:v>https://books.google.com/ngrams/json?content=drought&amp;year_start=1842&amp;year_end=2022&amp;corpus=eng&amp;smoothing=0&amp;case_insensitive=true</x:v>
      </x:c>
      <x:c r="L50" s="49" t="str">
        <x:v>application/json (cached)</x:v>
      </x:c>
    </x:row>
    <x:row r="51" ht="19" customHeight="1">
      <x:c r="A51" s="23" t="str">
        <x:v>FT-Q-V01-050</x:v>
      </x:c>
      <x:c r="B51" s="24" t="str">
        <x:v>heat wave/drought occurrences</x:v>
      </x:c>
      <x:c r="C51" s="25" t="str">
        <x:v>NOT_RUN_INCOMPATIBLE</x:v>
      </x:c>
      <x:c r="D51" s="25" t="str">
        <x:v>0</x:v>
      </x:c>
      <x:c r="E51" s="25" t="str">
        <x:v>0</x:v>
      </x:c>
      <x:c r="F51" s="25" t="str"/>
      <x:c r="G51" s="24" t="str"/>
      <x:c r="H51" s="24" t="str"/>
      <x:c r="I51" s="24" t="str">
        <x:v>Slash construction is not a defensible isolated Ngram phrase.</x:v>
      </x:c>
      <x:c r="J51" s="57" t="str"/>
      <x:c r="K51" s="25" t="str"/>
      <x:c r="L51" s="49" t="str"/>
    </x:row>
    <x:row r="52" ht="19" customHeight="1">
      <x:c r="A52" s="23" t="str">
        <x:v>FT-Q-V01-051</x:v>
      </x:c>
      <x:c r="B52" s="24" t="str">
        <x:v>extreme events</x:v>
      </x:c>
      <x:c r="C52" s="25" t="str">
        <x:v>SUCCEEDED</x:v>
      </x:c>
      <x:c r="D52" s="25" t="str">
        <x:v>0</x:v>
      </x:c>
      <x:c r="E52" s="25" t="str">
        <x:v>181</x:v>
      </x:c>
      <x:c r="F52" s="25" t="str">
        <x:v>extreme events (All)</x:v>
      </x:c>
      <x:c r="G52" s="24" t="str">
        <x:v>data/fear-temperature/ngram/raw/2f8cbf9b55aae32ec25fe5c485850b9461d5296a85a191304d2d582edd1a8448.json</x:v>
      </x:c>
      <x:c r="H52" s="24" t="str">
        <x:v>ad5840b011a0912ecaf681cb30e88d3950dac4d8fcd25c82510abaaf728525b3</x:v>
      </x:c>
      <x:c r="I52" s="24" t="str"/>
      <x:c r="J52" s="57" t="n">
        <x:v>46260.10733796296</x:v>
      </x:c>
      <x:c r="K52" s="25" t="str">
        <x:v>https://books.google.com/ngrams/json?content=extreme+events&amp;year_start=1842&amp;year_end=2022&amp;corpus=eng&amp;smoothing=0&amp;case_insensitive=true</x:v>
      </x:c>
      <x:c r="L52" s="49" t="str">
        <x:v>application/json (cached)</x:v>
      </x:c>
    </x:row>
    <x:row r="53" ht="19" customHeight="1">
      <x:c r="A53" s="23" t="str">
        <x:v>FT-Q-V01-052</x:v>
      </x:c>
      <x:c r="B53" s="24" t="str">
        <x:v>global climate models</x:v>
      </x:c>
      <x:c r="C53" s="25" t="str">
        <x:v>SUCCEEDED</x:v>
      </x:c>
      <x:c r="D53" s="25" t="str">
        <x:v>0</x:v>
      </x:c>
      <x:c r="E53" s="25" t="str">
        <x:v>181</x:v>
      </x:c>
      <x:c r="F53" s="25" t="str">
        <x:v>global climate models (All)</x:v>
      </x:c>
      <x:c r="G53" s="24" t="str">
        <x:v>data/fear-temperature/ngram/raw/804d613b38ca8ff6fa01fb2e1f4e6d91e7b874a9e4472af082eb9e1155863731.json</x:v>
      </x:c>
      <x:c r="H53" s="24" t="str">
        <x:v>b2c858df5d7dbe43967cc2a9f1c6d8038e498b18b37e6a7754e8d912b76c8686</x:v>
      </x:c>
      <x:c r="I53" s="24" t="str"/>
      <x:c r="J53" s="57" t="n">
        <x:v>46260.10733796296</x:v>
      </x:c>
      <x:c r="K53" s="25" t="str">
        <x:v>https://books.google.com/ngrams/json?content=global+climate+models&amp;year_start=1842&amp;year_end=2022&amp;corpus=eng&amp;smoothing=0&amp;case_insensitive=true</x:v>
      </x:c>
      <x:c r="L53" s="49" t="str">
        <x:v>application/json (cached)</x:v>
      </x:c>
    </x:row>
    <x:row r="54" ht="19" customHeight="1">
      <x:c r="A54" s="23" t="str">
        <x:v>FT-Q-V01-053</x:v>
      </x:c>
      <x:c r="B54" s="24" t="str">
        <x:v>global observations</x:v>
      </x:c>
      <x:c r="C54" s="25" t="str">
        <x:v>SUCCEEDED</x:v>
      </x:c>
      <x:c r="D54" s="25" t="str">
        <x:v>0</x:v>
      </x:c>
      <x:c r="E54" s="25" t="str">
        <x:v>181</x:v>
      </x:c>
      <x:c r="F54" s="25" t="str">
        <x:v>global observations (All)</x:v>
      </x:c>
      <x:c r="G54" s="24" t="str">
        <x:v>data/fear-temperature/ngram/raw/d002a730e85fdef3f5ec37960af0518814de2fb4a5adf229395a737b937a15d9.json</x:v>
      </x:c>
      <x:c r="H54" s="24" t="str">
        <x:v>a82afdcd24b9816acfc44960d7262d4be1def3885e065d18c16e97d7de12b8de</x:v>
      </x:c>
      <x:c r="I54" s="24" t="str"/>
      <x:c r="J54" s="57" t="n">
        <x:v>46260.10734953704</x:v>
      </x:c>
      <x:c r="K54" s="25" t="str">
        <x:v>https://books.google.com/ngrams/json?content=global+observations&amp;year_start=1842&amp;year_end=2022&amp;corpus=eng&amp;smoothing=0&amp;case_insensitive=true</x:v>
      </x:c>
      <x:c r="L54" s="49" t="str">
        <x:v>application/json (cached)</x:v>
      </x:c>
    </x:row>
    <x:row r="55" ht="19" customHeight="1">
      <x:c r="A55" s="23" t="str">
        <x:v>FT-Q-V01-054</x:v>
      </x:c>
      <x:c r="B55" s="24" t="str">
        <x:v>warm air</x:v>
      </x:c>
      <x:c r="C55" s="25" t="str">
        <x:v>SUCCEEDED</x:v>
      </x:c>
      <x:c r="D55" s="25" t="str">
        <x:v>0</x:v>
      </x:c>
      <x:c r="E55" s="25" t="str">
        <x:v>181</x:v>
      </x:c>
      <x:c r="F55" s="25" t="str">
        <x:v>warm air (All)</x:v>
      </x:c>
      <x:c r="G55" s="24" t="str">
        <x:v>data/fear-temperature/ngram/raw/815c60311238a418153e263ec5d032bdb11f2ad98f6938675e0f2291e0d31283.json</x:v>
      </x:c>
      <x:c r="H55" s="24" t="str">
        <x:v>e06b45e6e93b1d44a12b27ffc3aa6edb8cc5547b608631e5879b29270cb3f21d</x:v>
      </x:c>
      <x:c r="I55" s="24" t="str"/>
      <x:c r="J55" s="57" t="n">
        <x:v>46260.10736111111</x:v>
      </x:c>
      <x:c r="K55" s="25" t="str">
        <x:v>https://books.google.com/ngrams/json?content=warm+air&amp;year_start=1842&amp;year_end=2022&amp;corpus=eng&amp;smoothing=0&amp;case_insensitive=true</x:v>
      </x:c>
      <x:c r="L55" s="49" t="str">
        <x:v>application/json (cached)</x:v>
      </x:c>
    </x:row>
    <x:row r="56" ht="19" customHeight="1">
      <x:c r="A56" s="23" t="str">
        <x:v>FT-Q-V01-055</x:v>
      </x:c>
      <x:c r="B56" s="24" t="str">
        <x:v>changing atmosphere</x:v>
      </x:c>
      <x:c r="C56" s="25" t="str">
        <x:v>SUCCEEDED</x:v>
      </x:c>
      <x:c r="D56" s="25" t="str">
        <x:v>0</x:v>
      </x:c>
      <x:c r="E56" s="25" t="str">
        <x:v>181</x:v>
      </x:c>
      <x:c r="F56" s="25" t="str">
        <x:v>changing atmosphere (All)</x:v>
      </x:c>
      <x:c r="G56" s="24" t="str">
        <x:v>data/fear-temperature/ngram/raw/d85a605bd6ea660c1f4aa52a4a83b71832a460c045386101932b8aac3fb6f215.json</x:v>
      </x:c>
      <x:c r="H56" s="24" t="str">
        <x:v>31a39f8cb024096a38cc401e55f642e5372e1f3746523f6714899f6de8fc5b47</x:v>
      </x:c>
      <x:c r="I56" s="24" t="str"/>
      <x:c r="J56" s="57" t="n">
        <x:v>46260.10737268518</x:v>
      </x:c>
      <x:c r="K56" s="25" t="str">
        <x:v>https://books.google.com/ngrams/json?content=changing+atmosphere&amp;year_start=1842&amp;year_end=2022&amp;corpus=eng&amp;smoothing=0&amp;case_insensitive=true</x:v>
      </x:c>
      <x:c r="L56" s="49" t="str">
        <x:v>application/json (cached)</x:v>
      </x:c>
    </x:row>
    <x:row r="57" ht="19" customHeight="1">
      <x:c r="A57" s="23" t="str">
        <x:v>FT-Q-V01-056</x:v>
      </x:c>
      <x:c r="B57" s="24" t="str">
        <x:v>global security</x:v>
      </x:c>
      <x:c r="C57" s="25" t="str">
        <x:v>SUCCEEDED</x:v>
      </x:c>
      <x:c r="D57" s="25" t="str">
        <x:v>0</x:v>
      </x:c>
      <x:c r="E57" s="25" t="str">
        <x:v>181</x:v>
      </x:c>
      <x:c r="F57" s="25" t="str">
        <x:v>global security (All)</x:v>
      </x:c>
      <x:c r="G57" s="24" t="str">
        <x:v>data/fear-temperature/ngram/raw/37f3c91b5bdb2434e5e7fbfc823d1f62804dd9a06082e829967508e3305f442f.json</x:v>
      </x:c>
      <x:c r="H57" s="24" t="str">
        <x:v>40c340cadb5c19fbb7e4af9c4df80f4d671949496be1e4157721c7c6ed89cbaf</x:v>
      </x:c>
      <x:c r="I57" s="24" t="str"/>
      <x:c r="J57" s="57" t="n">
        <x:v>46260.10738425926</x:v>
      </x:c>
      <x:c r="K57" s="25" t="str">
        <x:v>https://books.google.com/ngrams/json?content=global+security&amp;year_start=1842&amp;year_end=2022&amp;corpus=eng&amp;smoothing=0&amp;case_insensitive=true</x:v>
      </x:c>
      <x:c r="L57" s="49" t="str">
        <x:v>application/json (cached)</x:v>
      </x:c>
    </x:row>
    <x:row r="58" ht="19" customHeight="1">
      <x:c r="A58" s="23" t="str">
        <x:v>FT-Q-V01-057</x:v>
      </x:c>
      <x:c r="B58" s="24" t="str">
        <x:v>climate warming</x:v>
      </x:c>
      <x:c r="C58" s="25" t="str">
        <x:v>SUCCEEDED</x:v>
      </x:c>
      <x:c r="D58" s="25" t="str">
        <x:v>0</x:v>
      </x:c>
      <x:c r="E58" s="25" t="str">
        <x:v>181</x:v>
      </x:c>
      <x:c r="F58" s="25" t="str">
        <x:v>climate warming (All)</x:v>
      </x:c>
      <x:c r="G58" s="24" t="str">
        <x:v>data/fear-temperature/ngram/raw/b007c4e4f28b0d91c852846fb12cbb9f19e181cbfebe2c7ad3081912a94fdef1.json</x:v>
      </x:c>
      <x:c r="H58" s="24" t="str">
        <x:v>64f3ea2a95693e01b62353ae6f01b6dc48d197b5300fdba5f5ba37be9848235a</x:v>
      </x:c>
      <x:c r="I58" s="24" t="str"/>
      <x:c r="J58" s="57" t="n">
        <x:v>46260.107395833336</x:v>
      </x:c>
      <x:c r="K58" s="25" t="str">
        <x:v>https://books.google.com/ngrams/json?content=climate+warming&amp;year_start=1842&amp;year_end=2022&amp;corpus=eng&amp;smoothing=0&amp;case_insensitive=true</x:v>
      </x:c>
      <x:c r="L58" s="49" t="str">
        <x:v>application/json (cached)</x:v>
      </x:c>
    </x:row>
    <x:row r="59" ht="19" customHeight="1">
      <x:c r="A59" s="23" t="str">
        <x:v>FT-Q-V01-058</x:v>
      </x:c>
      <x:c r="B59" s="24" t="str">
        <x:v>changed climatic extremes</x:v>
      </x:c>
      <x:c r="C59" s="25" t="str">
        <x:v>ZERO_RESULT</x:v>
      </x:c>
      <x:c r="D59" s="25" t="str">
        <x:v>0</x:v>
      </x:c>
      <x:c r="E59" s="25" t="str">
        <x:v>0</x:v>
      </x:c>
      <x:c r="F59" s="25" t="str"/>
      <x:c r="G59" s="24" t="str">
        <x:v>data/fear-temperature/ngram/raw/e3c721797f491dbfd313d1ebf26dce903f725eee8b0becece08b3766489bec5e.json</x:v>
      </x:c>
      <x:c r="H59" s="24" t="str">
        <x:v>4f53cda18c2baa0c0354bb5f9a3ecbe5ed12ab4d8e11ba873c2f11161202b945</x:v>
      </x:c>
      <x:c r="I59" s="24" t="str"/>
      <x:c r="J59" s="57" t="n">
        <x:v>46260.107407407406</x:v>
      </x:c>
      <x:c r="K59" s="25" t="str">
        <x:v>https://books.google.com/ngrams/json?content=changed+climatic+extremes&amp;year_start=1842&amp;year_end=2022&amp;corpus=eng&amp;smoothing=0&amp;case_insensitive=true</x:v>
      </x:c>
      <x:c r="L59" s="49" t="str">
        <x:v>application/json (cached)</x:v>
      </x:c>
    </x:row>
    <x:row r="60" ht="19" customHeight="1">
      <x:c r="A60" s="23" t="str">
        <x:v>FT-Q-V01-059</x:v>
      </x:c>
      <x:c r="B60" s="24" t="str">
        <x:v>major threat</x:v>
      </x:c>
      <x:c r="C60" s="25" t="str">
        <x:v>SUCCEEDED</x:v>
      </x:c>
      <x:c r="D60" s="25" t="str">
        <x:v>0</x:v>
      </x:c>
      <x:c r="E60" s="25" t="str">
        <x:v>181</x:v>
      </x:c>
      <x:c r="F60" s="25" t="str">
        <x:v>major threat (All)</x:v>
      </x:c>
      <x:c r="G60" s="24" t="str">
        <x:v>data/fear-temperature/ngram/raw/3852fb8c0602dd1dd7e82aede6ff96df951ae0ab14e8dff39d9436087f4b2d1e.json</x:v>
      </x:c>
      <x:c r="H60" s="24" t="str">
        <x:v>75522bbfc20fa16dbf0791e33c6bf5c01b88ee0ed211777e3ccb4fb64780c903</x:v>
      </x:c>
      <x:c r="I60" s="24" t="str"/>
      <x:c r="J60" s="57" t="n">
        <x:v>46260.10741898148</x:v>
      </x:c>
      <x:c r="K60" s="25" t="str">
        <x:v>https://books.google.com/ngrams/json?content=major+threat&amp;year_start=1842&amp;year_end=2022&amp;corpus=eng&amp;smoothing=0&amp;case_insensitive=true</x:v>
      </x:c>
      <x:c r="L60" s="49" t="str">
        <x:v>application/json (cached)</x:v>
      </x:c>
    </x:row>
    <x:row r="61" ht="19" customHeight="1">
      <x:c r="A61" s="23" t="str">
        <x:v>FT-Q-V01-060</x:v>
      </x:c>
      <x:c r="B61" s="24" t="str">
        <x:v>harmful consequences</x:v>
      </x:c>
      <x:c r="C61" s="25" t="str">
        <x:v>SUCCEEDED</x:v>
      </x:c>
      <x:c r="D61" s="25" t="str">
        <x:v>0</x:v>
      </x:c>
      <x:c r="E61" s="25" t="str">
        <x:v>181</x:v>
      </x:c>
      <x:c r="F61" s="25" t="str">
        <x:v>harmful consequences (All)</x:v>
      </x:c>
      <x:c r="G61" s="24" t="str">
        <x:v>data/fear-temperature/ngram/raw/ca8b82883f6811093ecec7cb6aa37b2187c9c8705f722490a53620e189c7b504.json</x:v>
      </x:c>
      <x:c r="H61" s="24" t="str">
        <x:v>0963b9881889fcc26999dd17bafb948569ea495660dc2b3a1e99698028c8242b</x:v>
      </x:c>
      <x:c r="I61" s="24" t="str"/>
      <x:c r="J61" s="57" t="n">
        <x:v>46260.10741898148</x:v>
      </x:c>
      <x:c r="K61" s="25" t="str">
        <x:v>https://books.google.com/ngrams/json?content=harmful+consequences&amp;year_start=1842&amp;year_end=2022&amp;corpus=eng&amp;smoothing=0&amp;case_insensitive=true</x:v>
      </x:c>
      <x:c r="L61" s="49" t="str">
        <x:v>application/json (cached)</x:v>
      </x:c>
    </x:row>
    <x:row r="62" ht="19" customHeight="1">
      <x:c r="A62" s="23" t="str">
        <x:v>FT-Q-V01-061</x:v>
      </x:c>
      <x:c r="B62" s="24" t="str">
        <x:v>warming of the climate system</x:v>
      </x:c>
      <x:c r="C62" s="25" t="str">
        <x:v>SUCCEEDED</x:v>
      </x:c>
      <x:c r="D62" s="25" t="str">
        <x:v>0</x:v>
      </x:c>
      <x:c r="E62" s="25" t="str">
        <x:v>181</x:v>
      </x:c>
      <x:c r="F62" s="25" t="str">
        <x:v>warming of the climate system (All)</x:v>
      </x:c>
      <x:c r="G62" s="24" t="str">
        <x:v>data/fear-temperature/ngram/raw/8dcf3248dddb111a1f30bab5b3545357d072f4605eedc0c49e65add20572aa70.json</x:v>
      </x:c>
      <x:c r="H62" s="24" t="str">
        <x:v>6e96cf29b410ee27b3bd7c39ea8508de692f0e94b87248f664b9c39cb7645fba</x:v>
      </x:c>
      <x:c r="I62" s="24" t="str"/>
      <x:c r="J62" s="57" t="n">
        <x:v>46260.10743055555</x:v>
      </x:c>
      <x:c r="K62" s="25" t="str">
        <x:v>https://books.google.com/ngrams/json?content=warming+of+the+climate+system&amp;year_start=1842&amp;year_end=2022&amp;corpus=eng&amp;smoothing=0&amp;case_insensitive=true</x:v>
      </x:c>
      <x:c r="L62" s="49" t="str">
        <x:v>application/json (cached)</x:v>
      </x:c>
    </x:row>
    <x:row r="63" ht="19" customHeight="1">
      <x:c r="A63" s="23" t="str">
        <x:v>FT-Q-V01-062</x:v>
      </x:c>
      <x:c r="B63" s="24" t="str">
        <x:v>unequivocal</x:v>
      </x:c>
      <x:c r="C63" s="25" t="str">
        <x:v>SUCCEEDED</x:v>
      </x:c>
      <x:c r="D63" s="25" t="str">
        <x:v>0</x:v>
      </x:c>
      <x:c r="E63" s="25" t="str">
        <x:v>181</x:v>
      </x:c>
      <x:c r="F63" s="25" t="str">
        <x:v>unequivocal (All)</x:v>
      </x:c>
      <x:c r="G63" s="24" t="str">
        <x:v>data/fear-temperature/ngram/raw/589b222dcaad46517e9261b3de8c0a74d95549534dafe4e4c9401053bb014a0f.json</x:v>
      </x:c>
      <x:c r="H63" s="24" t="str">
        <x:v>7800a7f4bcd0b09bb658bc653965495ebefdcf8d057631f1acb2e2746d5723af</x:v>
      </x:c>
      <x:c r="I63" s="24" t="str"/>
      <x:c r="J63" s="57" t="n">
        <x:v>46260.10753472222</x:v>
      </x:c>
      <x:c r="K63" s="25" t="str">
        <x:v>https://books.google.com/ngrams/json?content=unequivocal&amp;year_start=1842&amp;year_end=2022&amp;corpus=eng&amp;smoothing=0&amp;case_insensitive=true</x:v>
      </x:c>
      <x:c r="L63" s="49" t="str">
        <x:v>application/json (cached)</x:v>
      </x:c>
    </x:row>
    <x:row r="64" ht="19" customHeight="1">
      <x:c r="A64" s="23" t="str">
        <x:v>FT-Q-V01-063</x:v>
      </x:c>
      <x:c r="B64" s="24" t="str">
        <x:v>global average air and ocean temperatures</x:v>
      </x:c>
      <x:c r="C64" s="25" t="str">
        <x:v>SUCCEEDED</x:v>
      </x:c>
      <x:c r="D64" s="25" t="str">
        <x:v>0</x:v>
      </x:c>
      <x:c r="E64" s="25" t="str">
        <x:v>181</x:v>
      </x:c>
      <x:c r="F64" s="25" t="str">
        <x:v>global average air and ocean temperatures</x:v>
      </x:c>
      <x:c r="G64" s="24" t="str">
        <x:v>data/fear-temperature/ngram/raw/f73af1ae45c262eb8a777b662382952c3959bd2b5435d50eb84ffa31953e7815.json</x:v>
      </x:c>
      <x:c r="H64" s="24" t="str">
        <x:v>ecc6ac3c5c0c513120f22f13b54486d0855591b50660fb832c5cf6c08986a4d2</x:v>
      </x:c>
      <x:c r="I64" s="24" t="str"/>
      <x:c r="J64" s="57" t="n">
        <x:v>46260.1075462963</x:v>
      </x:c>
      <x:c r="K64" s="25" t="str">
        <x:v>https://books.google.com/ngrams/json?content=global+average+air+and+ocean+temperatures&amp;year_start=1842&amp;year_end=2022&amp;corpus=eng&amp;smoothing=0&amp;case_insensitive=true</x:v>
      </x:c>
      <x:c r="L64" s="49" t="str">
        <x:v>application/json (cached)</x:v>
      </x:c>
    </x:row>
    <x:row r="65" ht="19" customHeight="1">
      <x:c r="A65" s="23" t="str">
        <x:v>FT-Q-V01-064</x:v>
      </x:c>
      <x:c r="B65" s="24" t="str">
        <x:v>global surface temperature</x:v>
      </x:c>
      <x:c r="C65" s="25" t="str">
        <x:v>SUCCEEDED</x:v>
      </x:c>
      <x:c r="D65" s="25" t="str">
        <x:v>0</x:v>
      </x:c>
      <x:c r="E65" s="25" t="str">
        <x:v>181</x:v>
      </x:c>
      <x:c r="F65" s="25" t="str">
        <x:v>global surface temperature (All)</x:v>
      </x:c>
      <x:c r="G65" s="24" t="str">
        <x:v>data/fear-temperature/ngram/raw/0c509bcbc95a5c5d481b3d693eaf5548c14084450a9268d3c1f9640d9ccedf23.json</x:v>
      </x:c>
      <x:c r="H65" s="24" t="str">
        <x:v>f8d387438c05441d2930497940e0e198dd1eddbc18e0688c5fa2f4f60fd733d1</x:v>
      </x:c>
      <x:c r="I65" s="24" t="str"/>
      <x:c r="J65" s="57" t="n">
        <x:v>46260.10755787037</x:v>
      </x:c>
      <x:c r="K65" s="25" t="str">
        <x:v>https://books.google.com/ngrams/json?content=global+surface+temperature&amp;year_start=1842&amp;year_end=2022&amp;corpus=eng&amp;smoothing=0&amp;case_insensitive=true</x:v>
      </x:c>
      <x:c r="L65" s="49" t="str">
        <x:v>application/json (cached)</x:v>
      </x:c>
    </x:row>
    <x:row r="66" ht="19" customHeight="1">
      <x:c r="A66" s="23" t="str">
        <x:v>FT-Q-V01-065</x:v>
      </x:c>
      <x:c r="B66" s="24" t="str">
        <x:v>temperature increase</x:v>
      </x:c>
      <x:c r="C66" s="25" t="str">
        <x:v>SUCCEEDED</x:v>
      </x:c>
      <x:c r="D66" s="25" t="str">
        <x:v>0</x:v>
      </x:c>
      <x:c r="E66" s="25" t="str">
        <x:v>181</x:v>
      </x:c>
      <x:c r="F66" s="25" t="str">
        <x:v>temperature increase (All)</x:v>
      </x:c>
      <x:c r="G66" s="24" t="str">
        <x:v>data/fear-temperature/ngram/raw/e6efba58d92f6e3c0b60cedfb131afc6f4d35abfc0f251f7d7b486284e4283e4.json</x:v>
      </x:c>
      <x:c r="H66" s="24" t="str">
        <x:v>00c9723642a182ca6e365180d49ecc183f017932096d07681aced9b41a5d400f</x:v>
      </x:c>
      <x:c r="I66" s="24" t="str"/>
      <x:c r="J66" s="57" t="n">
        <x:v>46260.107569444444</x:v>
      </x:c>
      <x:c r="K66" s="25" t="str">
        <x:v>https://books.google.com/ngrams/json?content=temperature+increase&amp;year_start=1842&amp;year_end=2022&amp;corpus=eng&amp;smoothing=0&amp;case_insensitive=true</x:v>
      </x:c>
      <x:c r="L66" s="49" t="str">
        <x:v>application/json (cached)</x:v>
      </x:c>
    </x:row>
    <x:row r="67" ht="19" customHeight="1">
      <x:c r="A67" s="23" t="str">
        <x:v>FT-Q-V01-066</x:v>
      </x:c>
      <x:c r="B67" s="24" t="str">
        <x:v>rising global average sea level</x:v>
      </x:c>
      <x:c r="C67" s="25" t="str">
        <x:v>SUCCEEDED</x:v>
      </x:c>
      <x:c r="D67" s="25" t="str">
        <x:v>0</x:v>
      </x:c>
      <x:c r="E67" s="25" t="str">
        <x:v>181</x:v>
      </x:c>
      <x:c r="F67" s="25" t="str">
        <x:v>rising global average sea level</x:v>
      </x:c>
      <x:c r="G67" s="24" t="str">
        <x:v>data/fear-temperature/ngram/raw/87718eb09b1ce320108dbcce3dd7b6faaf2c6f10134af590aa1e6d5c0f1f5363.json</x:v>
      </x:c>
      <x:c r="H67" s="24" t="str">
        <x:v>fcc202b5ca670d2c82631d432d3656639876be2e5c7ecf4102191dae228ee2e9</x:v>
      </x:c>
      <x:c r="I67" s="24" t="str"/>
      <x:c r="J67" s="57" t="n">
        <x:v>46260.107569444444</x:v>
      </x:c>
      <x:c r="K67" s="25" t="str">
        <x:v>https://books.google.com/ngrams/json?content=rising+global+average+sea+level&amp;year_start=1842&amp;year_end=2022&amp;corpus=eng&amp;smoothing=0&amp;case_insensitive=true</x:v>
      </x:c>
      <x:c r="L67" s="49" t="str">
        <x:v>application/json (cached)</x:v>
      </x:c>
    </x:row>
    <x:row r="68" ht="19" customHeight="1">
      <x:c r="A68" s="23" t="str">
        <x:v>FT-Q-V01-067</x:v>
      </x:c>
      <x:c r="B68" s="24" t="str">
        <x:v>widespread melting of snow and ice</x:v>
      </x:c>
      <x:c r="C68" s="25" t="str">
        <x:v>SUCCEEDED</x:v>
      </x:c>
      <x:c r="D68" s="25" t="str">
        <x:v>0</x:v>
      </x:c>
      <x:c r="E68" s="25" t="str">
        <x:v>181</x:v>
      </x:c>
      <x:c r="F68" s="25" t="str">
        <x:v>widespread melting of snow and ice</x:v>
      </x:c>
      <x:c r="G68" s="24" t="str">
        <x:v>data/fear-temperature/ngram/raw/806fa1b4d7e70879a062cfd1acba0fee5db80a00c9014f31015edfe13f8f81fa.json</x:v>
      </x:c>
      <x:c r="H68" s="24" t="str">
        <x:v>c557bf5c0d1d86491aeec29fc8b84bfcc149ea2dc20e3334e342fa9fcde72618</x:v>
      </x:c>
      <x:c r="I68" s="24" t="str"/>
      <x:c r="J68" s="57" t="n">
        <x:v>46260.10758101852</x:v>
      </x:c>
      <x:c r="K68" s="25" t="str">
        <x:v>https://books.google.com/ngrams/json?content=widespread+melting+of+snow+and+ice&amp;year_start=1842&amp;year_end=2022&amp;corpus=eng&amp;smoothing=0&amp;case_insensitive=true</x:v>
      </x:c>
      <x:c r="L68" s="49" t="str">
        <x:v>application/json (cached)</x:v>
      </x:c>
    </x:row>
    <x:row r="69" ht="19" customHeight="1">
      <x:c r="A69" s="23" t="str">
        <x:v>FT-Q-V01-068</x:v>
      </x:c>
      <x:c r="B69" s="24" t="str">
        <x:v>anthropogenic CO₂</x:v>
      </x:c>
      <x:c r="C69" s="25" t="str">
        <x:v>NOT_RUN_INCOMPATIBLE</x:v>
      </x:c>
      <x:c r="D69" s="25" t="str">
        <x:v>0</x:v>
      </x:c>
      <x:c r="E69" s="25" t="str">
        <x:v>0</x:v>
      </x:c>
      <x:c r="F69" s="25" t="str"/>
      <x:c r="G69" s="24" t="str"/>
      <x:c r="H69" s="24" t="str"/>
      <x:c r="I69" s="24" t="str">
        <x:v>Degree/subscript notation is not queried as an isolated public-interface Ngram.</x:v>
      </x:c>
      <x:c r="J69" s="57" t="str"/>
      <x:c r="K69" s="25" t="str"/>
      <x:c r="L69" s="49" t="str"/>
    </x:row>
    <x:row r="70" ht="19" customHeight="1">
      <x:c r="A70" s="23" t="str">
        <x:v>FT-Q-V01-069</x:v>
      </x:c>
      <x:c r="B70" s="24" t="str">
        <x:v>anthropogenic GHG emissions</x:v>
      </x:c>
      <x:c r="C70" s="25" t="str">
        <x:v>SUCCEEDED</x:v>
      </x:c>
      <x:c r="D70" s="25" t="str">
        <x:v>0</x:v>
      </x:c>
      <x:c r="E70" s="25" t="str">
        <x:v>181</x:v>
      </x:c>
      <x:c r="F70" s="25" t="str">
        <x:v>anthropogenic GHG emissions (All)</x:v>
      </x:c>
      <x:c r="G70" s="24" t="str">
        <x:v>data/fear-temperature/ngram/raw/914334e57db329f472c585240f860566f4453aba88a7a68d703eb2b8ba0b7e47.json</x:v>
      </x:c>
      <x:c r="H70" s="24" t="str">
        <x:v>d721e9b11ff827f5408f78543bb5d474928d30128846e6f28ce0cbfb2c9511fd</x:v>
      </x:c>
      <x:c r="I70" s="24" t="str"/>
      <x:c r="J70" s="57" t="n">
        <x:v>46260.10759259259</x:v>
      </x:c>
      <x:c r="K70" s="25" t="str">
        <x:v>https://books.google.com/ngrams/json?content=anthropogenic+GHG+emissions&amp;year_start=1842&amp;year_end=2022&amp;corpus=eng&amp;smoothing=0&amp;case_insensitive=true</x:v>
      </x:c>
      <x:c r="L70" s="49" t="str">
        <x:v>application/json (cached)</x:v>
      </x:c>
    </x:row>
    <x:row r="71" ht="19" customHeight="1">
      <x:c r="A71" s="23" t="str">
        <x:v>FT-Q-V01-070</x:v>
      </x:c>
      <x:c r="B71" s="24" t="str">
        <x:v>climate change</x:v>
      </x:c>
      <x:c r="C71" s="25" t="str">
        <x:v>SUCCEEDED</x:v>
      </x:c>
      <x:c r="D71" s="25" t="str">
        <x:v>0</x:v>
      </x:c>
      <x:c r="E71" s="25" t="str">
        <x:v>181</x:v>
      </x:c>
      <x:c r="F71" s="25" t="str">
        <x:v>climate change (All)</x:v>
      </x:c>
      <x:c r="G71" s="24" t="str">
        <x:v>data/fear-temperature/ngram/raw/c0c3021f09dbdf3542c85e1a8bd4e013bd4d99d85af63bbd55f5e05a6a7ddd2b.json</x:v>
      </x:c>
      <x:c r="H71" s="24" t="str">
        <x:v>f147d9b61eec9310d5a36c21ef68d14904b4782ed7663bc02178e865991f6aa6</x:v>
      </x:c>
      <x:c r="I71" s="24" t="str"/>
      <x:c r="J71" s="57" t="n">
        <x:v>46260.10760416667</x:v>
      </x:c>
      <x:c r="K71" s="25" t="str">
        <x:v>https://books.google.com/ngrams/json?content=climate+change&amp;year_start=1842&amp;year_end=2022&amp;corpus=eng&amp;smoothing=0&amp;case_insensitive=true</x:v>
      </x:c>
      <x:c r="L71" s="49" t="str">
        <x:v>application/json (cached)</x:v>
      </x:c>
    </x:row>
    <x:row r="72" ht="19" customHeight="1">
      <x:c r="A72" s="23" t="str">
        <x:v>FT-Q-V01-071</x:v>
      </x:c>
      <x:c r="B72" s="24" t="str">
        <x:v>global warming</x:v>
      </x:c>
      <x:c r="C72" s="25" t="str">
        <x:v>SUCCEEDED</x:v>
      </x:c>
      <x:c r="D72" s="25" t="str">
        <x:v>0</x:v>
      </x:c>
      <x:c r="E72" s="25" t="str">
        <x:v>181</x:v>
      </x:c>
      <x:c r="F72" s="25" t="str">
        <x:v>global warming (All)</x:v>
      </x:c>
      <x:c r="G72" s="24" t="str">
        <x:v>data/fear-temperature/ngram/raw/e982c3b5d6e77fc759f19bb2931d892bfaa9221ade4a44977579a8d5a8afab71.json</x:v>
      </x:c>
      <x:c r="H72" s="24" t="str">
        <x:v>edd5437f92999c829c0fea3e5822ab6cb22f6b319b6eab7bc697d0dc4f6023f9</x:v>
      </x:c>
      <x:c r="I72" s="24" t="str"/>
      <x:c r="J72" s="57" t="n">
        <x:v>46260.107256944444</x:v>
      </x:c>
      <x:c r="K72" s="25" t="str">
        <x:v>https://books.google.com/ngrams/json?content=global+warming&amp;year_start=1842&amp;year_end=2022&amp;corpus=eng&amp;smoothing=0&amp;case_insensitive=true</x:v>
      </x:c>
      <x:c r="L72" s="49" t="str">
        <x:v>application/json (cached)</x:v>
      </x:c>
    </x:row>
    <x:row r="73" ht="19" customHeight="1">
      <x:c r="A73" s="23" t="str">
        <x:v>FT-Q-V01-072</x:v>
      </x:c>
      <x:c r="B73" s="24" t="str">
        <x:v>serious global threat</x:v>
      </x:c>
      <x:c r="C73" s="25" t="str">
        <x:v>SUCCEEDED</x:v>
      </x:c>
      <x:c r="D73" s="25" t="str">
        <x:v>0</x:v>
      </x:c>
      <x:c r="E73" s="25" t="str">
        <x:v>181</x:v>
      </x:c>
      <x:c r="F73" s="25" t="str">
        <x:v>serious global threat</x:v>
      </x:c>
      <x:c r="G73" s="24" t="str">
        <x:v>data/fear-temperature/ngram/raw/5b32321ca744b813f5972199bf6100cca59a22ed8377107ee90f3439bdecbfa6.json</x:v>
      </x:c>
      <x:c r="H73" s="24" t="str">
        <x:v>f3ee1bb3c2e96faa19207ed0d89c6c95080e4dfc4299d35742d8c4f9ab015f3e</x:v>
      </x:c>
      <x:c r="I73" s="24" t="str"/>
      <x:c r="J73" s="57" t="n">
        <x:v>46260.107615740744</x:v>
      </x:c>
      <x:c r="K73" s="25" t="str">
        <x:v>https://books.google.com/ngrams/json?content=serious+global+threat&amp;year_start=1842&amp;year_end=2022&amp;corpus=eng&amp;smoothing=0&amp;case_insensitive=true</x:v>
      </x:c>
      <x:c r="L73" s="49" t="str">
        <x:v>application/json (cached)</x:v>
      </x:c>
    </x:row>
    <x:row r="74" ht="19" customHeight="1">
      <x:c r="A74" s="23" t="str">
        <x:v>FT-Q-V01-073</x:v>
      </x:c>
      <x:c r="B74" s="24" t="str">
        <x:v>urgent global response</x:v>
      </x:c>
      <x:c r="C74" s="25" t="str">
        <x:v>SUCCEEDED</x:v>
      </x:c>
      <x:c r="D74" s="25" t="str">
        <x:v>0</x:v>
      </x:c>
      <x:c r="E74" s="25" t="str">
        <x:v>181</x:v>
      </x:c>
      <x:c r="F74" s="25" t="str">
        <x:v>urgent global response</x:v>
      </x:c>
      <x:c r="G74" s="24" t="str">
        <x:v>data/fear-temperature/ngram/raw/2b3e1b1685a35825228a411e6215b23d8f9bb83c5a827b09d9abd02b86000899.json</x:v>
      </x:c>
      <x:c r="H74" s="24" t="str">
        <x:v>9e0517e5492bebadc3f145f79a0769fa3244659c743f96d08c4b222bcf489975</x:v>
      </x:c>
      <x:c r="I74" s="24" t="str"/>
      <x:c r="J74" s="57" t="n">
        <x:v>46260.107615740744</x:v>
      </x:c>
      <x:c r="K74" s="25" t="str">
        <x:v>https://books.google.com/ngrams/json?content=urgent+global+response&amp;year_start=1842&amp;year_end=2022&amp;corpus=eng&amp;smoothing=0&amp;case_insensitive=true</x:v>
      </x:c>
      <x:c r="L74" s="49" t="str">
        <x:v>application/json (cached)</x:v>
      </x:c>
    </x:row>
    <x:row r="75" ht="19" customHeight="1">
      <x:c r="A75" s="23" t="str">
        <x:v>FT-Q-V01-074</x:v>
      </x:c>
      <x:c r="B75" s="24" t="str">
        <x:v>costs and risks of climate change</x:v>
      </x:c>
      <x:c r="C75" s="25" t="str">
        <x:v>SUCCEEDED</x:v>
      </x:c>
      <x:c r="D75" s="25" t="str">
        <x:v>0</x:v>
      </x:c>
      <x:c r="E75" s="25" t="str">
        <x:v>181</x:v>
      </x:c>
      <x:c r="F75" s="25" t="str">
        <x:v>costs and risks of climate change</x:v>
      </x:c>
      <x:c r="G75" s="24" t="str">
        <x:v>data/fear-temperature/ngram/raw/8bd78b7ad15e9e48d2ac43434782eef178ec9ab9fe62373cb5361adae97daf18.json</x:v>
      </x:c>
      <x:c r="H75" s="24" t="str">
        <x:v>dcb1385c951417cc4a644d7215574d8b2d857a68230b5eba73b48a7cb5b69f4f</x:v>
      </x:c>
      <x:c r="I75" s="24" t="str"/>
      <x:c r="J75" s="57" t="n">
        <x:v>46260.107627314814</x:v>
      </x:c>
      <x:c r="K75" s="25" t="str">
        <x:v>https://books.google.com/ngrams/json?content=costs+and+risks+of+climate+change&amp;year_start=1842&amp;year_end=2022&amp;corpus=eng&amp;smoothing=0&amp;case_insensitive=true</x:v>
      </x:c>
      <x:c r="L75" s="49" t="str">
        <x:v>application/json (cached)</x:v>
      </x:c>
    </x:row>
    <x:row r="76" ht="19" customHeight="1">
      <x:c r="A76" s="23" t="str">
        <x:v>FT-Q-V01-075</x:v>
      </x:c>
      <x:c r="B76" s="24" t="str">
        <x:v>impacts of climate change</x:v>
      </x:c>
      <x:c r="C76" s="25" t="str">
        <x:v>SUCCEEDED</x:v>
      </x:c>
      <x:c r="D76" s="25" t="str">
        <x:v>0</x:v>
      </x:c>
      <x:c r="E76" s="25" t="str">
        <x:v>181</x:v>
      </x:c>
      <x:c r="F76" s="25" t="str">
        <x:v>impacts of climate change (All)</x:v>
      </x:c>
      <x:c r="G76" s="24" t="str">
        <x:v>data/fear-temperature/ngram/raw/10edc30626c2300c5c7fd37f88b17289d17de5d55c5e717eb20c37a82770241c.json</x:v>
      </x:c>
      <x:c r="H76" s="24" t="str">
        <x:v>44b635143823eb938cfa9be17f4d41975ecc1c7e4b3fd57c1a7d6f53975ed33d</x:v>
      </x:c>
      <x:c r="I76" s="24" t="str"/>
      <x:c r="J76" s="57" t="n">
        <x:v>46260.10763888889</x:v>
      </x:c>
      <x:c r="K76" s="25" t="str">
        <x:v>https://books.google.com/ngrams/json?content=impacts+of+climate+change&amp;year_start=1842&amp;year_end=2022&amp;corpus=eng&amp;smoothing=0&amp;case_insensitive=true</x:v>
      </x:c>
      <x:c r="L76" s="49" t="str">
        <x:v>application/json (cached)</x:v>
      </x:c>
    </x:row>
    <x:row r="77" ht="19" customHeight="1">
      <x:c r="A77" s="23" t="str">
        <x:v>FT-Q-V01-076</x:v>
      </x:c>
      <x:c r="B77" s="24" t="str">
        <x:v>damage</x:v>
      </x:c>
      <x:c r="C77" s="25" t="str">
        <x:v>SUCCEEDED</x:v>
      </x:c>
      <x:c r="D77" s="25" t="str">
        <x:v>0</x:v>
      </x:c>
      <x:c r="E77" s="25" t="str">
        <x:v>181</x:v>
      </x:c>
      <x:c r="F77" s="25" t="str">
        <x:v>damage (All)</x:v>
      </x:c>
      <x:c r="G77" s="24" t="str">
        <x:v>data/fear-temperature/ngram/raw/d01f41629ee6773134a211a7026f5208a1c2513b8707a3bed0900691e7c0f8c8.json</x:v>
      </x:c>
      <x:c r="H77" s="24" t="str">
        <x:v>e2b6224da5004cdbd469f78455aff54e59c94bd58527d0541fb8346c5d45d622</x:v>
      </x:c>
      <x:c r="I77" s="24" t="str"/>
      <x:c r="J77" s="57" t="n">
        <x:v>46260.10765046296</x:v>
      </x:c>
      <x:c r="K77" s="25" t="str">
        <x:v>https://books.google.com/ngrams/json?content=damage&amp;year_start=1842&amp;year_end=2022&amp;corpus=eng&amp;smoothing=0&amp;case_insensitive=true</x:v>
      </x:c>
      <x:c r="L77" s="49" t="str">
        <x:v>application/json (cached)</x:v>
      </x:c>
    </x:row>
    <x:row r="78" ht="19" customHeight="1">
      <x:c r="A78" s="23" t="str">
        <x:v>FT-Q-V01-077</x:v>
      </x:c>
      <x:c r="B78" s="24" t="str">
        <x:v>hunger</x:v>
      </x:c>
      <x:c r="C78" s="25" t="str">
        <x:v>SUCCEEDED</x:v>
      </x:c>
      <x:c r="D78" s="25" t="str">
        <x:v>0</x:v>
      </x:c>
      <x:c r="E78" s="25" t="str">
        <x:v>181</x:v>
      </x:c>
      <x:c r="F78" s="25" t="str">
        <x:v>hunger (All)</x:v>
      </x:c>
      <x:c r="G78" s="24" t="str">
        <x:v>data/fear-temperature/ngram/raw/316db15cf9762a5992d3f01731d219bae77ccddd5b4e7b3a3624d6529956f51c.json</x:v>
      </x:c>
      <x:c r="H78" s="24" t="str">
        <x:v>ca2b1f89311ada24ba36c7861d796bdde355cc9e275a0ba432cdcc4201c82a03</x:v>
      </x:c>
      <x:c r="I78" s="24" t="str"/>
      <x:c r="J78" s="57" t="n">
        <x:v>46260.10766203704</x:v>
      </x:c>
      <x:c r="K78" s="25" t="str">
        <x:v>https://books.google.com/ngrams/json?content=hunger&amp;year_start=1842&amp;year_end=2022&amp;corpus=eng&amp;smoothing=0&amp;case_insensitive=true</x:v>
      </x:c>
      <x:c r="L78" s="49" t="str">
        <x:v>application/json (cached)</x:v>
      </x:c>
    </x:row>
    <x:row r="79" ht="19" customHeight="1">
      <x:c r="A79" s="23" t="str">
        <x:v>FT-Q-V01-078</x:v>
      </x:c>
      <x:c r="B79" s="24" t="str">
        <x:v>water shortages</x:v>
      </x:c>
      <x:c r="C79" s="25" t="str">
        <x:v>SUCCEEDED</x:v>
      </x:c>
      <x:c r="D79" s="25" t="str">
        <x:v>0</x:v>
      </x:c>
      <x:c r="E79" s="25" t="str">
        <x:v>181</x:v>
      </x:c>
      <x:c r="F79" s="25" t="str">
        <x:v>water shortages (All)</x:v>
      </x:c>
      <x:c r="G79" s="24" t="str">
        <x:v>data/fear-temperature/ngram/raw/1efef2d790a347bb687eb3d223fce6047f4cbe50b45e07fb13a40f36a37a8053.json</x:v>
      </x:c>
      <x:c r="H79" s="24" t="str">
        <x:v>8a02a93d01cdac26a5a26050052a7fa416ae298e799feb32a7e04ce748e1c9b2</x:v>
      </x:c>
      <x:c r="I79" s="24" t="str"/>
      <x:c r="J79" s="57" t="n">
        <x:v>46260.10766203704</x:v>
      </x:c>
      <x:c r="K79" s="25" t="str">
        <x:v>https://books.google.com/ngrams/json?content=water+shortages&amp;year_start=1842&amp;year_end=2022&amp;corpus=eng&amp;smoothing=0&amp;case_insensitive=true</x:v>
      </x:c>
      <x:c r="L79" s="49" t="str">
        <x:v>application/json (cached)</x:v>
      </x:c>
    </x:row>
    <x:row r="80" ht="19" customHeight="1">
      <x:c r="A80" s="23" t="str">
        <x:v>FT-Q-V01-079</x:v>
      </x:c>
      <x:c r="B80" s="24" t="str">
        <x:v>coastal flooding</x:v>
      </x:c>
      <x:c r="C80" s="25" t="str">
        <x:v>SUCCEEDED</x:v>
      </x:c>
      <x:c r="D80" s="25" t="str">
        <x:v>0</x:v>
      </x:c>
      <x:c r="E80" s="25" t="str">
        <x:v>181</x:v>
      </x:c>
      <x:c r="F80" s="25" t="str">
        <x:v>coastal flooding (All)</x:v>
      </x:c>
      <x:c r="G80" s="24" t="str">
        <x:v>data/fear-temperature/ngram/raw/52bfa613753c4eadca65ad755383bb46d16281d2f73bd1c629782b94ca7ca635.json</x:v>
      </x:c>
      <x:c r="H80" s="24" t="str">
        <x:v>afd0afb4ad590b0b562d7c9eaf9ec1a042f698a5f73224a04d449cc9af4849cf</x:v>
      </x:c>
      <x:c r="I80" s="24" t="str"/>
      <x:c r="J80" s="57" t="n">
        <x:v>46260.10767361111</x:v>
      </x:c>
      <x:c r="K80" s="25" t="str">
        <x:v>https://books.google.com/ngrams/json?content=coastal+flooding&amp;year_start=1842&amp;year_end=2022&amp;corpus=eng&amp;smoothing=0&amp;case_insensitive=true</x:v>
      </x:c>
      <x:c r="L80" s="49" t="str">
        <x:v>application/json (cached)</x:v>
      </x:c>
    </x:row>
    <x:row r="81" ht="19" customHeight="1">
      <x:c r="A81" s="23" t="str">
        <x:v>FT-Q-V01-080</x:v>
      </x:c>
      <x:c r="B81" s="24" t="str">
        <x:v>worst impacts</x:v>
      </x:c>
      <x:c r="C81" s="25" t="str">
        <x:v>SUCCEEDED</x:v>
      </x:c>
      <x:c r="D81" s="25" t="str">
        <x:v>0</x:v>
      </x:c>
      <x:c r="E81" s="25" t="str">
        <x:v>181</x:v>
      </x:c>
      <x:c r="F81" s="25" t="str">
        <x:v>worst impacts (All)</x:v>
      </x:c>
      <x:c r="G81" s="24" t="str">
        <x:v>data/fear-temperature/ngram/raw/ef191d5d6d10d37fbddf1313d24b7921544ca0578b9663de780c6b926ed9497b.json</x:v>
      </x:c>
      <x:c r="H81" s="24" t="str">
        <x:v>c81f1acf5f8312c53ed5cd0b2b4a024d4dfdaa50768e6ccf9f35b7ba63cfd959</x:v>
      </x:c>
      <x:c r="I81" s="24" t="str"/>
      <x:c r="J81" s="57" t="n">
        <x:v>46260.10768518518</x:v>
      </x:c>
      <x:c r="K81" s="25" t="str">
        <x:v>https://books.google.com/ngrams/json?content=worst+impacts&amp;year_start=1842&amp;year_end=2022&amp;corpus=eng&amp;smoothing=0&amp;case_insensitive=true</x:v>
      </x:c>
      <x:c r="L81" s="49" t="str">
        <x:v>application/json (cached)</x:v>
      </x:c>
    </x:row>
    <x:row r="82" ht="19" customHeight="1">
      <x:c r="A82" s="23" t="str">
        <x:v>FT-Q-V01-081</x:v>
      </x:c>
      <x:c r="B82" s="24" t="str">
        <x:v>climate change</x:v>
      </x:c>
      <x:c r="C82" s="25" t="str">
        <x:v>SUCCEEDED</x:v>
      </x:c>
      <x:c r="D82" s="25" t="str">
        <x:v>0</x:v>
      </x:c>
      <x:c r="E82" s="25" t="str">
        <x:v>181</x:v>
      </x:c>
      <x:c r="F82" s="25" t="str">
        <x:v>climate change (All)</x:v>
      </x:c>
      <x:c r="G82" s="24" t="str">
        <x:v>data/fear-temperature/ngram/raw/c0c3021f09dbdf3542c85e1a8bd4e013bd4d99d85af63bbd55f5e05a6a7ddd2b.json</x:v>
      </x:c>
      <x:c r="H82" s="24" t="str">
        <x:v>f147d9b61eec9310d5a36c21ef68d14904b4782ed7663bc02178e865991f6aa6</x:v>
      </x:c>
      <x:c r="I82" s="24" t="str"/>
      <x:c r="J82" s="57" t="n">
        <x:v>46260.10760416667</x:v>
      </x:c>
      <x:c r="K82" s="25" t="str">
        <x:v>https://books.google.com/ngrams/json?content=climate+change&amp;year_start=1842&amp;year_end=2022&amp;corpus=eng&amp;smoothing=0&amp;case_insensitive=true</x:v>
      </x:c>
      <x:c r="L82" s="49" t="str">
        <x:v>application/json (cached)</x:v>
      </x:c>
    </x:row>
    <x:row r="83" ht="19" customHeight="1">
      <x:c r="A83" s="23" t="str">
        <x:v>FT-Q-V01-082</x:v>
      </x:c>
      <x:c r="B83" s="24" t="str">
        <x:v>threat of climate change</x:v>
      </x:c>
      <x:c r="C83" s="25" t="str">
        <x:v>SUCCEEDED</x:v>
      </x:c>
      <x:c r="D83" s="25" t="str">
        <x:v>0</x:v>
      </x:c>
      <x:c r="E83" s="25" t="str">
        <x:v>181</x:v>
      </x:c>
      <x:c r="F83" s="25" t="str">
        <x:v>threat of climate change (All)</x:v>
      </x:c>
      <x:c r="G83" s="24" t="str">
        <x:v>data/fear-temperature/ngram/raw/80f335fb2f081618fb98e644333ac39d4ab1da3118610e2c37f4c52eaba6f01e.json</x:v>
      </x:c>
      <x:c r="H83" s="24" t="str">
        <x:v>4d3e308400740f2f45205ec13300cc268f5273c9661c773904bc082b92df5747</x:v>
      </x:c>
      <x:c r="I83" s="24" t="str"/>
      <x:c r="J83" s="57" t="n">
        <x:v>46260.10769675926</x:v>
      </x:c>
      <x:c r="K83" s="25" t="str">
        <x:v>https://books.google.com/ngrams/json?content=threat+of+climate+change&amp;year_start=1842&amp;year_end=2022&amp;corpus=eng&amp;smoothing=0&amp;case_insensitive=true</x:v>
      </x:c>
      <x:c r="L83" s="49" t="str">
        <x:v>application/json (cached)</x:v>
      </x:c>
    </x:row>
    <x:row r="84" ht="19" customHeight="1">
      <x:c r="A84" s="23" t="str">
        <x:v>FT-Q-V01-083</x:v>
      </x:c>
      <x:c r="B84" s="24" t="str">
        <x:v>global average temperature</x:v>
      </x:c>
      <x:c r="C84" s="25" t="str">
        <x:v>SUCCEEDED</x:v>
      </x:c>
      <x:c r="D84" s="25" t="str">
        <x:v>0</x:v>
      </x:c>
      <x:c r="E84" s="25" t="str">
        <x:v>181</x:v>
      </x:c>
      <x:c r="F84" s="25" t="str">
        <x:v>global average temperature (All)</x:v>
      </x:c>
      <x:c r="G84" s="24" t="str">
        <x:v>data/fear-temperature/ngram/raw/fec10abcfbf0091d0548b70a06317daaadc5fc16f753d8243a75bd2e1dbbcb94.json</x:v>
      </x:c>
      <x:c r="H84" s="24" t="str">
        <x:v>0117d142a11216609a781a08a4a9de2b558452c187b6875846db292dd9d75016</x:v>
      </x:c>
      <x:c r="I84" s="24" t="str"/>
      <x:c r="J84" s="57" t="n">
        <x:v>46260.10770833334</x:v>
      </x:c>
      <x:c r="K84" s="25" t="str">
        <x:v>https://books.google.com/ngrams/json?content=global+average+temperature&amp;year_start=1842&amp;year_end=2022&amp;corpus=eng&amp;smoothing=0&amp;case_insensitive=true</x:v>
      </x:c>
      <x:c r="L84" s="49" t="str">
        <x:v>application/json (cached)</x:v>
      </x:c>
    </x:row>
    <x:row r="85" ht="19" customHeight="1">
      <x:c r="A85" s="23" t="str">
        <x:v>FT-Q-V01-084</x:v>
      </x:c>
      <x:c r="B85" s="24" t="str">
        <x:v>well below 2°C above pre-industrial levels</x:v>
      </x:c>
      <x:c r="C85" s="25" t="str">
        <x:v>NOT_RUN_INCOMPATIBLE</x:v>
      </x:c>
      <x:c r="D85" s="25" t="str">
        <x:v>0</x:v>
      </x:c>
      <x:c r="E85" s="25" t="str">
        <x:v>0</x:v>
      </x:c>
      <x:c r="F85" s="25" t="str"/>
      <x:c r="G85" s="24" t="str"/>
      <x:c r="H85" s="24" t="str"/>
      <x:c r="I85" s="24" t="str">
        <x:v>Degree/subscript notation is not queried as an isolated public-interface Ngram.</x:v>
      </x:c>
      <x:c r="J85" s="57" t="str"/>
      <x:c r="K85" s="25" t="str"/>
      <x:c r="L85" s="49" t="str"/>
    </x:row>
    <x:row r="86" ht="19" customHeight="1">
      <x:c r="A86" s="23" t="str">
        <x:v>FT-Q-V01-085</x:v>
      </x:c>
      <x:c r="B86" s="24" t="str">
        <x:v>1.5°C above pre-industrial levels</x:v>
      </x:c>
      <x:c r="C86" s="25" t="str">
        <x:v>NOT_RUN_INCOMPATIBLE</x:v>
      </x:c>
      <x:c r="D86" s="25" t="str">
        <x:v>0</x:v>
      </x:c>
      <x:c r="E86" s="25" t="str">
        <x:v>0</x:v>
      </x:c>
      <x:c r="F86" s="25" t="str"/>
      <x:c r="G86" s="24" t="str"/>
      <x:c r="H86" s="24" t="str"/>
      <x:c r="I86" s="24" t="str">
        <x:v>Degree/subscript notation is not queried as an isolated public-interface Ngram.</x:v>
      </x:c>
      <x:c r="J86" s="57" t="str"/>
      <x:c r="K86" s="25" t="str"/>
      <x:c r="L86" s="49" t="str"/>
    </x:row>
    <x:row r="87" ht="19" customHeight="1">
      <x:c r="A87" s="23" t="str">
        <x:v>FT-Q-V01-086</x:v>
      </x:c>
      <x:c r="B87" s="24" t="str">
        <x:v>pre-industrial levels</x:v>
      </x:c>
      <x:c r="C87" s="25" t="str">
        <x:v>SUCCEEDED</x:v>
      </x:c>
      <x:c r="D87" s="25" t="str">
        <x:v>0</x:v>
      </x:c>
      <x:c r="E87" s="25" t="str">
        <x:v>181</x:v>
      </x:c>
      <x:c r="F87" s="25" t="str">
        <x:v>pre - industrial levels (All)</x:v>
      </x:c>
      <x:c r="G87" s="24" t="str">
        <x:v>data/fear-temperature/ngram/raw/2881b2893bb9f90b34c6b55e69b178f175071000fb539d5b087f62591c3d0923.json</x:v>
      </x:c>
      <x:c r="H87" s="24" t="str">
        <x:v>ec9e2888d07942e45c2fe376fa89cf72b9fb858a4ba564af2cc26c8a06c546a2</x:v>
      </x:c>
      <x:c r="I87" s="24" t="str"/>
      <x:c r="J87" s="57" t="n">
        <x:v>46260.107719907406</x:v>
      </x:c>
      <x:c r="K87" s="25" t="str">
        <x:v>https://books.google.com/ngrams/json?content=pre-industrial+levels&amp;year_start=1842&amp;year_end=2022&amp;corpus=eng&amp;smoothing=0&amp;case_insensitive=true</x:v>
      </x:c>
      <x:c r="L87" s="49" t="str">
        <x:v>application/json (cached)</x:v>
      </x:c>
    </x:row>
    <x:row r="88" ht="19" customHeight="1">
      <x:c r="A88" s="23" t="str">
        <x:v>FT-Q-V01-087</x:v>
      </x:c>
      <x:c r="B88" s="24" t="str">
        <x:v>risks and impacts</x:v>
      </x:c>
      <x:c r="C88" s="25" t="str">
        <x:v>SUCCEEDED</x:v>
      </x:c>
      <x:c r="D88" s="25" t="str">
        <x:v>0</x:v>
      </x:c>
      <x:c r="E88" s="25" t="str">
        <x:v>181</x:v>
      </x:c>
      <x:c r="F88" s="25" t="str">
        <x:v>risks and impacts (All)</x:v>
      </x:c>
      <x:c r="G88" s="24" t="str">
        <x:v>data/fear-temperature/ngram/raw/f2eee010d3ab2ac253dad16e8a988ee29a535b3f9fd3c70274c871172742c1fa.json</x:v>
      </x:c>
      <x:c r="H88" s="24" t="str">
        <x:v>73692f4f2f2cdc5ac3af9de33c28590f08ed8a8f3f42fac6ad08df8071aee3bf</x:v>
      </x:c>
      <x:c r="I88" s="24" t="str"/>
      <x:c r="J88" s="57" t="n">
        <x:v>46260.107719907406</x:v>
      </x:c>
      <x:c r="K88" s="25" t="str">
        <x:v>https://books.google.com/ngrams/json?content=risks+and+impacts&amp;year_start=1842&amp;year_end=2022&amp;corpus=eng&amp;smoothing=0&amp;case_insensitive=true</x:v>
      </x:c>
      <x:c r="L88" s="49" t="str">
        <x:v>application/json (cached)</x:v>
      </x:c>
    </x:row>
    <x:row r="89" ht="19" customHeight="1">
      <x:c r="A89" s="23" t="str">
        <x:v>FT-Q-V01-088</x:v>
      </x:c>
      <x:c r="B89" s="24" t="str">
        <x:v>adverse impacts</x:v>
      </x:c>
      <x:c r="C89" s="25" t="str">
        <x:v>SUCCEEDED</x:v>
      </x:c>
      <x:c r="D89" s="25" t="str">
        <x:v>0</x:v>
      </x:c>
      <x:c r="E89" s="25" t="str">
        <x:v>181</x:v>
      </x:c>
      <x:c r="F89" s="25" t="str">
        <x:v>adverse impacts (All)</x:v>
      </x:c>
      <x:c r="G89" s="24" t="str">
        <x:v>data/fear-temperature/ngram/raw/ca32195a736f01bebb286362f731491393c9174f8b7dda50446f400cf3ec81ea.json</x:v>
      </x:c>
      <x:c r="H89" s="24" t="str">
        <x:v>9ec283d996fd291327672247b273c3d7c75ea2f1e8156fb54cebadc8edbf5234</x:v>
      </x:c>
      <x:c r="I89" s="24" t="str"/>
      <x:c r="J89" s="57" t="n">
        <x:v>46260.10773148148</x:v>
      </x:c>
      <x:c r="K89" s="25" t="str">
        <x:v>https://books.google.com/ngrams/json?content=adverse+impacts&amp;year_start=1842&amp;year_end=2022&amp;corpus=eng&amp;smoothing=0&amp;case_insensitive=true</x:v>
      </x:c>
      <x:c r="L89" s="49" t="str">
        <x:v>application/json (cached)</x:v>
      </x:c>
    </x:row>
    <x:row r="90" ht="19" customHeight="1">
      <x:c r="A90" s="23" t="str">
        <x:v>FT-Q-V01-089</x:v>
      </x:c>
      <x:c r="B90" s="24" t="str">
        <x:v>adverse effects of climate change</x:v>
      </x:c>
      <x:c r="C90" s="25" t="str">
        <x:v>SUCCEEDED</x:v>
      </x:c>
      <x:c r="D90" s="25" t="str">
        <x:v>0</x:v>
      </x:c>
      <x:c r="E90" s="25" t="str">
        <x:v>181</x:v>
      </x:c>
      <x:c r="F90" s="25" t="str">
        <x:v>adverse effects of climate change (All)</x:v>
      </x:c>
      <x:c r="G90" s="24" t="str">
        <x:v>data/fear-temperature/ngram/raw/6cd471adbfc5a4ba1c140cf1b0bb66ae2800dcb64e4a80dc1708e81d2b1e0278.json</x:v>
      </x:c>
      <x:c r="H90" s="24" t="str">
        <x:v>c4d134f0b6e57ad77f407369e5a1702d717b12ee1ab313d9c30aba26ad52ae0b</x:v>
      </x:c>
      <x:c r="I90" s="24" t="str"/>
      <x:c r="J90" s="57" t="n">
        <x:v>46260.10774305555</x:v>
      </x:c>
      <x:c r="K90" s="25" t="str">
        <x:v>https://books.google.com/ngrams/json?content=adverse+effects+of+climate+change&amp;year_start=1842&amp;year_end=2022&amp;corpus=eng&amp;smoothing=0&amp;case_insensitive=true</x:v>
      </x:c>
      <x:c r="L90" s="49" t="str">
        <x:v>application/json (cached)</x:v>
      </x:c>
    </x:row>
    <x:row r="91" ht="19" customHeight="1">
      <x:c r="A91" s="23" t="str">
        <x:v>FT-Q-V01-090</x:v>
      </x:c>
      <x:c r="B91" s="24" t="str">
        <x:v>greenhouse gas emissions</x:v>
      </x:c>
      <x:c r="C91" s="25" t="str">
        <x:v>SUCCEEDED</x:v>
      </x:c>
      <x:c r="D91" s="25" t="str">
        <x:v>0</x:v>
      </x:c>
      <x:c r="E91" s="25" t="str">
        <x:v>181</x:v>
      </x:c>
      <x:c r="F91" s="25" t="str">
        <x:v>greenhouse gas emissions (All)</x:v>
      </x:c>
      <x:c r="G91" s="24" t="str">
        <x:v>data/fear-temperature/ngram/raw/76b11e33a5bc00d4a70cd7cd5a433e1f985ce44395b87f40f95baf9a424ebb9f.json</x:v>
      </x:c>
      <x:c r="H91" s="24" t="str">
        <x:v>6677cd747d4f32472ebe8d57bd2e11f1e1e8a0a6b6c2a0539182477e9edf4c47</x:v>
      </x:c>
      <x:c r="I91" s="24" t="str"/>
      <x:c r="J91" s="57" t="n">
        <x:v>46260.10775462963</x:v>
      </x:c>
      <x:c r="K91" s="25" t="str">
        <x:v>https://books.google.com/ngrams/json?content=greenhouse+gas+emissions&amp;year_start=1842&amp;year_end=2022&amp;corpus=eng&amp;smoothing=0&amp;case_insensitive=true</x:v>
      </x:c>
      <x:c r="L91" s="49" t="str">
        <x:v>application/json (cached)</x:v>
      </x:c>
    </x:row>
    <x:row r="92" ht="19" customHeight="1">
      <x:c r="A92" s="23" t="str">
        <x:v>FT-Q-V01-091</x:v>
      </x:c>
      <x:c r="B92" s="24" t="str">
        <x:v>climate resilience</x:v>
      </x:c>
      <x:c r="C92" s="25" t="str">
        <x:v>SUCCEEDED</x:v>
      </x:c>
      <x:c r="D92" s="25" t="str">
        <x:v>0</x:v>
      </x:c>
      <x:c r="E92" s="25" t="str">
        <x:v>181</x:v>
      </x:c>
      <x:c r="F92" s="25" t="str">
        <x:v>climate resilience (All)</x:v>
      </x:c>
      <x:c r="G92" s="24" t="str">
        <x:v>data/fear-temperature/ngram/raw/92704c26947e3df5352fb6efc8254b2c45a554c7aeacf18289357f8535c68963.json</x:v>
      </x:c>
      <x:c r="H92" s="24" t="str">
        <x:v>766bd2cb6b1915713f93365c1fe976a8f1da310ba9adf37066ef4158f0c31dc1</x:v>
      </x:c>
      <x:c r="I92" s="24" t="str"/>
      <x:c r="J92" s="57" t="n">
        <x:v>46260.107766203706</x:v>
      </x:c>
      <x:c r="K92" s="25" t="str">
        <x:v>https://books.google.com/ngrams/json?content=climate+resilience&amp;year_start=1842&amp;year_end=2022&amp;corpus=eng&amp;smoothing=0&amp;case_insensitive=true</x:v>
      </x:c>
      <x:c r="L92" s="49" t="str">
        <x:v>application/json (cached)</x:v>
      </x:c>
    </x:row>
    <x:row r="93" ht="19" customHeight="1">
      <x:c r="A93" s="23" t="str">
        <x:v>FT-Q-V01-092</x:v>
      </x:c>
      <x:c r="B93" s="24" t="str">
        <x:v>vulnerability</x:v>
      </x:c>
      <x:c r="C93" s="25" t="str">
        <x:v>SUCCEEDED</x:v>
      </x:c>
      <x:c r="D93" s="25" t="str">
        <x:v>0</x:v>
      </x:c>
      <x:c r="E93" s="25" t="str">
        <x:v>181</x:v>
      </x:c>
      <x:c r="F93" s="25" t="str">
        <x:v>vulnerability (All)</x:v>
      </x:c>
      <x:c r="G93" s="24" t="str">
        <x:v>data/fear-temperature/ngram/raw/e3aaf62677c5b9972e9e9767131d1c45ead25c9c6ac869d7f84391f12e762596.json</x:v>
      </x:c>
      <x:c r="H93" s="24" t="str">
        <x:v>b563cc63ba587ba13a5237f0980afedd88fc1bce39788d39bb9fa6f8c257137b</x:v>
      </x:c>
      <x:c r="I93" s="24" t="str"/>
      <x:c r="J93" s="57" t="n">
        <x:v>46260.107777777775</x:v>
      </x:c>
      <x:c r="K93" s="25" t="str">
        <x:v>https://books.google.com/ngrams/json?content=vulnerability&amp;year_start=1842&amp;year_end=2022&amp;corpus=eng&amp;smoothing=0&amp;case_insensitive=true</x:v>
      </x:c>
      <x:c r="L93" s="49" t="str">
        <x:v>application/json (cached)</x:v>
      </x:c>
    </x:row>
    <x:row r="94" ht="19" customHeight="1">
      <x:c r="A94" s="23" t="str">
        <x:v>FT-Q-V01-093</x:v>
      </x:c>
      <x:c r="B94" s="24" t="str">
        <x:v>vulnerable groups</x:v>
      </x:c>
      <x:c r="C94" s="25" t="str">
        <x:v>SUCCEEDED</x:v>
      </x:c>
      <x:c r="D94" s="25" t="str">
        <x:v>0</x:v>
      </x:c>
      <x:c r="E94" s="25" t="str">
        <x:v>181</x:v>
      </x:c>
      <x:c r="F94" s="25" t="str">
        <x:v>vulnerable groups (All)</x:v>
      </x:c>
      <x:c r="G94" s="24" t="str">
        <x:v>data/fear-temperature/ngram/raw/c1c2349a76191b6ffd2a6c32c4dea78e0f8dec919502a5c3d1bfe00aad11a917.json</x:v>
      </x:c>
      <x:c r="H94" s="24" t="str">
        <x:v>4f0a135c9d244b22c6fb17eb2ffa9768d7f02c9fc5b82b39990add84188686fc</x:v>
      </x:c>
      <x:c r="I94" s="24" t="str"/>
      <x:c r="J94" s="57" t="n">
        <x:v>46260.107777777775</x:v>
      </x:c>
      <x:c r="K94" s="25" t="str">
        <x:v>https://books.google.com/ngrams/json?content=vulnerable+groups&amp;year_start=1842&amp;year_end=2022&amp;corpus=eng&amp;smoothing=0&amp;case_insensitive=true</x:v>
      </x:c>
      <x:c r="L94" s="49" t="str">
        <x:v>application/json (cached)</x:v>
      </x:c>
    </x:row>
    <x:row r="95" ht="19" customHeight="1">
      <x:c r="A95" s="23" t="str">
        <x:v>FT-Q-V01-094</x:v>
      </x:c>
      <x:c r="B95" s="24" t="str">
        <x:v>loss and damage</x:v>
      </x:c>
      <x:c r="C95" s="25" t="str">
        <x:v>SUCCEEDED</x:v>
      </x:c>
      <x:c r="D95" s="25" t="str">
        <x:v>0</x:v>
      </x:c>
      <x:c r="E95" s="25" t="str">
        <x:v>181</x:v>
      </x:c>
      <x:c r="F95" s="25" t="str">
        <x:v>loss and damage (All)</x:v>
      </x:c>
      <x:c r="G95" s="24" t="str">
        <x:v>data/fear-temperature/ngram/raw/2a8f32859c14ca29219aef3fba343d7b66fdc9599f2050be8c5c3ae3c3caff20.json</x:v>
      </x:c>
      <x:c r="H95" s="24" t="str">
        <x:v>f1df54152d54f224c3e657cd7f64a26b8c47d1cc61b8096d52807847e3900a5e</x:v>
      </x:c>
      <x:c r="I95" s="24" t="str"/>
      <x:c r="J95" s="57" t="n">
        <x:v>46260.10778935185</x:v>
      </x:c>
      <x:c r="K95" s="25" t="str">
        <x:v>https://books.google.com/ngrams/json?content=loss+and+damage&amp;year_start=1842&amp;year_end=2022&amp;corpus=eng&amp;smoothing=0&amp;case_insensitive=true</x:v>
      </x:c>
      <x:c r="L95" s="49" t="str">
        <x:v>application/json (cached)</x:v>
      </x:c>
    </x:row>
    <x:row r="96" ht="19" customHeight="1">
      <x:c r="A96" s="23" t="str">
        <x:v>FT-Q-V01-095</x:v>
      </x:c>
      <x:c r="B96" s="24" t="str">
        <x:v>extreme weather events</x:v>
      </x:c>
      <x:c r="C96" s="25" t="str">
        <x:v>SUCCEEDED</x:v>
      </x:c>
      <x:c r="D96" s="25" t="str">
        <x:v>0</x:v>
      </x:c>
      <x:c r="E96" s="25" t="str">
        <x:v>181</x:v>
      </x:c>
      <x:c r="F96" s="25" t="str">
        <x:v>extreme weather events (All)</x:v>
      </x:c>
      <x:c r="G96" s="24" t="str">
        <x:v>data/fear-temperature/ngram/raw/41ea78235d646a87a5662d877bdd2935cd19152295e4a22d8c9909ea0c9b64d1.json</x:v>
      </x:c>
      <x:c r="H96" s="24" t="str">
        <x:v>f394ef9e4b9dbbb66ea6d52997da1132bb58a657a07a128feaa84b93da42ecc1</x:v>
      </x:c>
      <x:c r="I96" s="24" t="str"/>
      <x:c r="J96" s="57" t="n">
        <x:v>46260.10780092593</x:v>
      </x:c>
      <x:c r="K96" s="25" t="str">
        <x:v>https://books.google.com/ngrams/json?content=extreme+weather+events&amp;year_start=1842&amp;year_end=2022&amp;corpus=eng&amp;smoothing=0&amp;case_insensitive=true</x:v>
      </x:c>
      <x:c r="L96" s="49" t="str">
        <x:v>application/json (cached)</x:v>
      </x:c>
    </x:row>
    <x:row r="97" ht="19" customHeight="1">
      <x:c r="A97" s="23" t="str">
        <x:v>FT-Q-V01-096</x:v>
      </x:c>
      <x:c r="B97" s="24" t="str">
        <x:v>slow onset events</x:v>
      </x:c>
      <x:c r="C97" s="25" t="str">
        <x:v>SUCCEEDED</x:v>
      </x:c>
      <x:c r="D97" s="25" t="str">
        <x:v>0</x:v>
      </x:c>
      <x:c r="E97" s="25" t="str">
        <x:v>181</x:v>
      </x:c>
      <x:c r="F97" s="25" t="str">
        <x:v>slow onset events (All)</x:v>
      </x:c>
      <x:c r="G97" s="24" t="str">
        <x:v>data/fear-temperature/ngram/raw/5439fab30f12eefa137527403d8b5cd053c082ce42c62d8a7a910a9e8ddf7ada.json</x:v>
      </x:c>
      <x:c r="H97" s="24" t="str">
        <x:v>5ad637c1f97d8dabf3c7258b5d8cb33d9debd5e381048f09b697da8780110704</x:v>
      </x:c>
      <x:c r="I97" s="24" t="str"/>
      <x:c r="J97" s="57" t="n">
        <x:v>46260.1078125</x:v>
      </x:c>
      <x:c r="K97" s="25" t="str">
        <x:v>https://books.google.com/ngrams/json?content=slow+onset+events&amp;year_start=1842&amp;year_end=2022&amp;corpus=eng&amp;smoothing=0&amp;case_insensitive=true</x:v>
      </x:c>
      <x:c r="L97" s="49" t="str">
        <x:v>application/json (cached)</x:v>
      </x:c>
    </x:row>
    <x:row r="98" ht="19" customHeight="1">
      <x:c r="A98" s="23" t="str">
        <x:v>FT-Q-V01-097</x:v>
      </x:c>
      <x:c r="B98" s="24" t="str">
        <x:v>risk of loss and damage</x:v>
      </x:c>
      <x:c r="C98" s="25" t="str">
        <x:v>SUCCEEDED</x:v>
      </x:c>
      <x:c r="D98" s="25" t="str">
        <x:v>0</x:v>
      </x:c>
      <x:c r="E98" s="25" t="str">
        <x:v>181</x:v>
      </x:c>
      <x:c r="F98" s="25" t="str">
        <x:v>risk of loss and damage (All)</x:v>
      </x:c>
      <x:c r="G98" s="24" t="str">
        <x:v>data/fear-temperature/ngram/raw/b6bda48b4b592fbca5ae78c2cb683e73c7e0fff263baea2b4c915799da173acf.json</x:v>
      </x:c>
      <x:c r="H98" s="24" t="str">
        <x:v>7a4cbeb7aca87ec900892d352108eb2b644716a82bec4a894e57c170ad1d1ca9</x:v>
      </x:c>
      <x:c r="I98" s="24" t="str"/>
      <x:c r="J98" s="57" t="n">
        <x:v>46260.10791666667</x:v>
      </x:c>
      <x:c r="K98" s="25" t="str">
        <x:v>https://books.google.com/ngrams/json?content=risk+of+loss+and+damage&amp;year_start=1842&amp;year_end=2022&amp;corpus=eng&amp;smoothing=0&amp;case_insensitive=true</x:v>
      </x:c>
      <x:c r="L98" s="49" t="str">
        <x:v>application/json (cached)</x:v>
      </x:c>
    </x:row>
    <x:row r="99" ht="19" customHeight="1">
      <x:c r="A99" s="23" t="str">
        <x:v>FT-Q-V01-098</x:v>
      </x:c>
      <x:c r="B99" s="24" t="str">
        <x:v>early warning systems</x:v>
      </x:c>
      <x:c r="C99" s="25" t="str">
        <x:v>SUCCEEDED</x:v>
      </x:c>
      <x:c r="D99" s="25" t="str">
        <x:v>0</x:v>
      </x:c>
      <x:c r="E99" s="25" t="str">
        <x:v>181</x:v>
      </x:c>
      <x:c r="F99" s="25" t="str">
        <x:v>early warning systems (All)</x:v>
      </x:c>
      <x:c r="G99" s="24" t="str">
        <x:v>data/fear-temperature/ngram/raw/db7720e0093df08b9b566f8653346c9ee2ee9d6f76372c131ccb58cb8b5cbdc9.json</x:v>
      </x:c>
      <x:c r="H99" s="24" t="str">
        <x:v>919a0cbd0ff74812cbaaa0b3c4eb71fed09f21c3c48ca5e0c3bb959e772bfcf8</x:v>
      </x:c>
      <x:c r="I99" s="24" t="str"/>
      <x:c r="J99" s="57" t="n">
        <x:v>46260.10792824074</x:v>
      </x:c>
      <x:c r="K99" s="25" t="str">
        <x:v>https://books.google.com/ngrams/json?content=early+warning+systems&amp;year_start=1842&amp;year_end=2022&amp;corpus=eng&amp;smoothing=0&amp;case_insensitive=true</x:v>
      </x:c>
      <x:c r="L99" s="49" t="str">
        <x:v>application/json (cached)</x:v>
      </x:c>
    </x:row>
    <x:row r="100" ht="19" customHeight="1">
      <x:c r="A100" s="23" t="str">
        <x:v>FT-Q-V01-099</x:v>
      </x:c>
      <x:c r="B100" s="24" t="str">
        <x:v>emergency preparedness</x:v>
      </x:c>
      <x:c r="C100" s="25" t="str">
        <x:v>SUCCEEDED</x:v>
      </x:c>
      <x:c r="D100" s="25" t="str">
        <x:v>0</x:v>
      </x:c>
      <x:c r="E100" s="25" t="str">
        <x:v>181</x:v>
      </x:c>
      <x:c r="F100" s="25" t="str">
        <x:v>emergency preparedness (All)</x:v>
      </x:c>
      <x:c r="G100" s="24" t="str">
        <x:v>data/fear-temperature/ngram/raw/6b662c4eda6184bd92d9d0037f495d86d50dc584d45cc46a4545b53d474d2828.json</x:v>
      </x:c>
      <x:c r="H100" s="24" t="str">
        <x:v>149c501b29017a73b237ab26cd30fe0ff42a9f7338678e6eba4e40a9d11558a7</x:v>
      </x:c>
      <x:c r="I100" s="24" t="str"/>
      <x:c r="J100" s="57" t="n">
        <x:v>46260.107939814814</x:v>
      </x:c>
      <x:c r="K100" s="25" t="str">
        <x:v>https://books.google.com/ngrams/json?content=emergency+preparedness&amp;year_start=1842&amp;year_end=2022&amp;corpus=eng&amp;smoothing=0&amp;case_insensitive=true</x:v>
      </x:c>
      <x:c r="L100" s="49" t="str">
        <x:v>application/json (cached)</x:v>
      </x:c>
    </x:row>
    <x:row r="101" ht="19" customHeight="1">
      <x:c r="A101" s="23" t="str">
        <x:v>FT-Q-V01-100</x:v>
      </x:c>
      <x:c r="B101" s="24" t="str">
        <x:v>irreversible and permanent loss and damage</x:v>
      </x:c>
      <x:c r="C101" s="25" t="str">
        <x:v>SUCCEEDED</x:v>
      </x:c>
      <x:c r="D101" s="25" t="str">
        <x:v>0</x:v>
      </x:c>
      <x:c r="E101" s="25" t="str">
        <x:v>181</x:v>
      </x:c>
      <x:c r="F101" s="25" t="str">
        <x:v>irreversible and permanent loss and damage</x:v>
      </x:c>
      <x:c r="G101" s="24" t="str">
        <x:v>data/fear-temperature/ngram/raw/0ef67b7c065caacb93d84434be0b418fa5d590360386c1b856d05e4d43e9bbfd.json</x:v>
      </x:c>
      <x:c r="H101" s="24" t="str">
        <x:v>be8a86c84a720f4e7bef8683b9e984b88bb8833c1cb7d464a56dfbe16478cf7a</x:v>
      </x:c>
      <x:c r="I101" s="24" t="str"/>
      <x:c r="J101" s="57" t="n">
        <x:v>46260.10795138889</x:v>
      </x:c>
      <x:c r="K101" s="25" t="str">
        <x:v>https://books.google.com/ngrams/json?content=irreversible+and+permanent+loss+and+damage&amp;year_start=1842&amp;year_end=2022&amp;corpus=eng&amp;smoothing=0&amp;case_insensitive=true</x:v>
      </x:c>
      <x:c r="L101" s="49" t="str">
        <x:v>application/json (cached)</x:v>
      </x:c>
    </x:row>
    <x:row r="102" ht="19" customHeight="1">
      <x:c r="A102" s="23" t="str">
        <x:v>FT-Q-V01-101</x:v>
      </x:c>
      <x:c r="B102" s="24" t="str">
        <x:v>climate change</x:v>
      </x:c>
      <x:c r="C102" s="25" t="str">
        <x:v>SUCCEEDED</x:v>
      </x:c>
      <x:c r="D102" s="25" t="str">
        <x:v>0</x:v>
      </x:c>
      <x:c r="E102" s="25" t="str">
        <x:v>181</x:v>
      </x:c>
      <x:c r="F102" s="25" t="str">
        <x:v>climate change (All)</x:v>
      </x:c>
      <x:c r="G102" s="24" t="str">
        <x:v>data/fear-temperature/ngram/raw/c0c3021f09dbdf3542c85e1a8bd4e013bd4d99d85af63bbd55f5e05a6a7ddd2b.json</x:v>
      </x:c>
      <x:c r="H102" s="24" t="str">
        <x:v>f147d9b61eec9310d5a36c21ef68d14904b4782ed7663bc02178e865991f6aa6</x:v>
      </x:c>
      <x:c r="I102" s="24" t="str"/>
      <x:c r="J102" s="57" t="n">
        <x:v>46260.10760416667</x:v>
      </x:c>
      <x:c r="K102" s="25" t="str">
        <x:v>https://books.google.com/ngrams/json?content=climate+change&amp;year_start=1842&amp;year_end=2022&amp;corpus=eng&amp;smoothing=0&amp;case_insensitive=true</x:v>
      </x:c>
      <x:c r="L102" s="49" t="str">
        <x:v>application/json (cached)</x:v>
      </x:c>
    </x:row>
    <x:row r="103" ht="19" customHeight="1">
      <x:c r="A103" s="23" t="str">
        <x:v>FT-Q-V01-102</x:v>
      </x:c>
      <x:c r="B103" s="24" t="str">
        <x:v>global warming</x:v>
      </x:c>
      <x:c r="C103" s="25" t="str">
        <x:v>SUCCEEDED</x:v>
      </x:c>
      <x:c r="D103" s="25" t="str">
        <x:v>0</x:v>
      </x:c>
      <x:c r="E103" s="25" t="str">
        <x:v>181</x:v>
      </x:c>
      <x:c r="F103" s="25" t="str">
        <x:v>global warming (All)</x:v>
      </x:c>
      <x:c r="G103" s="24" t="str">
        <x:v>data/fear-temperature/ngram/raw/e982c3b5d6e77fc759f19bb2931d892bfaa9221ade4a44977579a8d5a8afab71.json</x:v>
      </x:c>
      <x:c r="H103" s="24" t="str">
        <x:v>edd5437f92999c829c0fea3e5822ab6cb22f6b319b6eab7bc697d0dc4f6023f9</x:v>
      </x:c>
      <x:c r="I103" s="24" t="str"/>
      <x:c r="J103" s="57" t="n">
        <x:v>46260.107256944444</x:v>
      </x:c>
      <x:c r="K103" s="25" t="str">
        <x:v>https://books.google.com/ngrams/json?content=global+warming&amp;year_start=1842&amp;year_end=2022&amp;corpus=eng&amp;smoothing=0&amp;case_insensitive=true</x:v>
      </x:c>
      <x:c r="L103" s="49" t="str">
        <x:v>application/json (cached)</x:v>
      </x:c>
    </x:row>
    <x:row r="104" ht="19" customHeight="1">
      <x:c r="A104" s="23" t="str">
        <x:v>FT-Q-V01-103</x:v>
      </x:c>
      <x:c r="B104" s="24" t="str">
        <x:v>very worried</x:v>
      </x:c>
      <x:c r="C104" s="25" t="str">
        <x:v>SUCCEEDED</x:v>
      </x:c>
      <x:c r="D104" s="25" t="str">
        <x:v>0</x:v>
      </x:c>
      <x:c r="E104" s="25" t="str">
        <x:v>181</x:v>
      </x:c>
      <x:c r="F104" s="25" t="str">
        <x:v>very worried (All)</x:v>
      </x:c>
      <x:c r="G104" s="24" t="str">
        <x:v>data/fear-temperature/ngram/raw/f526cd2f784872130404682caca300afe87335e50333313d2bc99fcd1c9e6323.json</x:v>
      </x:c>
      <x:c r="H104" s="24" t="str">
        <x:v>c4e356dda2574c2271551a62700781713d69099b10808f5c3bfec13fd90daf25</x:v>
      </x:c>
      <x:c r="I104" s="24" t="str"/>
      <x:c r="J104" s="57" t="n">
        <x:v>46260.10796296296</x:v>
      </x:c>
      <x:c r="K104" s="25" t="str">
        <x:v>https://books.google.com/ngrams/json?content=very+worried&amp;year_start=1842&amp;year_end=2022&amp;corpus=eng&amp;smoothing=0&amp;case_insensitive=true</x:v>
      </x:c>
      <x:c r="L104" s="49" t="str">
        <x:v>application/json (cached)</x:v>
      </x:c>
    </x:row>
    <x:row r="105" ht="19" customHeight="1">
      <x:c r="A105" s="23" t="str">
        <x:v>FT-Q-V01-104</x:v>
      </x:c>
      <x:c r="B105" s="24" t="str">
        <x:v>somewhat worried</x:v>
      </x:c>
      <x:c r="C105" s="25" t="str">
        <x:v>SUCCEEDED</x:v>
      </x:c>
      <x:c r="D105" s="25" t="str">
        <x:v>0</x:v>
      </x:c>
      <x:c r="E105" s="25" t="str">
        <x:v>181</x:v>
      </x:c>
      <x:c r="F105" s="25" t="str">
        <x:v>somewhat worried (All)</x:v>
      </x:c>
      <x:c r="G105" s="24" t="str">
        <x:v>data/fear-temperature/ngram/raw/5acfc1306b3a13d5d65432940489e2b50940bd9a14347e9c6f374920fc2eeb52.json</x:v>
      </x:c>
      <x:c r="H105" s="24" t="str">
        <x:v>54918ea3d9f4743416885098238b4075b9ca4d1f92cda82f176c53f72be64531</x:v>
      </x:c>
      <x:c r="I105" s="24" t="str"/>
      <x:c r="J105" s="57" t="n">
        <x:v>46260.10797453704</x:v>
      </x:c>
      <x:c r="K105" s="25" t="str">
        <x:v>https://books.google.com/ngrams/json?content=somewhat+worried&amp;year_start=1842&amp;year_end=2022&amp;corpus=eng&amp;smoothing=0&amp;case_insensitive=true</x:v>
      </x:c>
      <x:c r="L105" s="49" t="str">
        <x:v>application/json (cached)</x:v>
      </x:c>
    </x:row>
    <x:row r="106" ht="19" customHeight="1">
      <x:c r="A106" s="23" t="str">
        <x:v>FT-Q-V01-105</x:v>
      </x:c>
      <x:c r="B106" s="24" t="str">
        <x:v>afraid</x:v>
      </x:c>
      <x:c r="C106" s="25" t="str">
        <x:v>SUCCEEDED</x:v>
      </x:c>
      <x:c r="D106" s="25" t="str">
        <x:v>0</x:v>
      </x:c>
      <x:c r="E106" s="25" t="str">
        <x:v>181</x:v>
      </x:c>
      <x:c r="F106" s="25" t="str">
        <x:v>afraid (All)</x:v>
      </x:c>
      <x:c r="G106" s="24" t="str">
        <x:v>data/fear-temperature/ngram/raw/62c539c6f003ab8a35487500472daf71f2a80584f1fa1ea2da6aa2bce785ebb8.json</x:v>
      </x:c>
      <x:c r="H106" s="24" t="str">
        <x:v>a561bb7c3888410601291c825c2eac285f641ce232c3cadbb9f1c6bc310513c1</x:v>
      </x:c>
      <x:c r="I106" s="24" t="str"/>
      <x:c r="J106" s="57" t="n">
        <x:v>46260.10797453704</x:v>
      </x:c>
      <x:c r="K106" s="25" t="str">
        <x:v>https://books.google.com/ngrams/json?content=afraid&amp;year_start=1842&amp;year_end=2022&amp;corpus=eng&amp;smoothing=0&amp;case_insensitive=true</x:v>
      </x:c>
      <x:c r="L106" s="49" t="str">
        <x:v>application/json (cached)</x:v>
      </x:c>
    </x:row>
    <x:row r="107" ht="19" customHeight="1">
      <x:c r="A107" s="23" t="str">
        <x:v>FT-Q-V01-106</x:v>
      </x:c>
      <x:c r="B107" s="24" t="str">
        <x:v>anxious</x:v>
      </x:c>
      <x:c r="C107" s="25" t="str">
        <x:v>SUCCEEDED</x:v>
      </x:c>
      <x:c r="D107" s="25" t="str">
        <x:v>0</x:v>
      </x:c>
      <x:c r="E107" s="25" t="str">
        <x:v>181</x:v>
      </x:c>
      <x:c r="F107" s="25" t="str">
        <x:v>anxious (All)</x:v>
      </x:c>
      <x:c r="G107" s="24" t="str">
        <x:v>data/fear-temperature/ngram/raw/2107eccb0485a4ca882ccf647c440758210c000f228ba9db9af26d8c66a765d7.json</x:v>
      </x:c>
      <x:c r="H107" s="24" t="str">
        <x:v>8a5c18afa3a1c5955f5e941356beb5f222867dce0a548678b52af9634f05ae55</x:v>
      </x:c>
      <x:c r="I107" s="24" t="str"/>
      <x:c r="J107" s="57" t="n">
        <x:v>46260.107986111114</x:v>
      </x:c>
      <x:c r="K107" s="25" t="str">
        <x:v>https://books.google.com/ngrams/json?content=anxious&amp;year_start=1842&amp;year_end=2022&amp;corpus=eng&amp;smoothing=0&amp;case_insensitive=true</x:v>
      </x:c>
      <x:c r="L107" s="49" t="str">
        <x:v>application/json (cached)</x:v>
      </x:c>
    </x:row>
    <x:row r="108" ht="19" customHeight="1">
      <x:c r="A108" s="23" t="str">
        <x:v>FT-Q-V01-107</x:v>
      </x:c>
      <x:c r="B108" s="24" t="str">
        <x:v>hopeless</x:v>
      </x:c>
      <x:c r="C108" s="25" t="str">
        <x:v>SUCCEEDED</x:v>
      </x:c>
      <x:c r="D108" s="25" t="str">
        <x:v>0</x:v>
      </x:c>
      <x:c r="E108" s="25" t="str">
        <x:v>181</x:v>
      </x:c>
      <x:c r="F108" s="25" t="str">
        <x:v>hopeless (All)</x:v>
      </x:c>
      <x:c r="G108" s="24" t="str">
        <x:v>data/fear-temperature/ngram/raw/5e7eb5b7a08faad04d037212a71a6f31398290267b6855e9bb04c5f2cfe60f53.json</x:v>
      </x:c>
      <x:c r="H108" s="24" t="str">
        <x:v>7e5ae9cf5f0782a5d56f3d2aa57ae13f25360fc2f6bcb4b4630fe252005fe55d</x:v>
      </x:c>
      <x:c r="I108" s="24" t="str"/>
      <x:c r="J108" s="57" t="n">
        <x:v>46260.10799768518</x:v>
      </x:c>
      <x:c r="K108" s="25" t="str">
        <x:v>https://books.google.com/ngrams/json?content=hopeless&amp;year_start=1842&amp;year_end=2022&amp;corpus=eng&amp;smoothing=0&amp;case_insensitive=true</x:v>
      </x:c>
      <x:c r="L108" s="49" t="str">
        <x:v>application/json (cached)</x:v>
      </x:c>
    </x:row>
    <x:row r="109" ht="19" customHeight="1">
      <x:c r="A109" s="23" t="str">
        <x:v>FT-Q-V01-108</x:v>
      </x:c>
      <x:c r="B109" s="24" t="str">
        <x:v>sad</x:v>
      </x:c>
      <x:c r="C109" s="25" t="str">
        <x:v>SUCCEEDED</x:v>
      </x:c>
      <x:c r="D109" s="25" t="str">
        <x:v>0</x:v>
      </x:c>
      <x:c r="E109" s="25" t="str">
        <x:v>181</x:v>
      </x:c>
      <x:c r="F109" s="25" t="str">
        <x:v>sad (All)</x:v>
      </x:c>
      <x:c r="G109" s="24" t="str">
        <x:v>data/fear-temperature/ngram/raw/953b2016da3c902bd89fed3fb5f48705d4ce54ad9ad3dd228629c0c4849f2491.json</x:v>
      </x:c>
      <x:c r="H109" s="24" t="str">
        <x:v>c30500f7eb80e2502c998d410900c93f34da285d9d396f5e4f9918d564ea5c5d</x:v>
      </x:c>
      <x:c r="I109" s="24" t="str"/>
      <x:c r="J109" s="57" t="n">
        <x:v>46260.10800925926</x:v>
      </x:c>
      <x:c r="K109" s="25" t="str">
        <x:v>https://books.google.com/ngrams/json?content=sad&amp;year_start=1842&amp;year_end=2022&amp;corpus=eng&amp;smoothing=0&amp;case_insensitive=true</x:v>
      </x:c>
      <x:c r="L109" s="49" t="str">
        <x:v>application/json (cached)</x:v>
      </x:c>
    </x:row>
    <x:row r="110" ht="19" customHeight="1">
      <x:c r="A110" s="23" t="str">
        <x:v>FT-Q-V01-109</x:v>
      </x:c>
      <x:c r="B110" s="24" t="str">
        <x:v>angry</x:v>
      </x:c>
      <x:c r="C110" s="25" t="str">
        <x:v>SUCCEEDED</x:v>
      </x:c>
      <x:c r="D110" s="25" t="str">
        <x:v>0</x:v>
      </x:c>
      <x:c r="E110" s="25" t="str">
        <x:v>181</x:v>
      </x:c>
      <x:c r="F110" s="25" t="str">
        <x:v>angry (All)</x:v>
      </x:c>
      <x:c r="G110" s="24" t="str">
        <x:v>data/fear-temperature/ngram/raw/1cceb7003946894218df8f23071e2fba77be57b1ee95b996a43348a160450fbd.json</x:v>
      </x:c>
      <x:c r="H110" s="24" t="str">
        <x:v>bef8ea13ec5d967c104296f9a9037e4816a823266d3884c3cfebb5fff3c8cf99</x:v>
      </x:c>
      <x:c r="I110" s="24" t="str"/>
      <x:c r="J110" s="57" t="n">
        <x:v>46260.10802083334</x:v>
      </x:c>
      <x:c r="K110" s="25" t="str">
        <x:v>https://books.google.com/ngrams/json?content=angry&amp;year_start=1842&amp;year_end=2022&amp;corpus=eng&amp;smoothing=0&amp;case_insensitive=true</x:v>
      </x:c>
      <x:c r="L110" s="49" t="str">
        <x:v>application/json (cached)</x:v>
      </x:c>
    </x:row>
    <x:row r="111" ht="19" customHeight="1">
      <x:c r="A111" s="23" t="str">
        <x:v>FT-Q-V01-110</x:v>
      </x:c>
      <x:c r="B111" s="24" t="str">
        <x:v>frustrated</x:v>
      </x:c>
      <x:c r="C111" s="25" t="str">
        <x:v>SUCCEEDED</x:v>
      </x:c>
      <x:c r="D111" s="25" t="str">
        <x:v>0</x:v>
      </x:c>
      <x:c r="E111" s="25" t="str">
        <x:v>181</x:v>
      </x:c>
      <x:c r="F111" s="25" t="str">
        <x:v>frustrated (All)</x:v>
      </x:c>
      <x:c r="G111" s="24" t="str">
        <x:v>data/fear-temperature/ngram/raw/9329bf8b3df7723e136f5cc98ba235a05dd2f56642d3399a06703f75d57157f7.json</x:v>
      </x:c>
      <x:c r="H111" s="24" t="str">
        <x:v>ad1854c64054f95e587dfc3e8d96327496f51152e76fb63a8eb5001631e983b8</x:v>
      </x:c>
      <x:c r="I111" s="24" t="str"/>
      <x:c r="J111" s="57" t="n">
        <x:v>46260.10803240741</x:v>
      </x:c>
      <x:c r="K111" s="25" t="str">
        <x:v>https://books.google.com/ngrams/json?content=frustrated&amp;year_start=1842&amp;year_end=2022&amp;corpus=eng&amp;smoothing=0&amp;case_insensitive=true</x:v>
      </x:c>
      <x:c r="L111" s="49" t="str">
        <x:v>application/json (cached)</x:v>
      </x:c>
    </x:row>
    <x:row r="112" ht="19" customHeight="1">
      <x:c r="A112" s="23" t="str">
        <x:v>FT-Q-V01-111</x:v>
      </x:c>
      <x:c r="B112" s="24" t="str">
        <x:v>hopeful</x:v>
      </x:c>
      <x:c r="C112" s="25" t="str">
        <x:v>SUCCEEDED</x:v>
      </x:c>
      <x:c r="D112" s="25" t="str">
        <x:v>0</x:v>
      </x:c>
      <x:c r="E112" s="25" t="str">
        <x:v>181</x:v>
      </x:c>
      <x:c r="F112" s="25" t="str">
        <x:v>hopeful (All)</x:v>
      </x:c>
      <x:c r="G112" s="24" t="str">
        <x:v>data/fear-temperature/ngram/raw/ba6a435a485847d46be014c9428192105ae5255c0ad7a7e0783a223d028b671c.json</x:v>
      </x:c>
      <x:c r="H112" s="24" t="str">
        <x:v>580836dec9b8558397ee0ce9ff542c10603a10288fc5e38f1bddaffa3623cf36</x:v>
      </x:c>
      <x:c r="I112" s="24" t="str"/>
      <x:c r="J112" s="57" t="n">
        <x:v>46260.10804398148</x:v>
      </x:c>
      <x:c r="K112" s="25" t="str">
        <x:v>https://books.google.com/ngrams/json?content=hopeful&amp;year_start=1842&amp;year_end=2022&amp;corpus=eng&amp;smoothing=0&amp;case_insensitive=true</x:v>
      </x:c>
      <x:c r="L112" s="49" t="str">
        <x:v>application/json (cached)</x:v>
      </x:c>
    </x:row>
    <x:row r="113" ht="19" customHeight="1">
      <x:c r="A113" s="23" t="str">
        <x:v>FT-Q-V01-112</x:v>
      </x:c>
      <x:c r="B113" s="24" t="str">
        <x:v>disgusted</x:v>
      </x:c>
      <x:c r="C113" s="25" t="str">
        <x:v>SUCCEEDED</x:v>
      </x:c>
      <x:c r="D113" s="25" t="str">
        <x:v>0</x:v>
      </x:c>
      <x:c r="E113" s="25" t="str">
        <x:v>181</x:v>
      </x:c>
      <x:c r="F113" s="25" t="str">
        <x:v>disgusted (All)</x:v>
      </x:c>
      <x:c r="G113" s="24" t="str">
        <x:v>data/fear-temperature/ngram/raw/f210204c4e717ccb60d443280a0631eb5726d577e81139674d3ac30bcd9f2998.json</x:v>
      </x:c>
      <x:c r="H113" s="24" t="str">
        <x:v>3949b235472d1bdde358b672f2de0d59d66343d3c583183ea7b2e92b7c714994</x:v>
      </x:c>
      <x:c r="I113" s="24" t="str"/>
      <x:c r="J113" s="57" t="n">
        <x:v>46260.10804398148</x:v>
      </x:c>
      <x:c r="K113" s="25" t="str">
        <x:v>https://books.google.com/ngrams/json?content=disgusted&amp;year_start=1842&amp;year_end=2022&amp;corpus=eng&amp;smoothing=0&amp;case_insensitive=true</x:v>
      </x:c>
      <x:c r="L113" s="49" t="str">
        <x:v>application/json (cached)</x:v>
      </x:c>
    </x:row>
    <x:row r="114" ht="19" customHeight="1">
      <x:c r="A114" s="23" t="str">
        <x:v>FT-Q-V01-113</x:v>
      </x:c>
      <x:c r="B114" s="24" t="str">
        <x:v>outraged</x:v>
      </x:c>
      <x:c r="C114" s="25" t="str">
        <x:v>SUCCEEDED</x:v>
      </x:c>
      <x:c r="D114" s="25" t="str">
        <x:v>0</x:v>
      </x:c>
      <x:c r="E114" s="25" t="str">
        <x:v>181</x:v>
      </x:c>
      <x:c r="F114" s="25" t="str">
        <x:v>outraged (All)</x:v>
      </x:c>
      <x:c r="G114" s="24" t="str">
        <x:v>data/fear-temperature/ngram/raw/f40285eec2f0032bdb5bfbc2c085fc4cadc9ba551a688c6439d3a5237ef977c7.json</x:v>
      </x:c>
      <x:c r="H114" s="24" t="str">
        <x:v>f97ea344d73e4e87abb2dd140214ba4d93a98685966bf5ad866214509611c202</x:v>
      </x:c>
      <x:c r="I114" s="24" t="str"/>
      <x:c r="J114" s="57" t="n">
        <x:v>46260.10805555555</x:v>
      </x:c>
      <x:c r="K114" s="25" t="str">
        <x:v>https://books.google.com/ngrams/json?content=outraged&amp;year_start=1842&amp;year_end=2022&amp;corpus=eng&amp;smoothing=0&amp;case_insensitive=true</x:v>
      </x:c>
      <x:c r="L114" s="49" t="str">
        <x:v>application/json (cached)</x:v>
      </x:c>
    </x:row>
    <x:row r="115" ht="19" customHeight="1">
      <x:c r="A115" s="23" t="str">
        <x:v>FT-Q-V01-114</x:v>
      </x:c>
      <x:c r="B115" s="24" t="str">
        <x:v>depressed</x:v>
      </x:c>
      <x:c r="C115" s="25" t="str">
        <x:v>SUCCEEDED</x:v>
      </x:c>
      <x:c r="D115" s="25" t="str">
        <x:v>0</x:v>
      </x:c>
      <x:c r="E115" s="25" t="str">
        <x:v>181</x:v>
      </x:c>
      <x:c r="F115" s="25" t="str">
        <x:v>depressed (All)</x:v>
      </x:c>
      <x:c r="G115" s="24" t="str">
        <x:v>data/fear-temperature/ngram/raw/1e2c67caed74063005c91a921bdcebefacae62473cda222cb6b54f2d0f494115.json</x:v>
      </x:c>
      <x:c r="H115" s="24" t="str">
        <x:v>860a27b58656abacadd7f50714c6c413d59b394853cc7f8c215e856ba2b0bb07</x:v>
      </x:c>
      <x:c r="I115" s="24" t="str"/>
      <x:c r="J115" s="57" t="n">
        <x:v>46260.10806712963</x:v>
      </x:c>
      <x:c r="K115" s="25" t="str">
        <x:v>https://books.google.com/ngrams/json?content=depressed&amp;year_start=1842&amp;year_end=2022&amp;corpus=eng&amp;smoothing=0&amp;case_insensitive=true</x:v>
      </x:c>
      <x:c r="L115" s="49" t="str">
        <x:v>application/json (cached)</x:v>
      </x:c>
    </x:row>
    <x:row r="116" ht="19" customHeight="1">
      <x:c r="A116" s="23" t="str">
        <x:v>FT-Q-V01-115</x:v>
      </x:c>
      <x:c r="B116" s="24" t="str">
        <x:v>symptoms of anxiety</x:v>
      </x:c>
      <x:c r="C116" s="25" t="str">
        <x:v>SUCCEEDED</x:v>
      </x:c>
      <x:c r="D116" s="25" t="str">
        <x:v>0</x:v>
      </x:c>
      <x:c r="E116" s="25" t="str">
        <x:v>181</x:v>
      </x:c>
      <x:c r="F116" s="25" t="str">
        <x:v>symptoms of anxiety (All)</x:v>
      </x:c>
      <x:c r="G116" s="24" t="str">
        <x:v>data/fear-temperature/ngram/raw/1b1b0a9675ab8a7678713746fdd62646f8c5451626f2103eb483512a2277f6c7.json</x:v>
      </x:c>
      <x:c r="H116" s="24" t="str">
        <x:v>a249df571965d071ee8e8c0b2ea3e065f28289cb6f34bba1630bd55da3f95d84</x:v>
      </x:c>
      <x:c r="I116" s="24" t="str"/>
      <x:c r="J116" s="57" t="n">
        <x:v>46260.108078703706</x:v>
      </x:c>
      <x:c r="K116" s="25" t="str">
        <x:v>https://books.google.com/ngrams/json?content=symptoms+of+anxiety&amp;year_start=1842&amp;year_end=2022&amp;corpus=eng&amp;smoothing=0&amp;case_insensitive=true</x:v>
      </x:c>
      <x:c r="L116" s="49" t="str">
        <x:v>application/json (cached)</x:v>
      </x:c>
    </x:row>
    <x:row r="117" ht="19" customHeight="1">
      <x:c r="A117" s="23" t="str">
        <x:v>FT-Q-V01-116</x:v>
      </x:c>
      <x:c r="B117" s="24" t="str">
        <x:v>climate anxiety</x:v>
      </x:c>
      <x:c r="C117" s="25" t="str">
        <x:v>SUCCEEDED</x:v>
      </x:c>
      <x:c r="D117" s="25" t="str">
        <x:v>0</x:v>
      </x:c>
      <x:c r="E117" s="25" t="str">
        <x:v>181</x:v>
      </x:c>
      <x:c r="F117" s="25" t="str">
        <x:v>climate anxiety (All)</x:v>
      </x:c>
      <x:c r="G117" s="24" t="str">
        <x:v>data/fear-temperature/ngram/raw/d00250b2ef40b968bd0aa5befdc2b2cb971793fb2c476d828ffc5ab3fab1830a.json</x:v>
      </x:c>
      <x:c r="H117" s="24" t="str">
        <x:v>4bfe5a3b9d7ed748ae188b0946b31c1056933757c12a370c99a1beb82275c00c</x:v>
      </x:c>
      <x:c r="I117" s="24" t="str"/>
      <x:c r="J117" s="57" t="n">
        <x:v>46260.108078703706</x:v>
      </x:c>
      <x:c r="K117" s="25" t="str">
        <x:v>https://books.google.com/ngrams/json?content=climate+anxiety&amp;year_start=1842&amp;year_end=2022&amp;corpus=eng&amp;smoothing=0&amp;case_insensitive=true</x:v>
      </x:c>
      <x:c r="L117" s="49" t="str">
        <x:v>application/json (cached)</x:v>
      </x:c>
    </x:row>
    <x:row r="118" ht="19" customHeight="1">
      <x:c r="A118" s="23" t="str">
        <x:v>FT-Q-V01-117</x:v>
      </x:c>
      <x:c r="B118" s="24" t="str">
        <x:v>eco-anxiety</x:v>
      </x:c>
      <x:c r="C118" s="25" t="str">
        <x:v>SUCCEEDED</x:v>
      </x:c>
      <x:c r="D118" s="25" t="str">
        <x:v>0</x:v>
      </x:c>
      <x:c r="E118" s="25" t="str">
        <x:v>181</x:v>
      </x:c>
      <x:c r="F118" s="25" t="str">
        <x:v>eco - anxiety (All)</x:v>
      </x:c>
      <x:c r="G118" s="24" t="str">
        <x:v>data/fear-temperature/ngram/raw/4dec744e176b02d5b58560cc5e870a26c6e15a00884d43da40bc682039cdf566.json</x:v>
      </x:c>
      <x:c r="H118" s="24" t="str">
        <x:v>f6763b45b1506c0270b0f32d40a486756757632c62b09198e837f8fdfd1885b1</x:v>
      </x:c>
      <x:c r="I118" s="24" t="str"/>
      <x:c r="J118" s="57" t="n">
        <x:v>46260.108090277776</x:v>
      </x:c>
      <x:c r="K118" s="25" t="str">
        <x:v>https://books.google.com/ngrams/json?content=eco-anxiety&amp;year_start=1842&amp;year_end=2022&amp;corpus=eng&amp;smoothing=0&amp;case_insensitive=true</x:v>
      </x:c>
      <x:c r="L118" s="49" t="str">
        <x:v>application/json (cached)</x:v>
      </x:c>
    </x:row>
    <x:row r="119" ht="19" customHeight="1">
      <x:c r="A119" s="23" t="str">
        <x:v>FT-Q-V01-118</x:v>
      </x:c>
      <x:c r="B119" s="24" t="str">
        <x:v>psychological distress</x:v>
      </x:c>
      <x:c r="C119" s="25" t="str">
        <x:v>SUCCEEDED</x:v>
      </x:c>
      <x:c r="D119" s="25" t="str">
        <x:v>0</x:v>
      </x:c>
      <x:c r="E119" s="25" t="str">
        <x:v>181</x:v>
      </x:c>
      <x:c r="F119" s="25" t="str">
        <x:v>psychological distress (All)</x:v>
      </x:c>
      <x:c r="G119" s="24" t="str">
        <x:v>data/fear-temperature/ngram/raw/36dab6d94430baaff9d42a62e3c2af4716d35c6323cbc1f9c41cbd36969e7647.json</x:v>
      </x:c>
      <x:c r="H119" s="24" t="str">
        <x:v>12a3ab979e0d1a4235f6ff4bb5fda2da51208d378281955e44b8bb57d3cf99e6</x:v>
      </x:c>
      <x:c r="I119" s="24" t="str"/>
      <x:c r="J119" s="57" t="n">
        <x:v>46260.10810185185</x:v>
      </x:c>
      <x:c r="K119" s="25" t="str">
        <x:v>https://books.google.com/ngrams/json?content=psychological+distress&amp;year_start=1842&amp;year_end=2022&amp;corpus=eng&amp;smoothing=0&amp;case_insensitive=true</x:v>
      </x:c>
      <x:c r="L119" s="49" t="str">
        <x:v>application/json (cached)</x:v>
      </x:c>
    </x:row>
    <x:row r="120" ht="19" customHeight="1">
      <x:c r="A120" s="23" t="str">
        <x:v>FT-Q-V01-119</x:v>
      </x:c>
      <x:c r="B120" s="24" t="str">
        <x:v>distress</x:v>
      </x:c>
      <x:c r="C120" s="25" t="str">
        <x:v>SUCCEEDED</x:v>
      </x:c>
      <x:c r="D120" s="25" t="str">
        <x:v>0</x:v>
      </x:c>
      <x:c r="E120" s="25" t="str">
        <x:v>181</x:v>
      </x:c>
      <x:c r="F120" s="25" t="str">
        <x:v>distress (All)</x:v>
      </x:c>
      <x:c r="G120" s="24" t="str">
        <x:v>data/fear-temperature/ngram/raw/69a25d3b4abb2591bf0e8cc23730cd85d5e6133b29f60ddf50c84a4afc8a5d9a.json</x:v>
      </x:c>
      <x:c r="H120" s="24" t="str">
        <x:v>f05d358ad9a129a9d964930bfee0941fa34aaaa056d9215a25cb4d2372c95d01</x:v>
      </x:c>
      <x:c r="I120" s="24" t="str"/>
      <x:c r="J120" s="57" t="n">
        <x:v>46260.10811342593</x:v>
      </x:c>
      <x:c r="K120" s="25" t="str">
        <x:v>https://books.google.com/ngrams/json?content=distress&amp;year_start=1842&amp;year_end=2022&amp;corpus=eng&amp;smoothing=0&amp;case_insensitive=true</x:v>
      </x:c>
      <x:c r="L120" s="49" t="str">
        <x:v>application/json (cached)</x:v>
      </x:c>
    </x:row>
    <x:row r="121" ht="19" customHeight="1">
      <x:c r="A121" s="23" t="str">
        <x:v>FT-Q-V01-120</x:v>
      </x:c>
      <x:c r="B121" s="24" t="str">
        <x:v>powerlessness</x:v>
      </x:c>
      <x:c r="C121" s="25" t="str">
        <x:v>SUCCEEDED</x:v>
      </x:c>
      <x:c r="D121" s="25" t="str">
        <x:v>0</x:v>
      </x:c>
      <x:c r="E121" s="25" t="str">
        <x:v>181</x:v>
      </x:c>
      <x:c r="F121" s="25" t="str">
        <x:v>powerlessness (All)</x:v>
      </x:c>
      <x:c r="G121" s="24" t="str">
        <x:v>data/fear-temperature/ngram/raw/3cf4985d3f59ca9bec554eac71523373ea46987c9f956c1e518194c8ba5701b4.json</x:v>
      </x:c>
      <x:c r="H121" s="24" t="str">
        <x:v>deb1e89de6282e8d96786b75226f8ccca53555e1f70f743d6021c137c7cd0512</x:v>
      </x:c>
      <x:c r="I121" s="24" t="str"/>
      <x:c r="J121" s="57" t="n">
        <x:v>46260.10811342593</x:v>
      </x:c>
      <x:c r="K121" s="25" t="str">
        <x:v>https://books.google.com/ngrams/json?content=powerlessness&amp;year_start=1842&amp;year_end=2022&amp;corpus=eng&amp;smoothing=0&amp;case_insensitive=true</x:v>
      </x:c>
      <x:c r="L121" s="49" t="str">
        <x:v>application/json (cached)</x:v>
      </x:c>
    </x:row>
    <x:row r="122" ht="19" customHeight="1">
      <x:c r="A122" s="23" t="str">
        <x:v>FT-Q-V01-121</x:v>
      </x:c>
      <x:c r="B122" s="24" t="str">
        <x:v>climatic change</x:v>
      </x:c>
      <x:c r="C122" s="25" t="str">
        <x:v>SUCCEEDED</x:v>
      </x:c>
      <x:c r="D122" s="25" t="str">
        <x:v>0</x:v>
      </x:c>
      <x:c r="E122" s="25" t="str">
        <x:v>181</x:v>
      </x:c>
      <x:c r="F122" s="25" t="str">
        <x:v>climatic change (All)</x:v>
      </x:c>
      <x:c r="G122" s="24" t="str">
        <x:v>data/fear-temperature/ngram/raw/0a04941be5651b2bc9de7c1d97a1ec296ca7d83fbf14cbae1d4cb6dce5e31d80.json</x:v>
      </x:c>
      <x:c r="H122" s="24" t="str">
        <x:v>d7902abbc080f4d2003d5f1a590f735baa3506f990d5c6b1c2d156f0cbd926e2</x:v>
      </x:c>
      <x:c r="I122" s="24" t="str"/>
      <x:c r="J122" s="57" t="n">
        <x:v>46260.108125</x:v>
      </x:c>
      <x:c r="K122" s="25" t="str">
        <x:v>https://books.google.com/ngrams/json?content=climatic+change&amp;year_start=1842&amp;year_end=2022&amp;corpus=eng&amp;smoothing=0&amp;case_insensitive=true</x:v>
      </x:c>
      <x:c r="L122" s="49" t="str">
        <x:v>application/json (cached)</x:v>
      </x:c>
    </x:row>
    <x:row r="123" ht="19" customHeight="1">
      <x:c r="A123" s="23" t="str">
        <x:v>FT-Q-V01-122</x:v>
      </x:c>
      <x:c r="B123" s="24" t="str">
        <x:v>climate system</x:v>
      </x:c>
      <x:c r="C123" s="25" t="str">
        <x:v>SUCCEEDED</x:v>
      </x:c>
      <x:c r="D123" s="25" t="str">
        <x:v>0</x:v>
      </x:c>
      <x:c r="E123" s="25" t="str">
        <x:v>181</x:v>
      </x:c>
      <x:c r="F123" s="25" t="str">
        <x:v>climate system (All)</x:v>
      </x:c>
      <x:c r="G123" s="24" t="str">
        <x:v>data/fear-temperature/ngram/raw/44123082f140b34693c19e6c204f15f36cbfab06a2fb516dea8b50cb69f5544f.json</x:v>
      </x:c>
      <x:c r="H123" s="24" t="str">
        <x:v>f05a5e3324ef7e65b80d502af737cc0cf691fd70170359c91a05aa14d593d8a4</x:v>
      </x:c>
      <x:c r="I123" s="24" t="str"/>
      <x:c r="J123" s="57" t="n">
        <x:v>46260.108136574076</x:v>
      </x:c>
      <x:c r="K123" s="25" t="str">
        <x:v>https://books.google.com/ngrams/json?content=climate+system&amp;year_start=1842&amp;year_end=2022&amp;corpus=eng&amp;smoothing=0&amp;case_insensitive=true</x:v>
      </x:c>
      <x:c r="L123" s="49" t="str">
        <x:v>application/json (cached)</x:v>
      </x:c>
    </x:row>
    <x:row r="124" ht="19" customHeight="1">
      <x:c r="A124" s="23" t="str">
        <x:v>FT-Q-V01-123</x:v>
      </x:c>
      <x:c r="B124" s="24" t="str">
        <x:v>climate crisis</x:v>
      </x:c>
      <x:c r="C124" s="25" t="str">
        <x:v>SUCCEEDED</x:v>
      </x:c>
      <x:c r="D124" s="25" t="str">
        <x:v>0</x:v>
      </x:c>
      <x:c r="E124" s="25" t="str">
        <x:v>181</x:v>
      </x:c>
      <x:c r="F124" s="25" t="str">
        <x:v>climate crisis (All)</x:v>
      </x:c>
      <x:c r="G124" s="24" t="str">
        <x:v>data/fear-temperature/ngram/raw/23354bc43bed6570702eab740469c8b00c388007e8cf69ff8fd38735d57ed065.json</x:v>
      </x:c>
      <x:c r="H124" s="24" t="str">
        <x:v>6482a18b04148e0058b499b2ea480b7ceb14738d3dc486f8f5f6821bd85f433e</x:v>
      </x:c>
      <x:c r="I124" s="24" t="str"/>
      <x:c r="J124" s="57" t="n">
        <x:v>46260.108148148145</x:v>
      </x:c>
      <x:c r="K124" s="25" t="str">
        <x:v>https://books.google.com/ngrams/json?content=climate+crisis&amp;year_start=1842&amp;year_end=2022&amp;corpus=eng&amp;smoothing=0&amp;case_insensitive=true</x:v>
      </x:c>
      <x:c r="L124" s="49" t="str">
        <x:v>application/json (cached)</x:v>
      </x:c>
    </x:row>
    <x:row r="125" ht="19" customHeight="1">
      <x:c r="A125" s="23" t="str">
        <x:v>FT-Q-V01-124</x:v>
      </x:c>
      <x:c r="B125" s="24" t="str">
        <x:v>climate emergency</x:v>
      </x:c>
      <x:c r="C125" s="25" t="str">
        <x:v>SUCCEEDED</x:v>
      </x:c>
      <x:c r="D125" s="25" t="str">
        <x:v>0</x:v>
      </x:c>
      <x:c r="E125" s="25" t="str">
        <x:v>181</x:v>
      </x:c>
      <x:c r="F125" s="25" t="str">
        <x:v>climate emergency (All)</x:v>
      </x:c>
      <x:c r="G125" s="24" t="str">
        <x:v>data/fear-temperature/ngram/raw/3237c9c334be43668f3ba7cf3a2aa06f34c5080255b6e1461b714d92a123b591.json</x:v>
      </x:c>
      <x:c r="H125" s="24" t="str">
        <x:v>7c2eeb3c644ac32eb5a37cb902c6614c6b5fff18114c5a78c55e650cae9c6555</x:v>
      </x:c>
      <x:c r="I125" s="24" t="str"/>
      <x:c r="J125" s="57" t="n">
        <x:v>46260.108148148145</x:v>
      </x:c>
      <x:c r="K125" s="25" t="str">
        <x:v>https://books.google.com/ngrams/json?content=climate+emergency&amp;year_start=1842&amp;year_end=2022&amp;corpus=eng&amp;smoothing=0&amp;case_insensitive=true</x:v>
      </x:c>
      <x:c r="L125" s="49" t="str">
        <x:v>application/json (cached)</x:v>
      </x:c>
    </x:row>
    <x:row r="126" ht="19" customHeight="1">
      <x:c r="A126" s="23" t="str">
        <x:v>FT-Q-V01-125</x:v>
      </x:c>
      <x:c r="B126" s="24" t="str">
        <x:v>heat</x:v>
      </x:c>
      <x:c r="C126" s="25" t="str">
        <x:v>SUCCEEDED</x:v>
      </x:c>
      <x:c r="D126" s="25" t="str">
        <x:v>0</x:v>
      </x:c>
      <x:c r="E126" s="25" t="str">
        <x:v>181</x:v>
      </x:c>
      <x:c r="F126" s="25" t="str">
        <x:v>heat (All)</x:v>
      </x:c>
      <x:c r="G126" s="24" t="str">
        <x:v>data/fear-temperature/ngram/raw/c4a2fddf7c4162769bbd0a82f12e004a6ee58ba1f0ff17f2b453dcf677494b07.json</x:v>
      </x:c>
      <x:c r="H126" s="24" t="str">
        <x:v>bbae9861c8d54e6c725641b44c46d68a518371c40032563a1e52f08023071d17</x:v>
      </x:c>
      <x:c r="I126" s="24" t="str"/>
      <x:c r="J126" s="57" t="n">
        <x:v>46260.10815972222</x:v>
      </x:c>
      <x:c r="K126" s="25" t="str">
        <x:v>https://books.google.com/ngrams/json?content=heat&amp;year_start=1842&amp;year_end=2022&amp;corpus=eng&amp;smoothing=0&amp;case_insensitive=true</x:v>
      </x:c>
      <x:c r="L126" s="49" t="str">
        <x:v>application/json (cached)</x:v>
      </x:c>
    </x:row>
    <x:row r="127" ht="19" customHeight="1">
      <x:c r="A127" s="23" t="str">
        <x:v>FT-Q-V01-126</x:v>
      </x:c>
      <x:c r="B127" s="24" t="str">
        <x:v>extreme heat</x:v>
      </x:c>
      <x:c r="C127" s="25" t="str">
        <x:v>SUCCEEDED</x:v>
      </x:c>
      <x:c r="D127" s="25" t="str">
        <x:v>0</x:v>
      </x:c>
      <x:c r="E127" s="25" t="str">
        <x:v>181</x:v>
      </x:c>
      <x:c r="F127" s="25" t="str">
        <x:v>extreme heat (All)</x:v>
      </x:c>
      <x:c r="G127" s="24" t="str">
        <x:v>data/fear-temperature/ngram/raw/f78acfa1d100e2ca03e0287a6e355eeb4633059fd59d841bf6e3f477f083c054.json</x:v>
      </x:c>
      <x:c r="H127" s="24" t="str">
        <x:v>7dd3950bffce17c14d781cfcb69963ee14d12337f5acf8ab8706bd558107c6e3</x:v>
      </x:c>
      <x:c r="I127" s="24" t="str"/>
      <x:c r="J127" s="57" t="n">
        <x:v>46260.1081712963</x:v>
      </x:c>
      <x:c r="K127" s="25" t="str">
        <x:v>https://books.google.com/ngrams/json?content=extreme+heat&amp;year_start=1842&amp;year_end=2022&amp;corpus=eng&amp;smoothing=0&amp;case_insensitive=true</x:v>
      </x:c>
      <x:c r="L127" s="49" t="str">
        <x:v>application/json (cached)</x:v>
      </x:c>
    </x:row>
    <x:row r="128" ht="19" customHeight="1">
      <x:c r="A128" s="23" t="str">
        <x:v>FT-Q-V01-127</x:v>
      </x:c>
      <x:c r="B128" s="24" t="str">
        <x:v>fear</x:v>
      </x:c>
      <x:c r="C128" s="25" t="str">
        <x:v>SUCCEEDED</x:v>
      </x:c>
      <x:c r="D128" s="25" t="str">
        <x:v>0</x:v>
      </x:c>
      <x:c r="E128" s="25" t="str">
        <x:v>181</x:v>
      </x:c>
      <x:c r="F128" s="25" t="str">
        <x:v>fear (All)</x:v>
      </x:c>
      <x:c r="G128" s="24" t="str">
        <x:v>data/fear-temperature/ngram/raw/9a82a1e3ac136df19ab9c86fccf9b11d26bd9aa0af615506d9063f8b7db4b821.json</x:v>
      </x:c>
      <x:c r="H128" s="24" t="str">
        <x:v>939e4006e0b2f39121a9e87f232305c7e7c3df2ae1f1f74acd4eac2d5eda483b</x:v>
      </x:c>
      <x:c r="I128" s="24" t="str"/>
      <x:c r="J128" s="57" t="n">
        <x:v>46260.1081712963</x:v>
      </x:c>
      <x:c r="K128" s="25" t="str">
        <x:v>https://books.google.com/ngrams/json?content=fear&amp;year_start=1842&amp;year_end=2022&amp;corpus=eng&amp;smoothing=0&amp;case_insensitive=true</x:v>
      </x:c>
      <x:c r="L128" s="49" t="str">
        <x:v>application/json (cached)</x:v>
      </x:c>
    </x:row>
    <x:row r="129" ht="19" customHeight="1">
      <x:c r="A129" s="23" t="str">
        <x:v>FT-Q-V01-128</x:v>
      </x:c>
      <x:c r="B129" s="24" t="str">
        <x:v>worry</x:v>
      </x:c>
      <x:c r="C129" s="25" t="str">
        <x:v>SUCCEEDED</x:v>
      </x:c>
      <x:c r="D129" s="25" t="str">
        <x:v>0</x:v>
      </x:c>
      <x:c r="E129" s="25" t="str">
        <x:v>181</x:v>
      </x:c>
      <x:c r="F129" s="25" t="str">
        <x:v>worry (All)</x:v>
      </x:c>
      <x:c r="G129" s="24" t="str">
        <x:v>data/fear-temperature/ngram/raw/a637a16642bc8126e12038a79352c7309b624c759631dc6fb805a314dd5f39ce.json</x:v>
      </x:c>
      <x:c r="H129" s="24" t="str">
        <x:v>e8e9eb06e8b2781b870574383589fe60889c166d75f085b10920885aaf3603de</x:v>
      </x:c>
      <x:c r="I129" s="24" t="str"/>
      <x:c r="J129" s="57" t="n">
        <x:v>46260.10818287037</x:v>
      </x:c>
      <x:c r="K129" s="25" t="str">
        <x:v>https://books.google.com/ngrams/json?content=worry&amp;year_start=1842&amp;year_end=2022&amp;corpus=eng&amp;smoothing=0&amp;case_insensitive=true</x:v>
      </x:c>
      <x:c r="L129" s="49" t="str">
        <x:v>application/json (cached)</x:v>
      </x:c>
    </x:row>
    <x:row r="130" ht="19" customHeight="1">
      <x:c r="A130" s="23" t="str">
        <x:v>FT-Q-V01-129</x:v>
      </x:c>
      <x:c r="B130" s="24" t="str">
        <x:v>worried</x:v>
      </x:c>
      <x:c r="C130" s="25" t="str">
        <x:v>SUCCEEDED</x:v>
      </x:c>
      <x:c r="D130" s="25" t="str">
        <x:v>0</x:v>
      </x:c>
      <x:c r="E130" s="25" t="str">
        <x:v>181</x:v>
      </x:c>
      <x:c r="F130" s="25" t="str">
        <x:v>worried (All)</x:v>
      </x:c>
      <x:c r="G130" s="24" t="str">
        <x:v>data/fear-temperature/ngram/raw/663a933fc48043f250f90a98b66b006334ad658684ce96825d57307b8d52b76d.json</x:v>
      </x:c>
      <x:c r="H130" s="24" t="str">
        <x:v>4eb0b82ba6fa0a3cf1243842ca78ee01374ee5df5052ad6c2de9971bfec56251</x:v>
      </x:c>
      <x:c r="I130" s="24" t="str"/>
      <x:c r="J130" s="57" t="n">
        <x:v>46260.10828703704</x:v>
      </x:c>
      <x:c r="K130" s="25" t="str">
        <x:v>https://books.google.com/ngrams/json?content=worried&amp;year_start=1842&amp;year_end=2022&amp;corpus=eng&amp;smoothing=0&amp;case_insensitive=true</x:v>
      </x:c>
      <x:c r="L130" s="49" t="str">
        <x:v>application/json (cached)</x:v>
      </x:c>
    </x:row>
    <x:row r="131" ht="19" customHeight="1">
      <x:c r="A131" s="23" t="str">
        <x:v>FT-Q-V01-130</x:v>
      </x:c>
      <x:c r="B131" s="24" t="str">
        <x:v>concern</x:v>
      </x:c>
      <x:c r="C131" s="25" t="str">
        <x:v>SUCCEEDED</x:v>
      </x:c>
      <x:c r="D131" s="25" t="str">
        <x:v>0</x:v>
      </x:c>
      <x:c r="E131" s="25" t="str">
        <x:v>181</x:v>
      </x:c>
      <x:c r="F131" s="25" t="str">
        <x:v>concern (All)</x:v>
      </x:c>
      <x:c r="G131" s="24" t="str">
        <x:v>data/fear-temperature/ngram/raw/4643a1a18409e446a85be4d799f0377db1c82b28463617e3e93dfc9e103700e6.json</x:v>
      </x:c>
      <x:c r="H131" s="24" t="str">
        <x:v>86759331e2f1559211c82990d4bb396d4c809519fe0ab47d1a733aa373b986f6</x:v>
      </x:c>
      <x:c r="I131" s="24" t="str"/>
      <x:c r="J131" s="57" t="n">
        <x:v>46260.108298611114</x:v>
      </x:c>
      <x:c r="K131" s="25" t="str">
        <x:v>https://books.google.com/ngrams/json?content=concern&amp;year_start=1842&amp;year_end=2022&amp;corpus=eng&amp;smoothing=0&amp;case_insensitive=true</x:v>
      </x:c>
      <x:c r="L131" s="49" t="str">
        <x:v>application/json (cached)</x:v>
      </x:c>
    </x:row>
    <x:row r="132" ht="19" customHeight="1">
      <x:c r="A132" s="23" t="str">
        <x:v>FT-Q-V01-131</x:v>
      </x:c>
      <x:c r="B132" s="24" t="str">
        <x:v>anxiety</x:v>
      </x:c>
      <x:c r="C132" s="25" t="str">
        <x:v>SUCCEEDED</x:v>
      </x:c>
      <x:c r="D132" s="25" t="str">
        <x:v>0</x:v>
      </x:c>
      <x:c r="E132" s="25" t="str">
        <x:v>181</x:v>
      </x:c>
      <x:c r="F132" s="25" t="str">
        <x:v>anxiety (All)</x:v>
      </x:c>
      <x:c r="G132" s="24" t="str">
        <x:v>data/fear-temperature/ngram/raw/b9681b24d3f5a1319cae6436236bc0f5b64d75ea848bbbe2dbfc5b26c0042582.json</x:v>
      </x:c>
      <x:c r="H132" s="24" t="str">
        <x:v>9cb6b1d35dff3151fa282cfee0f1c44107cc306f301075e9570f15b27cfc5005</x:v>
      </x:c>
      <x:c r="I132" s="24" t="str"/>
      <x:c r="J132" s="57" t="n">
        <x:v>46260.108298611114</x:v>
      </x:c>
      <x:c r="K132" s="25" t="str">
        <x:v>https://books.google.com/ngrams/json?content=anxiety&amp;year_start=1842&amp;year_end=2022&amp;corpus=eng&amp;smoothing=0&amp;case_insensitive=true</x:v>
      </x:c>
      <x:c r="L132" s="49" t="str">
        <x:v>application/json (cached)</x:v>
      </x:c>
    </x:row>
    <x:row r="133" ht="19" customHeight="1">
      <x:c r="A133" s="23" t="str">
        <x:v>FT-Q-V01-132</x:v>
      </x:c>
      <x:c r="B133" s="24" t="str">
        <x:v>danger</x:v>
      </x:c>
      <x:c r="C133" s="25" t="str">
        <x:v>SUCCEEDED</x:v>
      </x:c>
      <x:c r="D133" s="25" t="str">
        <x:v>0</x:v>
      </x:c>
      <x:c r="E133" s="25" t="str">
        <x:v>181</x:v>
      </x:c>
      <x:c r="F133" s="25" t="str">
        <x:v>danger (All)</x:v>
      </x:c>
      <x:c r="G133" s="24" t="str">
        <x:v>data/fear-temperature/ngram/raw/d1a6b726471d63c6003c4338e335ea4b6d0c7bf5b03bfb510d338867d19b8d4d.json</x:v>
      </x:c>
      <x:c r="H133" s="24" t="str">
        <x:v>2798643f29a502d3ac9f4d9ee18afc1c63a61d3462775d430bd667cbd935deb8</x:v>
      </x:c>
      <x:c r="I133" s="24" t="str"/>
      <x:c r="J133" s="57" t="n">
        <x:v>46260.108310185184</x:v>
      </x:c>
      <x:c r="K133" s="25" t="str">
        <x:v>https://books.google.com/ngrams/json?content=danger&amp;year_start=1842&amp;year_end=2022&amp;corpus=eng&amp;smoothing=0&amp;case_insensitive=true</x:v>
      </x:c>
      <x:c r="L133" s="49" t="str">
        <x:v>application/json (cached)</x:v>
      </x:c>
    </x:row>
    <x:row r="134" ht="19" customHeight="1">
      <x:c r="A134" s="23" t="str">
        <x:v>FT-Q-V01-133</x:v>
      </x:c>
      <x:c r="B134" s="24" t="str">
        <x:v>threat</x:v>
      </x:c>
      <x:c r="C134" s="25" t="str">
        <x:v>SUCCEEDED</x:v>
      </x:c>
      <x:c r="D134" s="25" t="str">
        <x:v>0</x:v>
      </x:c>
      <x:c r="E134" s="25" t="str">
        <x:v>181</x:v>
      </x:c>
      <x:c r="F134" s="25" t="str">
        <x:v>threat (All)</x:v>
      </x:c>
      <x:c r="G134" s="24" t="str">
        <x:v>data/fear-temperature/ngram/raw/66e5485b36228b44bc5b3b9a522cc35739a50a73b1b41bb1439c84b0c452c1bb.json</x:v>
      </x:c>
      <x:c r="H134" s="24" t="str">
        <x:v>d4e9a09fe712913bb38c9f904d163f0a87c3210a5f00e39de622e3a963854923</x:v>
      </x:c>
      <x:c r="I134" s="24" t="str"/>
      <x:c r="J134" s="57" t="n">
        <x:v>46260.10832175926</x:v>
      </x:c>
      <x:c r="K134" s="25" t="str">
        <x:v>https://books.google.com/ngrams/json?content=threat&amp;year_start=1842&amp;year_end=2022&amp;corpus=eng&amp;smoothing=0&amp;case_insensitive=true</x:v>
      </x:c>
      <x:c r="L134" s="49" t="str">
        <x:v>application/json (cached)</x:v>
      </x:c>
    </x:row>
    <x:row r="135" ht="19" customHeight="1">
      <x:c r="A135" s="23" t="str">
        <x:v>FT-Q-V01-134</x:v>
      </x:c>
      <x:c r="B135" s="24" t="str">
        <x:v>risk</x:v>
      </x:c>
      <x:c r="C135" s="25" t="str">
        <x:v>SUCCEEDED</x:v>
      </x:c>
      <x:c r="D135" s="25" t="str">
        <x:v>0</x:v>
      </x:c>
      <x:c r="E135" s="25" t="str">
        <x:v>181</x:v>
      </x:c>
      <x:c r="F135" s="25" t="str">
        <x:v>risk (All)</x:v>
      </x:c>
      <x:c r="G135" s="24" t="str">
        <x:v>data/fear-temperature/ngram/raw/a81a666e861de5f55d081039af6b25250d329cbe655211e018749975fe62522d.json</x:v>
      </x:c>
      <x:c r="H135" s="24" t="str">
        <x:v>168c859c89970fd061e22f7559c0116c0e7d9fc506abe53de55011c8f38e484c</x:v>
      </x:c>
      <x:c r="I135" s="24" t="str"/>
      <x:c r="J135" s="57" t="n">
        <x:v>46260.10833333333</x:v>
      </x:c>
      <x:c r="K135" s="25" t="str">
        <x:v>https://books.google.com/ngrams/json?content=risk&amp;year_start=1842&amp;year_end=2022&amp;corpus=eng&amp;smoothing=0&amp;case_insensitive=true</x:v>
      </x:c>
      <x:c r="L135" s="49" t="str">
        <x:v>application/json (cached)</x:v>
      </x:c>
    </x:row>
    <x:row r="136" ht="19" customHeight="1">
      <x:c r="A136" s="23" t="str">
        <x:v>FT-Q-V01-135</x:v>
      </x:c>
      <x:c r="B136" s="24" t="str">
        <x:v>crisis</x:v>
      </x:c>
      <x:c r="C136" s="25" t="str">
        <x:v>SUCCEEDED</x:v>
      </x:c>
      <x:c r="D136" s="25" t="str">
        <x:v>0</x:v>
      </x:c>
      <x:c r="E136" s="25" t="str">
        <x:v>181</x:v>
      </x:c>
      <x:c r="F136" s="25" t="str">
        <x:v>crisis (All)</x:v>
      </x:c>
      <x:c r="G136" s="24" t="str">
        <x:v>data/fear-temperature/ngram/raw/51f107a3bb3ac7010decceb94d2ae2bf077c7cdba099bdf39d277bd64b1a1a9e.json</x:v>
      </x:c>
      <x:c r="H136" s="24" t="str">
        <x:v>eef50ec5ab4384c575d09c91f3c82ab9369fb467df37b33e738f7fd377e8e1cd</x:v>
      </x:c>
      <x:c r="I136" s="24" t="str"/>
      <x:c r="J136" s="57" t="n">
        <x:v>46260.10833333333</x:v>
      </x:c>
      <x:c r="K136" s="25" t="str">
        <x:v>https://books.google.com/ngrams/json?content=crisis&amp;year_start=1842&amp;year_end=2022&amp;corpus=eng&amp;smoothing=0&amp;case_insensitive=true</x:v>
      </x:c>
      <x:c r="L136" s="49" t="str">
        <x:v>application/json (cached)</x:v>
      </x:c>
    </x:row>
    <x:row r="137" ht="19" customHeight="1">
      <x:c r="A137" s="23" t="str">
        <x:v>FT-Q-V01-136</x:v>
      </x:c>
      <x:c r="B137" s="24" t="str">
        <x:v>emergency</x:v>
      </x:c>
      <x:c r="C137" s="25" t="str">
        <x:v>SUCCEEDED</x:v>
      </x:c>
      <x:c r="D137" s="25" t="str">
        <x:v>0</x:v>
      </x:c>
      <x:c r="E137" s="25" t="str">
        <x:v>181</x:v>
      </x:c>
      <x:c r="F137" s="25" t="str">
        <x:v>emergency (All)</x:v>
      </x:c>
      <x:c r="G137" s="24" t="str">
        <x:v>data/fear-temperature/ngram/raw/c5162a664882434d77d4c5d3bffd7a896165ae13d26ba78263febba6d337d60e.json</x:v>
      </x:c>
      <x:c r="H137" s="24" t="str">
        <x:v>968f2fe32e398ed2870e5565b7c3721b7cd995b428e55bf57a0c4c7d82449020</x:v>
      </x:c>
      <x:c r="I137" s="24" t="str"/>
      <x:c r="J137" s="57" t="n">
        <x:v>46260.10834490741</x:v>
      </x:c>
      <x:c r="K137" s="25" t="str">
        <x:v>https://books.google.com/ngrams/json?content=emergency&amp;year_start=1842&amp;year_end=2022&amp;corpus=eng&amp;smoothing=0&amp;case_insensitive=true</x:v>
      </x:c>
      <x:c r="L137" s="49" t="str">
        <x:v>application/json (cached)</x:v>
      </x:c>
    </x:row>
    <x:row r="138" ht="19" customHeight="1">
      <x:c r="A138" s="23" t="str">
        <x:v>FT-Q-V01-137</x:v>
      </x:c>
      <x:c r="B138" s="24" t="str">
        <x:v>mortality</x:v>
      </x:c>
      <x:c r="C138" s="25" t="str">
        <x:v>SUCCEEDED</x:v>
      </x:c>
      <x:c r="D138" s="25" t="str">
        <x:v>0</x:v>
      </x:c>
      <x:c r="E138" s="25" t="str">
        <x:v>181</x:v>
      </x:c>
      <x:c r="F138" s="25" t="str">
        <x:v>mortality (All)</x:v>
      </x:c>
      <x:c r="G138" s="24" t="str">
        <x:v>data/fear-temperature/ngram/raw/8e9bd7f9f8db93306a8194efc16e753c9591ba2cf84f600e436012188897e8db.json</x:v>
      </x:c>
      <x:c r="H138" s="24" t="str">
        <x:v>ccda095640e21dcd5c4c9df8006327a78909f3c8c290489ecac073a6876582f9</x:v>
      </x:c>
      <x:c r="I138" s="24" t="str"/>
      <x:c r="J138" s="57" t="n">
        <x:v>46260.10835648148</x:v>
      </x:c>
      <x:c r="K138" s="25" t="str">
        <x:v>https://books.google.com/ngrams/json?content=mortality&amp;year_start=1842&amp;year_end=2022&amp;corpus=eng&amp;smoothing=0&amp;case_insensitive=true</x:v>
      </x:c>
      <x:c r="L138" s="49" t="str">
        <x:v>application/json (cached)</x:v>
      </x:c>
    </x:row>
    <x:row r="139" ht="19" customHeight="1">
      <x:c r="A139" s="23" t="str">
        <x:v>FT-Q-V01-138</x:v>
      </x:c>
      <x:c r="B139" s="24" t="str">
        <x:v>heat of the irons</x:v>
      </x:c>
      <x:c r="C139" s="25" t="str">
        <x:v>SUCCEEDED</x:v>
      </x:c>
      <x:c r="D139" s="25" t="str">
        <x:v>0</x:v>
      </x:c>
      <x:c r="E139" s="25" t="str">
        <x:v>181</x:v>
      </x:c>
      <x:c r="F139" s="25" t="str">
        <x:v>heat of the irons</x:v>
      </x:c>
      <x:c r="G139" s="24" t="str">
        <x:v>data/fear-temperature/ngram/raw/6e0dd6ba68158e1e452d6bca05216b6ea57e3abfb75c80405a05fbd06153ad7a.json</x:v>
      </x:c>
      <x:c r="H139" s="24" t="str">
        <x:v>e70f9af32f32152fad7f01517ef4f74bdf5469052a7d7518898e532344180515</x:v>
      </x:c>
      <x:c r="I139" s="24" t="str"/>
      <x:c r="J139" s="57" t="n">
        <x:v>46260.10836805555</x:v>
      </x:c>
      <x:c r="K139" s="25" t="str">
        <x:v>https://books.google.com/ngrams/json?content=heat+of+the+irons&amp;year_start=1842&amp;year_end=2022&amp;corpus=eng&amp;smoothing=0&amp;case_insensitive=true</x:v>
      </x:c>
      <x:c r="L139" s="49" t="str">
        <x:v>application/json (cached)</x:v>
      </x:c>
    </x:row>
    <x:row r="140" ht="19" customHeight="1">
      <x:c r="A140" s="23" t="str">
        <x:v>FT-Q-V01-139</x:v>
      </x:c>
      <x:c r="B140" s="24" t="str">
        <x:v>heat wave</x:v>
      </x:c>
      <x:c r="C140" s="25" t="str">
        <x:v>SUCCEEDED</x:v>
      </x:c>
      <x:c r="D140" s="25" t="str">
        <x:v>0</x:v>
      </x:c>
      <x:c r="E140" s="25" t="str">
        <x:v>181</x:v>
      </x:c>
      <x:c r="F140" s="25" t="str">
        <x:v>heat wave (All)</x:v>
      </x:c>
      <x:c r="G140" s="24" t="str">
        <x:v>data/fear-temperature/ngram/raw/306e212ec9cdb980f5e1f91f3e6734e7998c99820aa93fd4a8109533d1676f5a.json</x:v>
      </x:c>
      <x:c r="H140" s="24" t="str">
        <x:v>2200e466cdeea1c919a9efd658599043ca1621d3175da78ab13e6b29984795b5</x:v>
      </x:c>
      <x:c r="I140" s="24" t="str"/>
      <x:c r="J140" s="57" t="n">
        <x:v>46260.10731481481</x:v>
      </x:c>
      <x:c r="K140" s="25" t="str">
        <x:v>https://books.google.com/ngrams/json?content=heat+wave&amp;year_start=1842&amp;year_end=2022&amp;corpus=eng&amp;smoothing=0&amp;case_insensitive=true</x:v>
      </x:c>
      <x:c r="L140" s="49" t="str">
        <x:v>application/json (cached)</x:v>
      </x:c>
    </x:row>
    <x:row r="141" ht="19" customHeight="1">
      <x:c r="A141" s="23" t="str">
        <x:v>FT-Q-V01-140</x:v>
      </x:c>
      <x:c r="B141" s="24" t="str">
        <x:v>grave threats</x:v>
      </x:c>
      <x:c r="C141" s="25" t="str">
        <x:v>SUCCEEDED</x:v>
      </x:c>
      <x:c r="D141" s="25" t="str">
        <x:v>0</x:v>
      </x:c>
      <x:c r="E141" s="25" t="str">
        <x:v>181</x:v>
      </x:c>
      <x:c r="F141" s="25" t="str">
        <x:v>grave threats (All)</x:v>
      </x:c>
      <x:c r="G141" s="24" t="str">
        <x:v>data/fear-temperature/ngram/raw/199a2de4dde46b1f28e8d82214a736fd2943900d1124288ca73d431bc50f76b4.json</x:v>
      </x:c>
      <x:c r="H141" s="24" t="str">
        <x:v>8d4655588a182f997bbb8205967ddb29f2cbdeef3114c2c0b348af4282c5198a</x:v>
      </x:c>
      <x:c r="I141" s="24" t="str"/>
      <x:c r="J141" s="57" t="n">
        <x:v>46260.10837962963</x:v>
      </x:c>
      <x:c r="K141" s="25" t="str">
        <x:v>https://books.google.com/ngrams/json?content=grave+threats&amp;year_start=1842&amp;year_end=2022&amp;corpus=eng&amp;smoothing=0&amp;case_insensitive=true</x:v>
      </x:c>
      <x:c r="L141" s="49" t="str">
        <x:v>application/json (cached)</x:v>
      </x:c>
    </x:row>
    <x:row r="142" ht="19" customHeight="1">
      <x:c r="A142" s="23" t="str">
        <x:v>FT-Q-V01-141</x:v>
      </x:c>
      <x:c r="B142" s="24" t="str">
        <x:v>Be Worried. Be Very Worried.</x:v>
      </x:c>
      <x:c r="C142" s="25" t="str">
        <x:v>NOT_RUN_INCOMPATIBLE</x:v>
      </x:c>
      <x:c r="D142" s="25" t="str">
        <x:v>0</x:v>
      </x:c>
      <x:c r="E142" s="25" t="str">
        <x:v>0</x:v>
      </x:c>
      <x:c r="F142" s="25" t="str"/>
      <x:c r="G142" s="24" t="str"/>
      <x:c r="H142" s="24" t="str"/>
      <x:c r="I142" s="24" t="str">
        <x:v>Sentence-level punctuation makes this a corpus-context rule, not an Ngram phrase.</x:v>
      </x:c>
      <x:c r="J142" s="57" t="str"/>
      <x:c r="K142" s="25" t="str"/>
      <x:c r="L142" s="49" t="str"/>
    </x:row>
    <x:row r="143" ht="19" customHeight="1">
      <x:c r="A143" s="23" t="str">
        <x:v>FT-Q-V01-142</x:v>
      </x:c>
      <x:c r="B143" s="24" t="str">
        <x:v>comprehensive risk assessment and management</x:v>
      </x:c>
      <x:c r="C143" s="25" t="str">
        <x:v>SUCCEEDED</x:v>
      </x:c>
      <x:c r="D143" s="25" t="str">
        <x:v>0</x:v>
      </x:c>
      <x:c r="E143" s="25" t="str">
        <x:v>181</x:v>
      </x:c>
      <x:c r="F143" s="25" t="str">
        <x:v>comprehensive risk assessment and management (All)</x:v>
      </x:c>
      <x:c r="G143" s="24" t="str">
        <x:v>data/fear-temperature/ngram/raw/98133fcfa53e45c78d53cec796f58bcdaf049d4f7b7d689a9b32d8a79abe6afd.json</x:v>
      </x:c>
      <x:c r="H143" s="24" t="str">
        <x:v>148c6f17b3b5559f195af99bb9bc120439f5e7798335a76ec6e15b12c1b592a9</x:v>
      </x:c>
      <x:c r="I143" s="24" t="str"/>
      <x:c r="J143" s="57" t="n">
        <x:v>46260.10839120371</x:v>
      </x:c>
      <x:c r="K143" s="25" t="str">
        <x:v>https://books.google.com/ngrams/json?content=comprehensive+risk+assessment+and+management&amp;year_start=1842&amp;year_end=2022&amp;corpus=eng&amp;smoothing=0&amp;case_insensitive=true</x:v>
      </x:c>
      <x:c r="L143" s="49" t="str">
        <x:v>application/json (cached)</x:v>
      </x:c>
    </x:row>
    <x:row r="144" ht="19" customHeight="1">
      <x:c r="A144" s="28" t="str">
        <x:v>FT-Q-V01-143</x:v>
      </x:c>
      <x:c r="B144" s="29" t="str">
        <x:v>guilt</x:v>
      </x:c>
      <x:c r="C144" s="30" t="str">
        <x:v>SUCCEEDED</x:v>
      </x:c>
      <x:c r="D144" s="30" t="str">
        <x:v>0</x:v>
      </x:c>
      <x:c r="E144" s="30" t="str">
        <x:v>181</x:v>
      </x:c>
      <x:c r="F144" s="30" t="str">
        <x:v>guilt (All)</x:v>
      </x:c>
      <x:c r="G144" s="29" t="str">
        <x:v>data/fear-temperature/ngram/raw/5b4a6bef176c04f9daabd6c22aca47c6b2abebd8c7e08193bc29846a6873320a.json</x:v>
      </x:c>
      <x:c r="H144" s="29" t="str">
        <x:v>07717c3535ccb7abacd2ec31041b02f16bfe9f8f020853938c5ee04674893ff0</x:v>
      </x:c>
      <x:c r="I144" s="29" t="str"/>
      <x:c r="J144" s="58" t="n">
        <x:v>46260.10839120371</x:v>
      </x:c>
      <x:c r="K144" s="30" t="str">
        <x:v>https://books.google.com/ngrams/json?content=guilt&amp;year_start=1842&amp;year_end=2022&amp;corpus=eng&amp;smoothing=0&amp;case_insensitive=true</x:v>
      </x:c>
      <x:c r="L144" s="50" t="str">
        <x:v>application/json (cached)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24" hidden="0" customWidth="1"/>
  </x:cols>
  <x:sheetData>
    <x:row r="1" ht="34" customHeight="1">
      <x:c r="A1" s="12" t="str">
        <x:v>anchor_id</x:v>
      </x:c>
      <x:c r="B1" s="12" t="str">
        <x:v>anchor_label</x:v>
      </x:c>
      <x:c r="C1" s="12" t="str">
        <x:v>voice_code</x:v>
      </x:c>
      <x:c r="D1" s="12" t="str">
        <x:v>coverage_status</x:v>
      </x:c>
      <x:c r="E1" s="12" t="str">
        <x:v>representative_high_value_lexical_forms</x:v>
      </x:c>
      <x:c r="F1" s="12" t="str">
        <x:v>source_evidence_note</x:v>
      </x:c>
    </x:row>
    <x:row r="2" ht="19" customHeight="1">
      <x:c r="A2" s="18" t="str">
        <x:v>FT-A1842</x:v>
      </x:c>
      <x:c r="B2" s="20" t="str">
        <x:v>1842</x:v>
      </x:c>
      <x:c r="C2" s="20" t="str">
        <x:v>V1</x:v>
      </x:c>
      <x:c r="D2" s="20" t="str">
        <x:v>STRONG</x:v>
      </x:c>
      <x:c r="E2" s="21" t="str">
        <x:v>wet bulb temperature; mean temperature; meteorological observations</x:v>
      </x:c>
      <x:c r="F2" s="22" t="str">
        <x:v>Royal Society Colaba and Ross observation records; measurement-centred.</x:v>
      </x:c>
    </x:row>
    <x:row r="3" ht="19" customHeight="1">
      <x:c r="A3" s="23" t="str">
        <x:v>FT-A1842</x:v>
      </x:c>
      <x:c r="B3" s="25" t="str">
        <x:v>1842</x:v>
      </x:c>
      <x:c r="C3" s="25" t="str">
        <x:v>V2</x:v>
      </x:c>
      <x:c r="D3" s="25" t="str">
        <x:v>THIN_CONTEXTUAL</x:v>
      </x:c>
      <x:c r="E3" s="26" t="str">
        <x:v>changes of temperature; sickness and mortality</x:v>
      </x:c>
      <x:c r="F3" s="27" t="str">
        <x:v>Institutional inquiry context is present, but substantive worker testimony remains V5.</x:v>
      </x:c>
    </x:row>
    <x:row r="4" ht="19" customHeight="1">
      <x:c r="A4" s="23" t="str">
        <x:v>FT-A1842</x:v>
      </x:c>
      <x:c r="B4" s="25" t="str">
        <x:v>1842</x:v>
      </x:c>
      <x:c r="C4" s="25" t="str">
        <x:v>V3</x:v>
      </x:c>
      <x:c r="D4" s="25" t="str">
        <x:v>THIN_CONTEXTUAL</x:v>
      </x:c>
      <x:c r="E4" s="26" t="str">
        <x:v>alarm to the public</x:v>
      </x:c>
      <x:c r="F4" s="27" t="str">
        <x:v>Possible/negated public-health formulation; not proof that a public reported alarm.</x:v>
      </x:c>
    </x:row>
    <x:row r="5" ht="19" customHeight="1">
      <x:c r="A5" s="23" t="str">
        <x:v>FT-A1842</x:v>
      </x:c>
      <x:c r="B5" s="25" t="str">
        <x:v>1842</x:v>
      </x:c>
      <x:c r="C5" s="25" t="str">
        <x:v>V4</x:v>
      </x:c>
      <x:c r="D5" s="25" t="str">
        <x:v>NOT_LOCATED</x:v>
      </x:c>
      <x:c r="E5" s="26" t="str"/>
      <x:c r="F5" s="27" t="str">
        <x:v>No defensible organised-civic stratum located; cell intentionally unfilled.</x:v>
      </x:c>
    </x:row>
    <x:row r="6" ht="19" customHeight="1">
      <x:c r="A6" s="23" t="str">
        <x:v>FT-A1842</x:v>
      </x:c>
      <x:c r="B6" s="25" t="str">
        <x:v>1842</x:v>
      </x:c>
      <x:c r="C6" s="25" t="str">
        <x:v>V5</x:v>
      </x:c>
      <x:c r="D6" s="25" t="str">
        <x:v>ATTESTED</x:v>
      </x:c>
      <x:c r="E6" s="26" t="str">
        <x:v>heat of the irons; most suffocating; faint away; depressing effect</x:v>
      </x:c>
      <x:c r="F6" s="27" t="str">
        <x:v>Worker testimony and correspondence show embodied heat experience, not climate fear.</x:v>
      </x:c>
    </x:row>
    <x:row r="7" ht="19" customHeight="1">
      <x:c r="A7" s="23" t="str">
        <x:v>FT-A1938</x:v>
      </x:c>
      <x:c r="B7" s="25" t="str">
        <x:v>1938</x:v>
      </x:c>
      <x:c r="C7" s="25" t="str">
        <x:v>V1</x:v>
      </x:c>
      <x:c r="D7" s="25" t="str">
        <x:v>STRONG</x:v>
      </x:c>
      <x:c r="E7" s="26" t="str">
        <x:v>artificial production of carbon dioxide; mean temperature; radiation absorption</x:v>
      </x:c>
      <x:c r="F7" s="27" t="str">
        <x:v>Callendar causal-science configuration.</x:v>
      </x:c>
    </x:row>
    <x:row r="8" ht="19" customHeight="1">
      <x:c r="A8" s="23" t="str">
        <x:v>FT-A1938</x:v>
      </x:c>
      <x:c r="B8" s="25" t="str">
        <x:v>1938</x:v>
      </x:c>
      <x:c r="C8" s="25" t="str">
        <x:v>V2</x:v>
      </x:c>
      <x:c r="D8" s="25" t="str">
        <x:v>THIN_CONTEXTUAL</x:v>
      </x:c>
      <x:c r="E8" s="26" t="str">
        <x:v>meteorological stations</x:v>
      </x:c>
      <x:c r="F8" s="27" t="str">
        <x:v>Official/institutional material is secondary to the scientific anchor.</x:v>
      </x:c>
    </x:row>
    <x:row r="9" ht="19" customHeight="1">
      <x:c r="A9" s="23" t="str">
        <x:v>FT-A1938</x:v>
      </x:c>
      <x:c r="B9" s="25" t="str">
        <x:v>1938</x:v>
      </x:c>
      <x:c r="C9" s="25" t="str">
        <x:v>V3</x:v>
      </x:c>
      <x:c r="D9" s="25" t="str">
        <x:v>ATTESTED</x:v>
      </x:c>
      <x:c r="E9" s="26" t="str">
        <x:v>heat wave; scorching westerly wind; pitiless sun; unbearable heat</x:v>
      </x:c>
      <x:c r="F9" s="27" t="str">
        <x:v>Heat-event journalism, partly from secondary reproduction; not reception of Callendar.</x:v>
      </x:c>
    </x:row>
    <x:row r="10" ht="19" customHeight="1">
      <x:c r="A10" s="23" t="str">
        <x:v>FT-A1938</x:v>
      </x:c>
      <x:c r="B10" s="25" t="str">
        <x:v>1938</x:v>
      </x:c>
      <x:c r="C10" s="25" t="str">
        <x:v>V4</x:v>
      </x:c>
      <x:c r="D10" s="25" t="str">
        <x:v>NOT_LOCATED</x:v>
      </x:c>
      <x:c r="E10" s="26" t="str"/>
      <x:c r="F10" s="27" t="str">
        <x:v>No defensible organised-civic stratum located; cell intentionally unfilled.</x:v>
      </x:c>
    </x:row>
    <x:row r="11" ht="19" customHeight="1">
      <x:c r="A11" s="23" t="str">
        <x:v>FT-A1938</x:v>
      </x:c>
      <x:c r="B11" s="25" t="str">
        <x:v>1938</x:v>
      </x:c>
      <x:c r="C11" s="25" t="str">
        <x:v>V5</x:v>
      </x:c>
      <x:c r="D11" s="25" t="str">
        <x:v>NOT_LOCATED</x:v>
      </x:c>
      <x:c r="E11" s="26" t="str"/>
      <x:c r="F11" s="27" t="str">
        <x:v>No strong exact-year lay reception of Callendar located.</x:v>
      </x:c>
    </x:row>
    <x:row r="12" ht="19" customHeight="1">
      <x:c r="A12" s="23" t="str">
        <x:v>FT-A1988</x:v>
      </x:c>
      <x:c r="B12" s="25" t="str">
        <x:v>1988</x:v>
      </x:c>
      <x:c r="C12" s="25" t="str">
        <x:v>V1</x:v>
      </x:c>
      <x:c r="D12" s="25" t="str">
        <x:v>STRONG</x:v>
      </x:c>
      <x:c r="E12" s="26" t="str">
        <x:v>greenhouse effect; global warming; global temperature; regional heat waves</x:v>
      </x:c>
      <x:c r="F12" s="27" t="str">
        <x:v>Hansen scientific work/testimony.</x:v>
      </x:c>
    </x:row>
    <x:row r="13" ht="19" customHeight="1">
      <x:c r="A13" s="23" t="str">
        <x:v>FT-A1988</x:v>
      </x:c>
      <x:c r="B13" s="25" t="str">
        <x:v>1988</x:v>
      </x:c>
      <x:c r="C13" s="25" t="str">
        <x:v>V2</x:v>
      </x:c>
      <x:c r="D13" s="25" t="str">
        <x:v>STRONG</x:v>
      </x:c>
      <x:c r="E13" s="26" t="str">
        <x:v>global security; major threat; impending crisis; harmful consequences</x:v>
      </x:c>
      <x:c r="F13" s="27" t="str">
        <x:v>Toronto institutional threat/security framing.</x:v>
      </x:c>
    </x:row>
    <x:row r="14" ht="19" customHeight="1">
      <x:c r="A14" s="23" t="str">
        <x:v>FT-A1988</x:v>
      </x:c>
      <x:c r="B14" s="25" t="str">
        <x:v>1988</x:v>
      </x:c>
      <x:c r="C14" s="25" t="str">
        <x:v>V3</x:v>
      </x:c>
      <x:c r="D14" s="25" t="str">
        <x:v>ATTESTED</x:v>
      </x:c>
      <x:c r="E14" s="26" t="str">
        <x:v>Global Warming Has Begun; too much carbon dioxide is dangerous</x:v>
      </x:c>
      <x:c r="F14" s="27" t="str">
        <x:v>Public-facing journalism; does not substitute for V5 evidence.</x:v>
      </x:c>
    </x:row>
    <x:row r="15" ht="19" customHeight="1">
      <x:c r="A15" s="23" t="str">
        <x:v>FT-A1988</x:v>
      </x:c>
      <x:c r="B15" s="25" t="str">
        <x:v>1988</x:v>
      </x:c>
      <x:c r="C15" s="25" t="str">
        <x:v>V4</x:v>
      </x:c>
      <x:c r="D15" s="25" t="str">
        <x:v>THIN_NOT_ALLOCATED</x:v>
      </x:c>
      <x:c r="E15" s="26" t="str"/>
      <x:c r="F15" s="27" t="str">
        <x:v>No strong exact-year V4 passage allocation in the current pilot plan.</x:v>
      </x:c>
    </x:row>
    <x:row r="16" ht="19" customHeight="1">
      <x:c r="A16" s="23" t="str">
        <x:v>FT-A1988</x:v>
      </x:c>
      <x:c r="B16" s="25" t="str">
        <x:v>1988</x:v>
      </x:c>
      <x:c r="C16" s="25" t="str">
        <x:v>V5</x:v>
      </x:c>
      <x:c r="D16" s="25" t="str">
        <x:v>NOT_LOCATED</x:v>
      </x:c>
      <x:c r="E16" s="26" t="str"/>
      <x:c r="F16" s="27" t="str">
        <x:v>Exact-year direct-public fear/worry/anxiety evidence remains weak/not located.</x:v>
      </x:c>
    </x:row>
    <x:row r="17" ht="19" customHeight="1">
      <x:c r="A17" s="23" t="str">
        <x:v>FT-A0607</x:v>
      </x:c>
      <x:c r="B17" s="25" t="str">
        <x:v>2006–2007</x:v>
      </x:c>
      <x:c r="C17" s="25" t="str">
        <x:v>V1</x:v>
      </x:c>
      <x:c r="D17" s="25" t="str">
        <x:v>STRONG</x:v>
      </x:c>
      <x:c r="E17" s="26" t="str">
        <x:v>warming of the climate system; unequivocal; temperature increase</x:v>
      </x:c>
      <x:c r="F17" s="27" t="str">
        <x:v>IPCC scientific assessment language.</x:v>
      </x:c>
    </x:row>
    <x:row r="18" ht="19" customHeight="1">
      <x:c r="A18" s="23" t="str">
        <x:v>FT-A0607</x:v>
      </x:c>
      <x:c r="B18" s="25" t="str">
        <x:v>2006–2007</x:v>
      </x:c>
      <x:c r="C18" s="25" t="str">
        <x:v>V2</x:v>
      </x:c>
      <x:c r="D18" s="25" t="str">
        <x:v>STRONG</x:v>
      </x:c>
      <x:c r="E18" s="26" t="str">
        <x:v>serious global threat; costs and risks; damage</x:v>
      </x:c>
      <x:c r="F18" s="27" t="str">
        <x:v>Stern and institutional risk/governance framing.</x:v>
      </x:c>
    </x:row>
    <x:row r="19" ht="19" customHeight="1">
      <x:c r="A19" s="23" t="str">
        <x:v>FT-A0607</x:v>
      </x:c>
      <x:c r="B19" s="25" t="str">
        <x:v>2006–2007</x:v>
      </x:c>
      <x:c r="C19" s="25" t="str">
        <x:v>V3</x:v>
      </x:c>
      <x:c r="D19" s="25" t="str">
        <x:v>ATTESTED</x:v>
      </x:c>
      <x:c r="E19" s="26" t="str">
        <x:v>Be Worried. Be Very Worried.; global warming</x:v>
      </x:c>
      <x:c r="F19" s="27" t="str">
        <x:v>Media-prescribed affect; not evidence readers felt worried.</x:v>
      </x:c>
    </x:row>
    <x:row r="20" ht="19" customHeight="1">
      <x:c r="A20" s="23" t="str">
        <x:v>FT-A0607</x:v>
      </x:c>
      <x:c r="B20" s="25" t="str">
        <x:v>2006–2007</x:v>
      </x:c>
      <x:c r="C20" s="25" t="str">
        <x:v>V4</x:v>
      </x:c>
      <x:c r="D20" s="25" t="str">
        <x:v>ATTESTED</x:v>
      </x:c>
      <x:c r="E20" s="26" t="str">
        <x:v>dangerous climate change; serious negative effects</x:v>
      </x:c>
      <x:c r="F20" s="27" t="str">
        <x:v>Organised civic/advocacy framing.</x:v>
      </x:c>
    </x:row>
    <x:row r="21" ht="19" customHeight="1">
      <x:c r="A21" s="23" t="str">
        <x:v>FT-A0607</x:v>
      </x:c>
      <x:c r="B21" s="25" t="str">
        <x:v>2006–2007</x:v>
      </x:c>
      <x:c r="C21" s="25" t="str">
        <x:v>V5</x:v>
      </x:c>
      <x:c r="D21" s="25" t="str">
        <x:v>ATTESTED_ELICITED</x:v>
      </x:c>
      <x:c r="E21" s="26" t="str">
        <x:v>personally worry; worry a great deal; urgent threat</x:v>
      </x:c>
      <x:c r="F21" s="27" t="str">
        <x:v>Survey/instrument evidence; participant endorsement is E3.</x:v>
      </x:c>
    </x:row>
    <x:row r="22" ht="19" customHeight="1">
      <x:c r="A22" s="23" t="str">
        <x:v>FT-A2015</x:v>
      </x:c>
      <x:c r="B22" s="25" t="str">
        <x:v>2015</x:v>
      </x:c>
      <x:c r="C22" s="25" t="str">
        <x:v>V1</x:v>
      </x:c>
      <x:c r="D22" s="25" t="str">
        <x:v>THIN_CONTEXTUAL</x:v>
      </x:c>
      <x:c r="E22" s="26" t="str">
        <x:v>global average temperature; climate change</x:v>
      </x:c>
      <x:c r="F22" s="27" t="str">
        <x:v>Scientific context supports governance thresholds but is not the dominant documentary voice.</x:v>
      </x:c>
    </x:row>
    <x:row r="23" ht="19" customHeight="1">
      <x:c r="A23" s="23" t="str">
        <x:v>FT-A2015</x:v>
      </x:c>
      <x:c r="B23" s="25" t="str">
        <x:v>2015</x:v>
      </x:c>
      <x:c r="C23" s="25" t="str">
        <x:v>V2</x:v>
      </x:c>
      <x:c r="D23" s="25" t="str">
        <x:v>STRONG</x:v>
      </x:c>
      <x:c r="E23" s="26" t="str">
        <x:v>well below 2°C; 1.5°C; common concern of humankind; loss and damage</x:v>
      </x:c>
      <x:c r="F23" s="27" t="str">
        <x:v>Paris legal/governance language; common concern is not personal affect.</x:v>
      </x:c>
    </x:row>
    <x:row r="24" ht="19" customHeight="1">
      <x:c r="A24" s="23" t="str">
        <x:v>FT-A2015</x:v>
      </x:c>
      <x:c r="B24" s="25" t="str">
        <x:v>2015</x:v>
      </x:c>
      <x:c r="C24" s="25" t="str">
        <x:v>V3</x:v>
      </x:c>
      <x:c r="D24" s="25" t="str">
        <x:v>ATTESTED</x:v>
      </x:c>
      <x:c r="E24" s="26" t="str">
        <x:v>extreme heat; climate change</x:v>
      </x:c>
      <x:c r="F24" s="27" t="str">
        <x:v>Public-facing circulation exists but is not the anchor's strongest evidence stratum.</x:v>
      </x:c>
    </x:row>
    <x:row r="25" ht="19" customHeight="1">
      <x:c r="A25" s="23" t="str">
        <x:v>FT-A2015</x:v>
      </x:c>
      <x:c r="B25" s="25" t="str">
        <x:v>2015</x:v>
      </x:c>
      <x:c r="C25" s="25" t="str">
        <x:v>V4</x:v>
      </x:c>
      <x:c r="D25" s="25" t="str">
        <x:v>ATTESTED</x:v>
      </x:c>
      <x:c r="E25" s="26" t="str">
        <x:v>climate justice; red line; We are nature defending itself</x:v>
      </x:c>
      <x:c r="F25" s="27" t="str">
        <x:v>COP21 mobilisation and protest.</x:v>
      </x:c>
    </x:row>
    <x:row r="26" ht="19" customHeight="1">
      <x:c r="A26" s="23" t="str">
        <x:v>FT-A2015</x:v>
      </x:c>
      <x:c r="B26" s="25" t="str">
        <x:v>2015</x:v>
      </x:c>
      <x:c r="C26" s="25" t="str">
        <x:v>V5</x:v>
      </x:c>
      <x:c r="D26" s="25" t="str">
        <x:v>ATTESTED_ELICITED</x:v>
      </x:c>
      <x:c r="E26" s="26" t="str">
        <x:v>very worried; serious problem; harm them personally</x:v>
      </x:c>
      <x:c r="F26" s="27" t="str">
        <x:v>Survey-elicited public appraisal.</x:v>
      </x:c>
    </x:row>
    <x:row r="27" ht="19" customHeight="1">
      <x:c r="A27" s="23" t="str">
        <x:v>FT-A2022</x:v>
      </x:c>
      <x:c r="B27" s="25" t="str">
        <x:v>2022</x:v>
      </x:c>
      <x:c r="C27" s="25" t="str">
        <x:v>V1</x:v>
      </x:c>
      <x:c r="D27" s="25" t="str">
        <x:v>STRONG</x:v>
      </x:c>
      <x:c r="E27" s="26" t="str">
        <x:v>climate anxiety; eco-anxiety; anxiety and stress; heat-related mortality</x:v>
      </x:c>
      <x:c r="F27" s="27" t="str">
        <x:v>Research constructs and assessment categories; not automatically participant self-labelling.</x:v>
      </x:c>
    </x:row>
    <x:row r="28" ht="19" customHeight="1">
      <x:c r="A28" s="23" t="str">
        <x:v>FT-A2022</x:v>
      </x:c>
      <x:c r="B28" s="25" t="str">
        <x:v>2022</x:v>
      </x:c>
      <x:c r="C28" s="25" t="str">
        <x:v>V2</x:v>
      </x:c>
      <x:c r="D28" s="25" t="str">
        <x:v>ATTESTED</x:v>
      </x:c>
      <x:c r="E28" s="26" t="str">
        <x:v>climate-related risk; heatwaves; mental-health challenges</x:v>
      </x:c>
      <x:c r="F28" s="27" t="str">
        <x:v>Institutional/assessment framing remains distinct from individual affect.</x:v>
      </x:c>
    </x:row>
    <x:row r="29" ht="19" customHeight="1">
      <x:c r="A29" s="23" t="str">
        <x:v>FT-A2022</x:v>
      </x:c>
      <x:c r="B29" s="25" t="str">
        <x:v>2022</x:v>
      </x:c>
      <x:c r="C29" s="25" t="str">
        <x:v>V3</x:v>
      </x:c>
      <x:c r="D29" s="25" t="str">
        <x:v>ATTESTED</x:v>
      </x:c>
      <x:c r="E29" s="26" t="str">
        <x:v>extreme heat; climate emergency</x:v>
      </x:c>
      <x:c r="F29" s="27" t="str">
        <x:v>Public-facing media framing requires source-specific verification.</x:v>
      </x:c>
    </x:row>
    <x:row r="30" ht="19" customHeight="1">
      <x:c r="A30" s="23" t="str">
        <x:v>FT-A2022</x:v>
      </x:c>
      <x:c r="B30" s="25" t="str">
        <x:v>2022</x:v>
      </x:c>
      <x:c r="C30" s="25" t="str">
        <x:v>V4</x:v>
      </x:c>
      <x:c r="D30" s="25" t="str">
        <x:v>ATTESTED</x:v>
      </x:c>
      <x:c r="E30" s="26" t="str">
        <x:v>climate crisis; climate emergency</x:v>
      </x:c>
      <x:c r="F30" s="27" t="str">
        <x:v>Advocacy/threat framing; crisis is not itself affect.</x:v>
      </x:c>
    </x:row>
    <x:row r="31" ht="19" customHeight="1">
      <x:c r="A31" s="28" t="str">
        <x:v>FT-A2022</x:v>
      </x:c>
      <x:c r="B31" s="30" t="str">
        <x:v>2022</x:v>
      </x:c>
      <x:c r="C31" s="30" t="str">
        <x:v>V5</x:v>
      </x:c>
      <x:c r="D31" s="30" t="str">
        <x:v>STRONG_ELICITED</x:v>
      </x:c>
      <x:c r="E31" s="31" t="str">
        <x:v>very worried; afraid; anxious; hopeless</x:v>
      </x:c>
      <x:c r="F31" s="32" t="str">
        <x:v>Dense survey-elicited endorsement; instrument wording and participant-generated wording remain separate.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15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42" hidden="0" customWidth="1"/>
  </x:cols>
  <x:sheetData>
    <x:row r="1" ht="34" customHeight="1">
      <x:c r="A1" s="12" t="str">
        <x:v>seed_candidate_id</x:v>
      </x:c>
      <x:c r="B1" s="12" t="str">
        <x:v>originating_seed_stage</x:v>
      </x:c>
      <x:c r="C1" s="12" t="str">
        <x:v>original_candidate_id</x:v>
      </x:c>
      <x:c r="D1" s="12" t="str">
        <x:v>source_page</x:v>
      </x:c>
      <x:c r="E1" s="12" t="str">
        <x:v>anchor_id</x:v>
      </x:c>
      <x:c r="F1" s="12" t="str">
        <x:v>surface_form</x:v>
      </x:c>
      <x:c r="G1" s="12" t="str">
        <x:v>layer_code</x:v>
      </x:c>
      <x:c r="H1" s="12" t="str">
        <x:v>voice_code</x:v>
      </x:c>
      <x:c r="I1" s="12" t="str">
        <x:v>source_id</x:v>
      </x:c>
      <x:c r="J1" s="12" t="str">
        <x:v>expression_mode_code</x:v>
      </x:c>
      <x:c r="K1" s="12" t="str">
        <x:v>original_decision</x:v>
      </x:c>
      <x:c r="L1" s="12" t="str">
        <x:v>confidence_label</x:v>
      </x:c>
      <x:c r="M1" s="12" t="str">
        <x:v>relevance_label</x:v>
      </x:c>
      <x:c r="N1" s="12" t="str">
        <x:v>reconstruction_status</x:v>
      </x:c>
      <x:c r="O1" s="12" t="str">
        <x:v>reconciliation_status</x:v>
      </x:c>
      <x:c r="P1" s="12" t="str">
        <x:v>originating_report</x:v>
      </x:c>
      <x:c r="Q1" s="12" t="str">
        <x:v>provenance_status</x:v>
      </x:c>
      <x:c r="R1" s="12" t="str">
        <x:v>provenance_note</x:v>
      </x:c>
    </x:row>
    <x:row r="2" ht="19" customHeight="1">
      <x:c r="A2" s="18" t="str">
        <x:v>FT-SEED-R1-1842-A-01</x:v>
      </x:c>
      <x:c r="B2" s="20" t="str">
        <x:v>INITIAL_180</x:v>
      </x:c>
      <x:c r="C2" s="19" t="str">
        <x:v>1842-A-01</x:v>
      </x:c>
      <x:c r="D2" s="20" t="str">
        <x:v>4</x:v>
      </x:c>
      <x:c r="E2" s="19" t="str">
        <x:v>FT-A1842</x:v>
      </x:c>
      <x:c r="F2" s="19" t="str">
        <x:v>temperature</x:v>
      </x:c>
      <x:c r="G2" s="20" t="str">
        <x:v>A</x:v>
      </x:c>
      <x:c r="H2" s="20" t="str"/>
      <x:c r="I2" s="19" t="str"/>
      <x:c r="J2" s="20" t="str"/>
      <x:c r="K2" s="20" t="str">
        <x:v>CONFIDENCE=Strong;CARRY_FORWARD=Yes</x:v>
      </x:c>
      <x:c r="L2" s="19" t="str">
        <x:v>Strong</x:v>
      </x:c>
      <x:c r="M2" s="20" t="str">
        <x:v>Yes</x:v>
      </x:c>
      <x:c r="N2" s="20" t="str">
        <x:v>RECONSTRUCTED_FROM_REPORT</x:v>
      </x:c>
      <x:c r="O2" s="20" t="str">
        <x:v>RETAIN</x:v>
      </x:c>
      <x:c r="P2" s="19" t="str">
        <x:v>Fear of Temperature_ Historical Lexical Discovery and Anchor Validation.pdf</x:v>
      </x:c>
      <x:c r="Q2" s="20" t="str">
        <x:v>RECONSTRUCTED_FROM_REPORT</x:v>
      </x:c>
      <x:c r="R2" s="22" t="str">
        <x:v>Original candidate ID and row fields reconstructed from the compact narrative PDF table; this is not the missing original structured record.</x:v>
      </x:c>
    </x:row>
    <x:row r="3" ht="19" customHeight="1">
      <x:c r="A3" s="23" t="str">
        <x:v>FT-SEED-R1-1842-A-02</x:v>
      </x:c>
      <x:c r="B3" s="25" t="str">
        <x:v>INITIAL_180</x:v>
      </x:c>
      <x:c r="C3" s="24" t="str">
        <x:v>1842-A-02</x:v>
      </x:c>
      <x:c r="D3" s="25" t="str">
        <x:v>4</x:v>
      </x:c>
      <x:c r="E3" s="24" t="str">
        <x:v>FT-A1842</x:v>
      </x:c>
      <x:c r="F3" s="24" t="str">
        <x:v>mean temperature</x:v>
      </x:c>
      <x:c r="G3" s="25" t="str">
        <x:v>A</x:v>
      </x:c>
      <x:c r="H3" s="25" t="str"/>
      <x:c r="I3" s="24" t="str"/>
      <x:c r="J3" s="25" t="str"/>
      <x:c r="K3" s="25" t="str">
        <x:v>CONFIDENCE=Strong;CARRY_FORWARD=Yes</x:v>
      </x:c>
      <x:c r="L3" s="24" t="str">
        <x:v>Strong</x:v>
      </x:c>
      <x:c r="M3" s="25" t="str">
        <x:v>Yes</x:v>
      </x:c>
      <x:c r="N3" s="25" t="str">
        <x:v>RECONSTRUCTED_FROM_REPORT</x:v>
      </x:c>
      <x:c r="O3" s="25" t="str">
        <x:v>RETAIN</x:v>
      </x:c>
      <x:c r="P3" s="24" t="str">
        <x:v>Fear of Temperature_ Historical Lexical Discovery and Anchor Validation.pdf</x:v>
      </x:c>
      <x:c r="Q3" s="25" t="str">
        <x:v>RECONSTRUCTED_FROM_REPORT</x:v>
      </x:c>
      <x:c r="R3" s="27" t="str">
        <x:v>Original candidate ID and row fields reconstructed from the compact narrative PDF table; this is not the missing original structured record.</x:v>
      </x:c>
    </x:row>
    <x:row r="4" ht="19" customHeight="1">
      <x:c r="A4" s="23" t="str">
        <x:v>FT-SEED-R1-1842-A-03</x:v>
      </x:c>
      <x:c r="B4" s="25" t="str">
        <x:v>INITIAL_180</x:v>
      </x:c>
      <x:c r="C4" s="24" t="str">
        <x:v>1842-A-03</x:v>
      </x:c>
      <x:c r="D4" s="25" t="str">
        <x:v>4</x:v>
      </x:c>
      <x:c r="E4" s="24" t="str">
        <x:v>FT-A1842</x:v>
      </x:c>
      <x:c r="F4" s="24" t="str">
        <x:v>high temperature</x:v>
      </x:c>
      <x:c r="G4" s="25" t="str">
        <x:v>A</x:v>
      </x:c>
      <x:c r="H4" s="25" t="str"/>
      <x:c r="I4" s="24" t="str"/>
      <x:c r="J4" s="25" t="str"/>
      <x:c r="K4" s="25" t="str">
        <x:v>CONFIDENCE=Strong;CARRY_FORWARD=Yes</x:v>
      </x:c>
      <x:c r="L4" s="24" t="str">
        <x:v>Strong</x:v>
      </x:c>
      <x:c r="M4" s="25" t="str">
        <x:v>Yes</x:v>
      </x:c>
      <x:c r="N4" s="25" t="str">
        <x:v>RECONSTRUCTED_FROM_REPORT</x:v>
      </x:c>
      <x:c r="O4" s="25" t="str">
        <x:v>RETAIN</x:v>
      </x:c>
      <x:c r="P4" s="24" t="str">
        <x:v>Fear of Temperature_ Historical Lexical Discovery and Anchor Validation.pdf</x:v>
      </x:c>
      <x:c r="Q4" s="25" t="str">
        <x:v>RECONSTRUCTED_FROM_REPORT</x:v>
      </x:c>
      <x:c r="R4" s="27" t="str">
        <x:v>Original candidate ID and row fields reconstructed from the compact narrative PDF table; this is not the missing original structured record.</x:v>
      </x:c>
    </x:row>
    <x:row r="5" ht="19" customHeight="1">
      <x:c r="A5" s="23" t="str">
        <x:v>FT-SEED-R1-1842-A-04</x:v>
      </x:c>
      <x:c r="B5" s="25" t="str">
        <x:v>INITIAL_180</x:v>
      </x:c>
      <x:c r="C5" s="24" t="str">
        <x:v>1842-A-04</x:v>
      </x:c>
      <x:c r="D5" s="25" t="str">
        <x:v>4</x:v>
      </x:c>
      <x:c r="E5" s="24" t="str">
        <x:v>FT-A1842</x:v>
      </x:c>
      <x:c r="F5" s="24" t="str">
        <x:v>heat</x:v>
      </x:c>
      <x:c r="G5" s="25" t="str">
        <x:v>A</x:v>
      </x:c>
      <x:c r="H5" s="25" t="str"/>
      <x:c r="I5" s="24" t="str"/>
      <x:c r="J5" s="25" t="str"/>
      <x:c r="K5" s="25" t="str">
        <x:v>CONFIDENCE=Strong;CARRY_FORWARD=Yes</x:v>
      </x:c>
      <x:c r="L5" s="24" t="str">
        <x:v>Strong</x:v>
      </x:c>
      <x:c r="M5" s="25" t="str">
        <x:v>Yes</x:v>
      </x:c>
      <x:c r="N5" s="25" t="str">
        <x:v>RECONSTRUCTED_FROM_REPORT</x:v>
      </x:c>
      <x:c r="O5" s="25" t="str">
        <x:v>RETAIN</x:v>
      </x:c>
      <x:c r="P5" s="24" t="str">
        <x:v>Fear of Temperature_ Historical Lexical Discovery and Anchor Validation.pdf</x:v>
      </x:c>
      <x:c r="Q5" s="25" t="str">
        <x:v>RECONSTRUCTED_FROM_REPORT</x:v>
      </x:c>
      <x:c r="R5" s="27" t="str">
        <x:v>Original candidate ID and row fields reconstructed from the compact narrative PDF table; this is not the missing original structured record.</x:v>
      </x:c>
    </x:row>
    <x:row r="6" ht="19" customHeight="1">
      <x:c r="A6" s="23" t="str">
        <x:v>FT-SEED-R1-1842-A-05</x:v>
      </x:c>
      <x:c r="B6" s="25" t="str">
        <x:v>INITIAL_180</x:v>
      </x:c>
      <x:c r="C6" s="24" t="str">
        <x:v>1842-A-05</x:v>
      </x:c>
      <x:c r="D6" s="25" t="str">
        <x:v>4</x:v>
      </x:c>
      <x:c r="E6" s="24" t="str">
        <x:v>FT-A1842</x:v>
      </x:c>
      <x:c r="F6" s="24" t="str">
        <x:v>great heat</x:v>
      </x:c>
      <x:c r="G6" s="25" t="str">
        <x:v>A</x:v>
      </x:c>
      <x:c r="H6" s="25" t="str"/>
      <x:c r="I6" s="24" t="str"/>
      <x:c r="J6" s="25" t="str"/>
      <x:c r="K6" s="25" t="str">
        <x:v>CONFIDENCE=Weak;CARRY_FORWARD=No</x:v>
      </x:c>
      <x:c r="L6" s="24" t="str">
        <x:v>Weak</x:v>
      </x:c>
      <x:c r="M6" s="25" t="str">
        <x:v>No</x:v>
      </x:c>
      <x:c r="N6" s="25" t="str">
        <x:v>RECONSTRUCTED_FROM_REPORT</x:v>
      </x:c>
      <x:c r="O6" s="25" t="str">
        <x:v>EXCLUDE</x:v>
      </x:c>
      <x:c r="P6" s="24" t="str">
        <x:v>Fear of Temperature_ Historical Lexical Discovery and Anchor Validation.pdf</x:v>
      </x:c>
      <x:c r="Q6" s="25" t="str">
        <x:v>RECONSTRUCTED_FROM_REPORT</x:v>
      </x:c>
      <x:c r="R6" s="27" t="str">
        <x:v>Original candidate ID and row fields reconstructed from the compact narrative PDF table; this is not the missing original structured record.</x:v>
      </x:c>
    </x:row>
    <x:row r="7" ht="19" customHeight="1">
      <x:c r="A7" s="23" t="str">
        <x:v>FT-SEED-R1-1842-A-06</x:v>
      </x:c>
      <x:c r="B7" s="25" t="str">
        <x:v>INITIAL_180</x:v>
      </x:c>
      <x:c r="C7" s="24" t="str">
        <x:v>1842-A-06</x:v>
      </x:c>
      <x:c r="D7" s="25" t="str">
        <x:v>4</x:v>
      </x:c>
      <x:c r="E7" s="24" t="str">
        <x:v>FT-A1842</x:v>
      </x:c>
      <x:c r="F7" s="24" t="str">
        <x:v>oppressive heat</x:v>
      </x:c>
      <x:c r="G7" s="25" t="str">
        <x:v>A</x:v>
      </x:c>
      <x:c r="H7" s="25" t="str"/>
      <x:c r="I7" s="24" t="str"/>
      <x:c r="J7" s="25" t="str"/>
      <x:c r="K7" s="25" t="str">
        <x:v>CONFIDENCE=Weak;CARRY_FORWARD=Conditional</x:v>
      </x:c>
      <x:c r="L7" s="24" t="str">
        <x:v>Weak</x:v>
      </x:c>
      <x:c r="M7" s="25" t="str">
        <x:v>Conditional</x:v>
      </x:c>
      <x:c r="N7" s="25" t="str">
        <x:v>RECONSTRUCTED_FROM_REPORT</x:v>
      </x:c>
      <x:c r="O7" s="25" t="str">
        <x:v>UNRESOLVED</x:v>
      </x:c>
      <x:c r="P7" s="24" t="str">
        <x:v>Fear of Temperature_ Historical Lexical Discovery and Anchor Validation.pdf</x:v>
      </x:c>
      <x:c r="Q7" s="25" t="str">
        <x:v>RECONSTRUCTED_FROM_REPORT</x:v>
      </x:c>
      <x:c r="R7" s="27" t="str">
        <x:v>Original candidate ID and row fields reconstructed from the compact narrative PDF table; this is not the missing original structured record.</x:v>
      </x:c>
    </x:row>
    <x:row r="8" ht="19" customHeight="1">
      <x:c r="A8" s="23" t="str">
        <x:v>FT-SEED-R1-1842-A-07</x:v>
      </x:c>
      <x:c r="B8" s="25" t="str">
        <x:v>INITIAL_180</x:v>
      </x:c>
      <x:c r="C8" s="24" t="str">
        <x:v>1842-A-07</x:v>
      </x:c>
      <x:c r="D8" s="25" t="str">
        <x:v>5</x:v>
      </x:c>
      <x:c r="E8" s="24" t="str">
        <x:v>FT-A1842</x:v>
      </x:c>
      <x:c r="F8" s="24" t="str">
        <x:v>unusual heat</x:v>
      </x:c>
      <x:c r="G8" s="25" t="str">
        <x:v>A</x:v>
      </x:c>
      <x:c r="H8" s="25" t="str"/>
      <x:c r="I8" s="24" t="str"/>
      <x:c r="J8" s="25" t="str"/>
      <x:c r="K8" s="25" t="str">
        <x:v>CONFIDENCE=Weak;CARRY_FORWARD=No</x:v>
      </x:c>
      <x:c r="L8" s="24" t="str">
        <x:v>Weak</x:v>
      </x:c>
      <x:c r="M8" s="25" t="str">
        <x:v>No</x:v>
      </x:c>
      <x:c r="N8" s="25" t="str">
        <x:v>RECONSTRUCTED_FROM_REPORT</x:v>
      </x:c>
      <x:c r="O8" s="25" t="str">
        <x:v>EXCLUDE</x:v>
      </x:c>
      <x:c r="P8" s="24" t="str">
        <x:v>Fear of Temperature_ Historical Lexical Discovery and Anchor Validation.pdf</x:v>
      </x:c>
      <x:c r="Q8" s="25" t="str">
        <x:v>RECONSTRUCTED_FROM_REPORT</x:v>
      </x:c>
      <x:c r="R8" s="27" t="str">
        <x:v>Original candidate ID and row fields reconstructed from the compact narrative PDF table; this is not the missing original structured record.</x:v>
      </x:c>
    </x:row>
    <x:row r="9" ht="19" customHeight="1">
      <x:c r="A9" s="23" t="str">
        <x:v>FT-SEED-R1-1842-A-08</x:v>
      </x:c>
      <x:c r="B9" s="25" t="str">
        <x:v>INITIAL_180</x:v>
      </x:c>
      <x:c r="C9" s="24" t="str">
        <x:v>1842-A-08</x:v>
      </x:c>
      <x:c r="D9" s="25" t="str">
        <x:v>5</x:v>
      </x:c>
      <x:c r="E9" s="24" t="str">
        <x:v>FT-A1842</x:v>
      </x:c>
      <x:c r="F9" s="24" t="str">
        <x:v>too hot and close</x:v>
      </x:c>
      <x:c r="G9" s="25" t="str">
        <x:v>A</x:v>
      </x:c>
      <x:c r="H9" s="25" t="str"/>
      <x:c r="I9" s="24" t="str"/>
      <x:c r="J9" s="25" t="str"/>
      <x:c r="K9" s="25" t="str">
        <x:v>CONFIDENCE=Strong;CARRY_FORWARD=Yes</x:v>
      </x:c>
      <x:c r="L9" s="24" t="str">
        <x:v>Strong</x:v>
      </x:c>
      <x:c r="M9" s="25" t="str">
        <x:v>Yes</x:v>
      </x:c>
      <x:c r="N9" s="25" t="str">
        <x:v>RECONSTRUCTED_FROM_REPORT</x:v>
      </x:c>
      <x:c r="O9" s="25" t="str">
        <x:v>RETAIN</x:v>
      </x:c>
      <x:c r="P9" s="24" t="str">
        <x:v>Fear of Temperature_ Historical Lexical Discovery and Anchor Validation.pdf</x:v>
      </x:c>
      <x:c r="Q9" s="25" t="str">
        <x:v>RECONSTRUCTED_FROM_REPORT</x:v>
      </x:c>
      <x:c r="R9" s="27" t="str">
        <x:v>Original candidate ID and row fields reconstructed from the compact narrative PDF table; this is not the missing original structured record.</x:v>
      </x:c>
    </x:row>
    <x:row r="10" ht="19" customHeight="1">
      <x:c r="A10" s="23" t="str">
        <x:v>FT-SEED-R1-1842-B-01</x:v>
      </x:c>
      <x:c r="B10" s="25" t="str">
        <x:v>INITIAL_180</x:v>
      </x:c>
      <x:c r="C10" s="24" t="str">
        <x:v>1842-B-01</x:v>
      </x:c>
      <x:c r="D10" s="25" t="str">
        <x:v>5</x:v>
      </x:c>
      <x:c r="E10" s="24" t="str">
        <x:v>FT-A1842</x:v>
      </x:c>
      <x:c r="F10" s="24" t="str">
        <x:v>climate</x:v>
      </x:c>
      <x:c r="G10" s="25" t="str">
        <x:v>B</x:v>
      </x:c>
      <x:c r="H10" s="25" t="str"/>
      <x:c r="I10" s="24" t="str"/>
      <x:c r="J10" s="25" t="str"/>
      <x:c r="K10" s="25" t="str">
        <x:v>CONFIDENCE=Strong;CARRY_FORWARD=Yes</x:v>
      </x:c>
      <x:c r="L10" s="24" t="str">
        <x:v>Strong</x:v>
      </x:c>
      <x:c r="M10" s="25" t="str">
        <x:v>Yes</x:v>
      </x:c>
      <x:c r="N10" s="25" t="str">
        <x:v>RECONSTRUCTED_FROM_REPORT</x:v>
      </x:c>
      <x:c r="O10" s="25" t="str">
        <x:v>RETAIN</x:v>
      </x:c>
      <x:c r="P10" s="24" t="str">
        <x:v>Fear of Temperature_ Historical Lexical Discovery and Anchor Validation.pdf</x:v>
      </x:c>
      <x:c r="Q10" s="25" t="str">
        <x:v>RECONSTRUCTED_FROM_REPORT</x:v>
      </x:c>
      <x:c r="R10" s="27" t="str">
        <x:v>Original candidate ID and row fields reconstructed from the compact narrative PDF table; this is not the missing original structured record.</x:v>
      </x:c>
    </x:row>
    <x:row r="11" ht="19" customHeight="1">
      <x:c r="A11" s="23" t="str">
        <x:v>FT-SEED-R1-1842-B-02</x:v>
      </x:c>
      <x:c r="B11" s="25" t="str">
        <x:v>INITIAL_180</x:v>
      </x:c>
      <x:c r="C11" s="24" t="str">
        <x:v>1842-B-02</x:v>
      </x:c>
      <x:c r="D11" s="25" t="str">
        <x:v>5</x:v>
      </x:c>
      <x:c r="E11" s="24" t="str">
        <x:v>FT-A1842</x:v>
      </x:c>
      <x:c r="F11" s="24" t="str">
        <x:v>meteorology</x:v>
      </x:c>
      <x:c r="G11" s="25" t="str">
        <x:v>B</x:v>
      </x:c>
      <x:c r="H11" s="25" t="str"/>
      <x:c r="I11" s="24" t="str"/>
      <x:c r="J11" s="25" t="str"/>
      <x:c r="K11" s="25" t="str">
        <x:v>CONFIDENCE=Strong;CARRY_FORWARD=Yes</x:v>
      </x:c>
      <x:c r="L11" s="24" t="str">
        <x:v>Strong</x:v>
      </x:c>
      <x:c r="M11" s="25" t="str">
        <x:v>Yes</x:v>
      </x:c>
      <x:c r="N11" s="25" t="str">
        <x:v>RECONSTRUCTED_FROM_REPORT</x:v>
      </x:c>
      <x:c r="O11" s="25" t="str">
        <x:v>RETAIN</x:v>
      </x:c>
      <x:c r="P11" s="24" t="str">
        <x:v>Fear of Temperature_ Historical Lexical Discovery and Anchor Validation.pdf</x:v>
      </x:c>
      <x:c r="Q11" s="25" t="str">
        <x:v>RECONSTRUCTED_FROM_REPORT</x:v>
      </x:c>
      <x:c r="R11" s="27" t="str">
        <x:v>Original candidate ID and row fields reconstructed from the compact narrative PDF table; this is not the missing original structured record.</x:v>
      </x:c>
    </x:row>
    <x:row r="12" ht="19" customHeight="1">
      <x:c r="A12" s="23" t="str">
        <x:v>FT-SEED-R1-1842-B-03</x:v>
      </x:c>
      <x:c r="B12" s="25" t="str">
        <x:v>INITIAL_180</x:v>
      </x:c>
      <x:c r="C12" s="24" t="str">
        <x:v>1842-B-03</x:v>
      </x:c>
      <x:c r="D12" s="25" t="str">
        <x:v>5</x:v>
      </x:c>
      <x:c r="E12" s="24" t="str">
        <x:v>FT-A1842</x:v>
      </x:c>
      <x:c r="F12" s="24" t="str">
        <x:v>meteorological observations</x:v>
      </x:c>
      <x:c r="G12" s="25" t="str">
        <x:v>B</x:v>
      </x:c>
      <x:c r="H12" s="25" t="str"/>
      <x:c r="I12" s="24" t="str"/>
      <x:c r="J12" s="25" t="str"/>
      <x:c r="K12" s="25" t="str">
        <x:v>CONFIDENCE=Strong;CARRY_FORWARD=Yes</x:v>
      </x:c>
      <x:c r="L12" s="24" t="str">
        <x:v>Strong</x:v>
      </x:c>
      <x:c r="M12" s="25" t="str">
        <x:v>Yes</x:v>
      </x:c>
      <x:c r="N12" s="25" t="str">
        <x:v>RECONSTRUCTED_FROM_REPORT</x:v>
      </x:c>
      <x:c r="O12" s="25" t="str">
        <x:v>RETAIN</x:v>
      </x:c>
      <x:c r="P12" s="24" t="str">
        <x:v>Fear of Temperature_ Historical Lexical Discovery and Anchor Validation.pdf</x:v>
      </x:c>
      <x:c r="Q12" s="25" t="str">
        <x:v>RECONSTRUCTED_FROM_REPORT</x:v>
      </x:c>
      <x:c r="R12" s="27" t="str">
        <x:v>Original candidate ID and row fields reconstructed from the compact narrative PDF table; this is not the missing original structured record.</x:v>
      </x:c>
    </x:row>
    <x:row r="13" ht="19" customHeight="1">
      <x:c r="A13" s="23" t="str">
        <x:v>FT-SEED-R1-1842-B-04</x:v>
      </x:c>
      <x:c r="B13" s="25" t="str">
        <x:v>INITIAL_180</x:v>
      </x:c>
      <x:c r="C13" s="24" t="str">
        <x:v>1842-B-04</x:v>
      </x:c>
      <x:c r="D13" s="25" t="str">
        <x:v>5</x:v>
      </x:c>
      <x:c r="E13" s="24" t="str">
        <x:v>FT-A1842</x:v>
      </x:c>
      <x:c r="F13" s="24" t="str">
        <x:v>weather</x:v>
      </x:c>
      <x:c r="G13" s="25" t="str">
        <x:v>B</x:v>
      </x:c>
      <x:c r="H13" s="25" t="str"/>
      <x:c r="I13" s="24" t="str"/>
      <x:c r="J13" s="25" t="str"/>
      <x:c r="K13" s="25" t="str">
        <x:v>CONFIDENCE=Strong;CARRY_FORWARD=Yes</x:v>
      </x:c>
      <x:c r="L13" s="24" t="str">
        <x:v>Strong</x:v>
      </x:c>
      <x:c r="M13" s="25" t="str">
        <x:v>Yes</x:v>
      </x:c>
      <x:c r="N13" s="25" t="str">
        <x:v>RECONSTRUCTED_FROM_REPORT</x:v>
      </x:c>
      <x:c r="O13" s="25" t="str">
        <x:v>RETAIN</x:v>
      </x:c>
      <x:c r="P13" s="24" t="str">
        <x:v>Fear of Temperature_ Historical Lexical Discovery and Anchor Validation.pdf</x:v>
      </x:c>
      <x:c r="Q13" s="25" t="str">
        <x:v>RECONSTRUCTED_FROM_REPORT</x:v>
      </x:c>
      <x:c r="R13" s="27" t="str">
        <x:v>Original candidate ID and row fields reconstructed from the compact narrative PDF table; this is not the missing original structured record.</x:v>
      </x:c>
    </x:row>
    <x:row r="14" ht="19" customHeight="1">
      <x:c r="A14" s="23" t="str">
        <x:v>FT-SEED-R1-1842-B-05</x:v>
      </x:c>
      <x:c r="B14" s="25" t="str">
        <x:v>INITIAL_180</x:v>
      </x:c>
      <x:c r="C14" s="24" t="str">
        <x:v>1842-B-05</x:v>
      </x:c>
      <x:c r="D14" s="25" t="str">
        <x:v>5</x:v>
      </x:c>
      <x:c r="E14" s="24" t="str">
        <x:v>FT-A1842</x:v>
      </x:c>
      <x:c r="F14" s="24" t="str">
        <x:v>atmosphere</x:v>
      </x:c>
      <x:c r="G14" s="25" t="str">
        <x:v>B</x:v>
      </x:c>
      <x:c r="H14" s="25" t="str"/>
      <x:c r="I14" s="24" t="str"/>
      <x:c r="J14" s="25" t="str"/>
      <x:c r="K14" s="25" t="str">
        <x:v>CONFIDENCE=Strong;CARRY_FORWARD=Yes</x:v>
      </x:c>
      <x:c r="L14" s="24" t="str">
        <x:v>Strong</x:v>
      </x:c>
      <x:c r="M14" s="25" t="str">
        <x:v>Yes</x:v>
      </x:c>
      <x:c r="N14" s="25" t="str">
        <x:v>RECONSTRUCTED_FROM_REPORT</x:v>
      </x:c>
      <x:c r="O14" s="25" t="str">
        <x:v>RETAIN</x:v>
      </x:c>
      <x:c r="P14" s="24" t="str">
        <x:v>Fear of Temperature_ Historical Lexical Discovery and Anchor Validation.pdf</x:v>
      </x:c>
      <x:c r="Q14" s="25" t="str">
        <x:v>RECONSTRUCTED_FROM_REPORT</x:v>
      </x:c>
      <x:c r="R14" s="27" t="str">
        <x:v>Original candidate ID and row fields reconstructed from the compact narrative PDF table; this is not the missing original structured record.</x:v>
      </x:c>
    </x:row>
    <x:row r="15" ht="19" customHeight="1">
      <x:c r="A15" s="23" t="str">
        <x:v>FT-SEED-R1-1842-B-06</x:v>
      </x:c>
      <x:c r="B15" s="25" t="str">
        <x:v>INITIAL_180</x:v>
      </x:c>
      <x:c r="C15" s="24" t="str">
        <x:v>1842-B-06</x:v>
      </x:c>
      <x:c r="D15" s="25" t="str">
        <x:v>5</x:v>
      </x:c>
      <x:c r="E15" s="24" t="str">
        <x:v>FT-A1842</x:v>
      </x:c>
      <x:c r="F15" s="24" t="str">
        <x:v>seasons</x:v>
      </x:c>
      <x:c r="G15" s="25" t="str">
        <x:v>B</x:v>
      </x:c>
      <x:c r="H15" s="25" t="str"/>
      <x:c r="I15" s="24" t="str"/>
      <x:c r="J15" s="25" t="str"/>
      <x:c r="K15" s="25" t="str">
        <x:v>CONFIDENCE=Strong;CARRY_FORWARD=Yes</x:v>
      </x:c>
      <x:c r="L15" s="24" t="str">
        <x:v>Strong</x:v>
      </x:c>
      <x:c r="M15" s="25" t="str">
        <x:v>Yes</x:v>
      </x:c>
      <x:c r="N15" s="25" t="str">
        <x:v>RECONSTRUCTED_FROM_REPORT</x:v>
      </x:c>
      <x:c r="O15" s="25" t="str">
        <x:v>RETAIN</x:v>
      </x:c>
      <x:c r="P15" s="24" t="str">
        <x:v>Fear of Temperature_ Historical Lexical Discovery and Anchor Validation.pdf</x:v>
      </x:c>
      <x:c r="Q15" s="25" t="str">
        <x:v>RECONSTRUCTED_FROM_REPORT</x:v>
      </x:c>
      <x:c r="R15" s="27" t="str">
        <x:v>Original candidate ID and row fields reconstructed from the compact narrative PDF table; this is not the missing original structured record.</x:v>
      </x:c>
    </x:row>
    <x:row r="16" ht="19" customHeight="1">
      <x:c r="A16" s="23" t="str">
        <x:v>FT-SEED-R1-1842-B-07</x:v>
      </x:c>
      <x:c r="B16" s="25" t="str">
        <x:v>INITIAL_180</x:v>
      </x:c>
      <x:c r="C16" s="24" t="str">
        <x:v>1842-B-07</x:v>
      </x:c>
      <x:c r="D16" s="25" t="str">
        <x:v>6</x:v>
      </x:c>
      <x:c r="E16" s="24" t="str">
        <x:v>FT-A1842</x:v>
      </x:c>
      <x:c r="F16" s="24" t="str">
        <x:v>climatic influences</x:v>
      </x:c>
      <x:c r="G16" s="25" t="str">
        <x:v>B</x:v>
      </x:c>
      <x:c r="H16" s="25" t="str"/>
      <x:c r="I16" s="24" t="str"/>
      <x:c r="J16" s="25" t="str"/>
      <x:c r="K16" s="25" t="str">
        <x:v>CONFIDENCE=Weak;CARRY_FORWARD=No</x:v>
      </x:c>
      <x:c r="L16" s="24" t="str">
        <x:v>Weak</x:v>
      </x:c>
      <x:c r="M16" s="25" t="str">
        <x:v>No</x:v>
      </x:c>
      <x:c r="N16" s="25" t="str">
        <x:v>RECONSTRUCTED_FROM_REPORT</x:v>
      </x:c>
      <x:c r="O16" s="25" t="str">
        <x:v>EXCLUDE</x:v>
      </x:c>
      <x:c r="P16" s="24" t="str">
        <x:v>Fear of Temperature_ Historical Lexical Discovery and Anchor Validation.pdf</x:v>
      </x:c>
      <x:c r="Q16" s="25" t="str">
        <x:v>RECONSTRUCTED_FROM_REPORT</x:v>
      </x:c>
      <x:c r="R16" s="27" t="str">
        <x:v>Original candidate ID and row fields reconstructed from the compact narrative PDF table; this is not the missing original structured record.</x:v>
      </x:c>
    </x:row>
    <x:row r="17" ht="19" customHeight="1">
      <x:c r="A17" s="23" t="str">
        <x:v>FT-SEED-R1-1842-B-08</x:v>
      </x:c>
      <x:c r="B17" s="25" t="str">
        <x:v>INITIAL_180</x:v>
      </x:c>
      <x:c r="C17" s="24" t="str">
        <x:v>1842-B-08</x:v>
      </x:c>
      <x:c r="D17" s="25" t="str">
        <x:v>6</x:v>
      </x:c>
      <x:c r="E17" s="24" t="str">
        <x:v>FT-A1842</x:v>
      </x:c>
      <x:c r="F17" s="24" t="str">
        <x:v>change of climate</x:v>
      </x:c>
      <x:c r="G17" s="25" t="str">
        <x:v>B</x:v>
      </x:c>
      <x:c r="H17" s="25" t="str"/>
      <x:c r="I17" s="24" t="str"/>
      <x:c r="J17" s="25" t="str"/>
      <x:c r="K17" s="25" t="str">
        <x:v>CONFIDENCE=Moderate;CARRY_FORWARD=Conditional</x:v>
      </x:c>
      <x:c r="L17" s="24" t="str">
        <x:v>Moderate</x:v>
      </x:c>
      <x:c r="M17" s="25" t="str">
        <x:v>Conditional</x:v>
      </x:c>
      <x:c r="N17" s="25" t="str">
        <x:v>RECONSTRUCTED_FROM_REPORT</x:v>
      </x:c>
      <x:c r="O17" s="25" t="str">
        <x:v>UNRESOLVED</x:v>
      </x:c>
      <x:c r="P17" s="24" t="str">
        <x:v>Fear of Temperature_ Historical Lexical Discovery and Anchor Validation.pdf</x:v>
      </x:c>
      <x:c r="Q17" s="25" t="str">
        <x:v>RECONSTRUCTED_FROM_REPORT</x:v>
      </x:c>
      <x:c r="R17" s="27" t="str">
        <x:v>Original candidate ID and row fields reconstructed from the compact narrative PDF table; this is not the missing original structured record.</x:v>
      </x:c>
    </x:row>
    <x:row r="18" ht="19" customHeight="1">
      <x:c r="A18" s="23" t="str">
        <x:v>FT-SEED-R1-1842-C-01</x:v>
      </x:c>
      <x:c r="B18" s="25" t="str">
        <x:v>INITIAL_180</x:v>
      </x:c>
      <x:c r="C18" s="24" t="str">
        <x:v>1842-C-01</x:v>
      </x:c>
      <x:c r="D18" s="25" t="str">
        <x:v>6</x:v>
      </x:c>
      <x:c r="E18" s="24" t="str">
        <x:v>FT-A1842</x:v>
      </x:c>
      <x:c r="F18" s="24" t="str">
        <x:v>fear</x:v>
      </x:c>
      <x:c r="G18" s="25" t="str">
        <x:v>C</x:v>
      </x:c>
      <x:c r="H18" s="25" t="str"/>
      <x:c r="I18" s="24" t="str"/>
      <x:c r="J18" s="25" t="str"/>
      <x:c r="K18" s="25" t="str">
        <x:v>CONFIDENCE=Moderate;CARRY_FORWARD=Conditional</x:v>
      </x:c>
      <x:c r="L18" s="24" t="str">
        <x:v>Moderate</x:v>
      </x:c>
      <x:c r="M18" s="25" t="str">
        <x:v>Conditional</x:v>
      </x:c>
      <x:c r="N18" s="25" t="str">
        <x:v>RECONSTRUCTED_FROM_REPORT</x:v>
      </x:c>
      <x:c r="O18" s="25" t="str">
        <x:v>UNRESOLVED</x:v>
      </x:c>
      <x:c r="P18" s="24" t="str">
        <x:v>Fear of Temperature_ Historical Lexical Discovery and Anchor Validation.pdf</x:v>
      </x:c>
      <x:c r="Q18" s="25" t="str">
        <x:v>RECONSTRUCTED_FROM_REPORT</x:v>
      </x:c>
      <x:c r="R18" s="27" t="str">
        <x:v>Original candidate ID and row fields reconstructed from the compact narrative PDF table; this is not the missing original structured record.</x:v>
      </x:c>
    </x:row>
    <x:row r="19" ht="19" customHeight="1">
      <x:c r="A19" s="23" t="str">
        <x:v>FT-SEED-R1-1842-C-02</x:v>
      </x:c>
      <x:c r="B19" s="25" t="str">
        <x:v>INITIAL_180</x:v>
      </x:c>
      <x:c r="C19" s="24" t="str">
        <x:v>1842-C-02</x:v>
      </x:c>
      <x:c r="D19" s="25" t="str">
        <x:v>6</x:v>
      </x:c>
      <x:c r="E19" s="24" t="str">
        <x:v>FT-A1842</x:v>
      </x:c>
      <x:c r="F19" s="24" t="str">
        <x:v>alarm</x:v>
      </x:c>
      <x:c r="G19" s="25" t="str">
        <x:v>C</x:v>
      </x:c>
      <x:c r="H19" s="25" t="str"/>
      <x:c r="I19" s="24" t="str"/>
      <x:c r="J19" s="25" t="str"/>
      <x:c r="K19" s="25" t="str">
        <x:v>CONFIDENCE=Weak;CARRY_FORWARD=No</x:v>
      </x:c>
      <x:c r="L19" s="24" t="str">
        <x:v>Weak</x:v>
      </x:c>
      <x:c r="M19" s="25" t="str">
        <x:v>No</x:v>
      </x:c>
      <x:c r="N19" s="25" t="str">
        <x:v>RECONSTRUCTED_FROM_REPORT</x:v>
      </x:c>
      <x:c r="O19" s="25" t="str">
        <x:v>EXCLUDE</x:v>
      </x:c>
      <x:c r="P19" s="24" t="str">
        <x:v>Fear of Temperature_ Historical Lexical Discovery and Anchor Validation.pdf</x:v>
      </x:c>
      <x:c r="Q19" s="25" t="str">
        <x:v>RECONSTRUCTED_FROM_REPORT</x:v>
      </x:c>
      <x:c r="R19" s="27" t="str">
        <x:v>Original candidate ID and row fields reconstructed from the compact narrative PDF table; this is not the missing original structured record.</x:v>
      </x:c>
    </x:row>
    <x:row r="20" ht="19" customHeight="1">
      <x:c r="A20" s="23" t="str">
        <x:v>FT-SEED-R1-1842-C-03</x:v>
      </x:c>
      <x:c r="B20" s="25" t="str">
        <x:v>INITIAL_180</x:v>
      </x:c>
      <x:c r="C20" s="24" t="str">
        <x:v>1842-C-03</x:v>
      </x:c>
      <x:c r="D20" s="25" t="str">
        <x:v>6</x:v>
      </x:c>
      <x:c r="E20" s="24" t="str">
        <x:v>FT-A1842</x:v>
      </x:c>
      <x:c r="F20" s="24" t="str">
        <x:v>anxiety</x:v>
      </x:c>
      <x:c r="G20" s="25" t="str">
        <x:v>C</x:v>
      </x:c>
      <x:c r="H20" s="25" t="str"/>
      <x:c r="I20" s="24" t="str"/>
      <x:c r="J20" s="25" t="str"/>
      <x:c r="K20" s="25" t="str">
        <x:v>CONFIDENCE=Weak;CARRY_FORWARD=No</x:v>
      </x:c>
      <x:c r="L20" s="24" t="str">
        <x:v>Weak</x:v>
      </x:c>
      <x:c r="M20" s="25" t="str">
        <x:v>No</x:v>
      </x:c>
      <x:c r="N20" s="25" t="str">
        <x:v>RECONSTRUCTED_FROM_REPORT</x:v>
      </x:c>
      <x:c r="O20" s="25" t="str">
        <x:v>EXCLUDE</x:v>
      </x:c>
      <x:c r="P20" s="24" t="str">
        <x:v>Fear of Temperature_ Historical Lexical Discovery and Anchor Validation.pdf</x:v>
      </x:c>
      <x:c r="Q20" s="25" t="str">
        <x:v>RECONSTRUCTED_FROM_REPORT</x:v>
      </x:c>
      <x:c r="R20" s="27" t="str">
        <x:v>Original candidate ID and row fields reconstructed from the compact narrative PDF table; this is not the missing original structured record.</x:v>
      </x:c>
    </x:row>
    <x:row r="21" ht="19" customHeight="1">
      <x:c r="A21" s="23" t="str">
        <x:v>FT-SEED-R1-1842-C-04</x:v>
      </x:c>
      <x:c r="B21" s="25" t="str">
        <x:v>INITIAL_180</x:v>
      </x:c>
      <x:c r="C21" s="24" t="str">
        <x:v>1842-C-04</x:v>
      </x:c>
      <x:c r="D21" s="25" t="str">
        <x:v>6</x:v>
      </x:c>
      <x:c r="E21" s="24" t="str">
        <x:v>FT-A1842</x:v>
      </x:c>
      <x:c r="F21" s="24" t="str">
        <x:v>apprehension</x:v>
      </x:c>
      <x:c r="G21" s="25" t="str">
        <x:v>C</x:v>
      </x:c>
      <x:c r="H21" s="25" t="str"/>
      <x:c r="I21" s="24" t="str"/>
      <x:c r="J21" s="25" t="str"/>
      <x:c r="K21" s="25" t="str">
        <x:v>CONFIDENCE=Weak;CARRY_FORWARD=No</x:v>
      </x:c>
      <x:c r="L21" s="24" t="str">
        <x:v>Weak</x:v>
      </x:c>
      <x:c r="M21" s="25" t="str">
        <x:v>No</x:v>
      </x:c>
      <x:c r="N21" s="25" t="str">
        <x:v>RECONSTRUCTED_FROM_REPORT</x:v>
      </x:c>
      <x:c r="O21" s="25" t="str">
        <x:v>EXCLUDE</x:v>
      </x:c>
      <x:c r="P21" s="24" t="str">
        <x:v>Fear of Temperature_ Historical Lexical Discovery and Anchor Validation.pdf</x:v>
      </x:c>
      <x:c r="Q21" s="25" t="str">
        <x:v>RECONSTRUCTED_FROM_REPORT</x:v>
      </x:c>
      <x:c r="R21" s="27" t="str">
        <x:v>Original candidate ID and row fields reconstructed from the compact narrative PDF table; this is not the missing original structured record.</x:v>
      </x:c>
    </x:row>
    <x:row r="22" ht="19" customHeight="1">
      <x:c r="A22" s="23" t="str">
        <x:v>FT-SEED-R1-1842-C-05</x:v>
      </x:c>
      <x:c r="B22" s="25" t="str">
        <x:v>INITIAL_180</x:v>
      </x:c>
      <x:c r="C22" s="24" t="str">
        <x:v>1842-C-05</x:v>
      </x:c>
      <x:c r="D22" s="25" t="str">
        <x:v>6</x:v>
      </x:c>
      <x:c r="E22" s="24" t="str">
        <x:v>FT-A1842</x:v>
      </x:c>
      <x:c r="F22" s="24" t="str">
        <x:v>dread</x:v>
      </x:c>
      <x:c r="G22" s="25" t="str">
        <x:v>C</x:v>
      </x:c>
      <x:c r="H22" s="25" t="str"/>
      <x:c r="I22" s="24" t="str"/>
      <x:c r="J22" s="25" t="str"/>
      <x:c r="K22" s="25" t="str">
        <x:v>CONFIDENCE=Weak;CARRY_FORWARD=No</x:v>
      </x:c>
      <x:c r="L22" s="24" t="str">
        <x:v>Weak</x:v>
      </x:c>
      <x:c r="M22" s="25" t="str">
        <x:v>No</x:v>
      </x:c>
      <x:c r="N22" s="25" t="str">
        <x:v>RECONSTRUCTED_FROM_REPORT</x:v>
      </x:c>
      <x:c r="O22" s="25" t="str">
        <x:v>EXCLUDE</x:v>
      </x:c>
      <x:c r="P22" s="24" t="str">
        <x:v>Fear of Temperature_ Historical Lexical Discovery and Anchor Validation.pdf</x:v>
      </x:c>
      <x:c r="Q22" s="25" t="str">
        <x:v>RECONSTRUCTED_FROM_REPORT</x:v>
      </x:c>
      <x:c r="R22" s="27" t="str">
        <x:v>Original candidate ID and row fields reconstructed from the compact narrative PDF table; this is not the missing original structured record.</x:v>
      </x:c>
    </x:row>
    <x:row r="23" ht="19" customHeight="1">
      <x:c r="A23" s="23" t="str">
        <x:v>FT-SEED-R1-1842-C-06</x:v>
      </x:c>
      <x:c r="B23" s="25" t="str">
        <x:v>INITIAL_180</x:v>
      </x:c>
      <x:c r="C23" s="24" t="str">
        <x:v>1842-C-06</x:v>
      </x:c>
      <x:c r="D23" s="25" t="str">
        <x:v>7</x:v>
      </x:c>
      <x:c r="E23" s="24" t="str">
        <x:v>FT-A1842</x:v>
      </x:c>
      <x:c r="F23" s="24" t="str">
        <x:v>distress</x:v>
      </x:c>
      <x:c r="G23" s="25" t="str">
        <x:v>C</x:v>
      </x:c>
      <x:c r="H23" s="25" t="str"/>
      <x:c r="I23" s="24" t="str"/>
      <x:c r="J23" s="25" t="str"/>
      <x:c r="K23" s="25" t="str">
        <x:v>CONFIDENCE=Weak;CARRY_FORWARD=No</x:v>
      </x:c>
      <x:c r="L23" s="24" t="str">
        <x:v>Weak</x:v>
      </x:c>
      <x:c r="M23" s="25" t="str">
        <x:v>No</x:v>
      </x:c>
      <x:c r="N23" s="25" t="str">
        <x:v>RECONSTRUCTED_FROM_REPORT</x:v>
      </x:c>
      <x:c r="O23" s="25" t="str">
        <x:v>EXCLUDE</x:v>
      </x:c>
      <x:c r="P23" s="24" t="str">
        <x:v>Fear of Temperature_ Historical Lexical Discovery and Anchor Validation.pdf</x:v>
      </x:c>
      <x:c r="Q23" s="25" t="str">
        <x:v>RECONSTRUCTED_FROM_REPORT</x:v>
      </x:c>
      <x:c r="R23" s="27" t="str">
        <x:v>Original candidate ID and row fields reconstructed from the compact narrative PDF table; this is not the missing original structured record.</x:v>
      </x:c>
    </x:row>
    <x:row r="24" ht="19" customHeight="1">
      <x:c r="A24" s="23" t="str">
        <x:v>FT-SEED-R1-1842-C-07</x:v>
      </x:c>
      <x:c r="B24" s="25" t="str">
        <x:v>INITIAL_180</x:v>
      </x:c>
      <x:c r="C24" s="24" t="str">
        <x:v>1842-C-07</x:v>
      </x:c>
      <x:c r="D24" s="25" t="str">
        <x:v>7</x:v>
      </x:c>
      <x:c r="E24" s="24" t="str">
        <x:v>FT-A1842</x:v>
      </x:c>
      <x:c r="F24" s="24" t="str">
        <x:v>relief</x:v>
      </x:c>
      <x:c r="G24" s="25" t="str">
        <x:v>C</x:v>
      </x:c>
      <x:c r="H24" s="25" t="str"/>
      <x:c r="I24" s="24" t="str"/>
      <x:c r="J24" s="25" t="str"/>
      <x:c r="K24" s="25" t="str">
        <x:v>CONFIDENCE=Weak;CARRY_FORWARD=Conditional</x:v>
      </x:c>
      <x:c r="L24" s="24" t="str">
        <x:v>Weak</x:v>
      </x:c>
      <x:c r="M24" s="25" t="str">
        <x:v>Conditional</x:v>
      </x:c>
      <x:c r="N24" s="25" t="str">
        <x:v>RECONSTRUCTED_FROM_REPORT</x:v>
      </x:c>
      <x:c r="O24" s="25" t="str">
        <x:v>UNRESOLVED</x:v>
      </x:c>
      <x:c r="P24" s="24" t="str">
        <x:v>Fear of Temperature_ Historical Lexical Discovery and Anchor Validation.pdf</x:v>
      </x:c>
      <x:c r="Q24" s="25" t="str">
        <x:v>RECONSTRUCTED_FROM_REPORT</x:v>
      </x:c>
      <x:c r="R24" s="27" t="str">
        <x:v>Original candidate ID and row fields reconstructed from the compact narrative PDF table; this is not the missing original structured record.</x:v>
      </x:c>
    </x:row>
    <x:row r="25" ht="19" customHeight="1">
      <x:c r="A25" s="23" t="str">
        <x:v>FT-SEED-R1-1842-D-01</x:v>
      </x:c>
      <x:c r="B25" s="25" t="str">
        <x:v>INITIAL_180</x:v>
      </x:c>
      <x:c r="C25" s="24" t="str">
        <x:v>1842-D-01</x:v>
      </x:c>
      <x:c r="D25" s="25" t="str">
        <x:v>7</x:v>
      </x:c>
      <x:c r="E25" s="24" t="str">
        <x:v>FT-A1842</x:v>
      </x:c>
      <x:c r="F25" s="24" t="str">
        <x:v>danger</x:v>
      </x:c>
      <x:c r="G25" s="25" t="str">
        <x:v>D</x:v>
      </x:c>
      <x:c r="H25" s="25" t="str"/>
      <x:c r="I25" s="24" t="str"/>
      <x:c r="J25" s="25" t="str"/>
      <x:c r="K25" s="25" t="str">
        <x:v>CONFIDENCE=Weak;CARRY_FORWARD=No</x:v>
      </x:c>
      <x:c r="L25" s="24" t="str">
        <x:v>Weak</x:v>
      </x:c>
      <x:c r="M25" s="25" t="str">
        <x:v>No</x:v>
      </x:c>
      <x:c r="N25" s="25" t="str">
        <x:v>RECONSTRUCTED_FROM_REPORT</x:v>
      </x:c>
      <x:c r="O25" s="25" t="str">
        <x:v>EXCLUDE</x:v>
      </x:c>
      <x:c r="P25" s="24" t="str">
        <x:v>Fear of Temperature_ Historical Lexical Discovery and Anchor Validation.pdf</x:v>
      </x:c>
      <x:c r="Q25" s="25" t="str">
        <x:v>RECONSTRUCTED_FROM_REPORT</x:v>
      </x:c>
      <x:c r="R25" s="27" t="str">
        <x:v>Original candidate ID and row fields reconstructed from the compact narrative PDF table; this is not the missing original structured record.</x:v>
      </x:c>
    </x:row>
    <x:row r="26" ht="19" customHeight="1">
      <x:c r="A26" s="23" t="str">
        <x:v>FT-SEED-R1-1842-D-02</x:v>
      </x:c>
      <x:c r="B26" s="25" t="str">
        <x:v>INITIAL_180</x:v>
      </x:c>
      <x:c r="C26" s="24" t="str">
        <x:v>1842-D-02</x:v>
      </x:c>
      <x:c r="D26" s="25" t="str">
        <x:v>7</x:v>
      </x:c>
      <x:c r="E26" s="24" t="str">
        <x:v>FT-A1842</x:v>
      </x:c>
      <x:c r="F26" s="24" t="str">
        <x:v>serious importance</x:v>
      </x:c>
      <x:c r="G26" s="25" t="str">
        <x:v>D</x:v>
      </x:c>
      <x:c r="H26" s="25" t="str"/>
      <x:c r="I26" s="24" t="str"/>
      <x:c r="J26" s="25" t="str"/>
      <x:c r="K26" s="25" t="str">
        <x:v>CONFIDENCE=Strong;CARRY_FORWARD=Conditional</x:v>
      </x:c>
      <x:c r="L26" s="24" t="str">
        <x:v>Strong</x:v>
      </x:c>
      <x:c r="M26" s="25" t="str">
        <x:v>Conditional</x:v>
      </x:c>
      <x:c r="N26" s="25" t="str">
        <x:v>RECONSTRUCTED_FROM_REPORT</x:v>
      </x:c>
      <x:c r="O26" s="25" t="str">
        <x:v>UNRESOLVED</x:v>
      </x:c>
      <x:c r="P26" s="24" t="str">
        <x:v>Fear of Temperature_ Historical Lexical Discovery and Anchor Validation.pdf</x:v>
      </x:c>
      <x:c r="Q26" s="25" t="str">
        <x:v>RECONSTRUCTED_FROM_REPORT</x:v>
      </x:c>
      <x:c r="R26" s="27" t="str">
        <x:v>Original candidate ID and row fields reconstructed from the compact narrative PDF table; this is not the missing original structured record.</x:v>
      </x:c>
    </x:row>
    <x:row r="27" ht="19" customHeight="1">
      <x:c r="A27" s="23" t="str">
        <x:v>FT-SEED-R1-1842-D-03</x:v>
      </x:c>
      <x:c r="B27" s="25" t="str">
        <x:v>INITIAL_180</x:v>
      </x:c>
      <x:c r="C27" s="24" t="str">
        <x:v>1842-D-03</x:v>
      </x:c>
      <x:c r="D27" s="25" t="str">
        <x:v>7</x:v>
      </x:c>
      <x:c r="E27" s="24" t="str">
        <x:v>FT-A1842</x:v>
      </x:c>
      <x:c r="F27" s="24" t="str">
        <x:v>illness</x:v>
      </x:c>
      <x:c r="G27" s="25" t="str">
        <x:v>D</x:v>
      </x:c>
      <x:c r="H27" s="25" t="str"/>
      <x:c r="I27" s="24" t="str"/>
      <x:c r="J27" s="25" t="str"/>
      <x:c r="K27" s="25" t="str">
        <x:v>CONFIDENCE=Moderate;CARRY_FORWARD=Conditional</x:v>
      </x:c>
      <x:c r="L27" s="24" t="str">
        <x:v>Moderate</x:v>
      </x:c>
      <x:c r="M27" s="25" t="str">
        <x:v>Conditional</x:v>
      </x:c>
      <x:c r="N27" s="25" t="str">
        <x:v>RECONSTRUCTED_FROM_REPORT</x:v>
      </x:c>
      <x:c r="O27" s="25" t="str">
        <x:v>UNRESOLVED</x:v>
      </x:c>
      <x:c r="P27" s="24" t="str">
        <x:v>Fear of Temperature_ Historical Lexical Discovery and Anchor Validation.pdf</x:v>
      </x:c>
      <x:c r="Q27" s="25" t="str">
        <x:v>RECONSTRUCTED_FROM_REPORT</x:v>
      </x:c>
      <x:c r="R27" s="27" t="str">
        <x:v>Original candidate ID and row fields reconstructed from the compact narrative PDF table; this is not the missing original structured record.</x:v>
      </x:c>
    </x:row>
    <x:row r="28" ht="19" customHeight="1">
      <x:c r="A28" s="23" t="str">
        <x:v>FT-SEED-R1-1842-D-04</x:v>
      </x:c>
      <x:c r="B28" s="25" t="str">
        <x:v>INITIAL_180</x:v>
      </x:c>
      <x:c r="C28" s="24" t="str">
        <x:v>1842-D-04</x:v>
      </x:c>
      <x:c r="D28" s="25" t="str">
        <x:v>7</x:v>
      </x:c>
      <x:c r="E28" s="24" t="str">
        <x:v>FT-A1842</x:v>
      </x:c>
      <x:c r="F28" s="24" t="str">
        <x:v>death</x:v>
      </x:c>
      <x:c r="G28" s="25" t="str">
        <x:v>D</x:v>
      </x:c>
      <x:c r="H28" s="25" t="str"/>
      <x:c r="I28" s="24" t="str"/>
      <x:c r="J28" s="25" t="str"/>
      <x:c r="K28" s="25" t="str">
        <x:v>CONFIDENCE=Strong;CARRY_FORWARD=Yes</x:v>
      </x:c>
      <x:c r="L28" s="24" t="str">
        <x:v>Strong</x:v>
      </x:c>
      <x:c r="M28" s="25" t="str">
        <x:v>Yes</x:v>
      </x:c>
      <x:c r="N28" s="25" t="str">
        <x:v>RECONSTRUCTED_FROM_REPORT</x:v>
      </x:c>
      <x:c r="O28" s="25" t="str">
        <x:v>RETAIN</x:v>
      </x:c>
      <x:c r="P28" s="24" t="str">
        <x:v>Fear of Temperature_ Historical Lexical Discovery and Anchor Validation.pdf</x:v>
      </x:c>
      <x:c r="Q28" s="25" t="str">
        <x:v>RECONSTRUCTED_FROM_REPORT</x:v>
      </x:c>
      <x:c r="R28" s="27" t="str">
        <x:v>Original candidate ID and row fields reconstructed from the compact narrative PDF table; this is not the missing original structured record.</x:v>
      </x:c>
    </x:row>
    <x:row r="29" ht="19" customHeight="1">
      <x:c r="A29" s="23" t="str">
        <x:v>FT-SEED-R1-1842-D-05</x:v>
      </x:c>
      <x:c r="B29" s="25" t="str">
        <x:v>INITIAL_180</x:v>
      </x:c>
      <x:c r="C29" s="24" t="str">
        <x:v>1842-D-05</x:v>
      </x:c>
      <x:c r="D29" s="25" t="str">
        <x:v>8</x:v>
      </x:c>
      <x:c r="E29" s="24" t="str">
        <x:v>FT-A1842</x:v>
      </x:c>
      <x:c r="F29" s="24" t="str">
        <x:v>loss</x:v>
      </x:c>
      <x:c r="G29" s="25" t="str">
        <x:v>D</x:v>
      </x:c>
      <x:c r="H29" s="25" t="str"/>
      <x:c r="I29" s="24" t="str"/>
      <x:c r="J29" s="25" t="str"/>
      <x:c r="K29" s="25" t="str">
        <x:v>CONFIDENCE=Strong;CARRY_FORWARD=Conditional</x:v>
      </x:c>
      <x:c r="L29" s="24" t="str">
        <x:v>Strong</x:v>
      </x:c>
      <x:c r="M29" s="25" t="str">
        <x:v>Conditional</x:v>
      </x:c>
      <x:c r="N29" s="25" t="str">
        <x:v>RECONSTRUCTED_FROM_REPORT</x:v>
      </x:c>
      <x:c r="O29" s="25" t="str">
        <x:v>UNRESOLVED</x:v>
      </x:c>
      <x:c r="P29" s="24" t="str">
        <x:v>Fear of Temperature_ Historical Lexical Discovery and Anchor Validation.pdf</x:v>
      </x:c>
      <x:c r="Q29" s="25" t="str">
        <x:v>RECONSTRUCTED_FROM_REPORT</x:v>
      </x:c>
      <x:c r="R29" s="27" t="str">
        <x:v>Original candidate ID and row fields reconstructed from the compact narrative PDF table; this is not the missing original structured record.</x:v>
      </x:c>
    </x:row>
    <x:row r="30" ht="19" customHeight="1">
      <x:c r="A30" s="23" t="str">
        <x:v>FT-SEED-R1-1842-D-06</x:v>
      </x:c>
      <x:c r="B30" s="25" t="str">
        <x:v>INITIAL_180</x:v>
      </x:c>
      <x:c r="C30" s="24" t="str">
        <x:v>1842-D-06</x:v>
      </x:c>
      <x:c r="D30" s="25" t="str">
        <x:v>8</x:v>
      </x:c>
      <x:c r="E30" s="24" t="str">
        <x:v>FT-A1842</x:v>
      </x:c>
      <x:c r="F30" s="24" t="str">
        <x:v>damage</x:v>
      </x:c>
      <x:c r="G30" s="25" t="str">
        <x:v>D</x:v>
      </x:c>
      <x:c r="H30" s="25" t="str"/>
      <x:c r="I30" s="24" t="str"/>
      <x:c r="J30" s="25" t="str"/>
      <x:c r="K30" s="25" t="str">
        <x:v>CONFIDENCE=Strong;CARRY_FORWARD=Conditional</x:v>
      </x:c>
      <x:c r="L30" s="24" t="str">
        <x:v>Strong</x:v>
      </x:c>
      <x:c r="M30" s="25" t="str">
        <x:v>Conditional</x:v>
      </x:c>
      <x:c r="N30" s="25" t="str">
        <x:v>RECONSTRUCTED_FROM_REPORT</x:v>
      </x:c>
      <x:c r="O30" s="25" t="str">
        <x:v>UNRESOLVED</x:v>
      </x:c>
      <x:c r="P30" s="24" t="str">
        <x:v>Fear of Temperature_ Historical Lexical Discovery and Anchor Validation.pdf</x:v>
      </x:c>
      <x:c r="Q30" s="25" t="str">
        <x:v>RECONSTRUCTED_FROM_REPORT</x:v>
      </x:c>
      <x:c r="R30" s="27" t="str">
        <x:v>Original candidate ID and row fields reconstructed from the compact narrative PDF table; this is not the missing original structured record.</x:v>
      </x:c>
    </x:row>
    <x:row r="31" ht="19" customHeight="1">
      <x:c r="A31" s="23" t="str">
        <x:v>FT-SEED-R1-1842-D-07</x:v>
      </x:c>
      <x:c r="B31" s="25" t="str">
        <x:v>INITIAL_180</x:v>
      </x:c>
      <x:c r="C31" s="24" t="str">
        <x:v>1842-D-07</x:v>
      </x:c>
      <x:c r="D31" s="25" t="str">
        <x:v>8</x:v>
      </x:c>
      <x:c r="E31" s="24" t="str">
        <x:v>FT-A1842</x:v>
      </x:c>
      <x:c r="F31" s="24" t="str">
        <x:v>heat … caused the death</x:v>
      </x:c>
      <x:c r="G31" s="25" t="str">
        <x:v>D</x:v>
      </x:c>
      <x:c r="H31" s="25" t="str"/>
      <x:c r="I31" s="24" t="str"/>
      <x:c r="J31" s="25" t="str"/>
      <x:c r="K31" s="25" t="str">
        <x:v>CONFIDENCE=Strong;CARRY_FORWARD=Yes</x:v>
      </x:c>
      <x:c r="L31" s="24" t="str">
        <x:v>Strong</x:v>
      </x:c>
      <x:c r="M31" s="25" t="str">
        <x:v>Yes</x:v>
      </x:c>
      <x:c r="N31" s="25" t="str">
        <x:v>RECONSTRUCTED_FROM_REPORT</x:v>
      </x:c>
      <x:c r="O31" s="25" t="str">
        <x:v>RETAIN</x:v>
      </x:c>
      <x:c r="P31" s="24" t="str">
        <x:v>Fear of Temperature_ Historical Lexical Discovery and Anchor Validation.pdf</x:v>
      </x:c>
      <x:c r="Q31" s="25" t="str">
        <x:v>RECONSTRUCTED_FROM_REPORT</x:v>
      </x:c>
      <x:c r="R31" s="27" t="str">
        <x:v>Original candidate ID and row fields reconstructed from the compact narrative PDF table; this is not the missing original structured record.</x:v>
      </x:c>
    </x:row>
    <x:row r="32" ht="19" customHeight="1">
      <x:c r="A32" s="23" t="str">
        <x:v>FT-SEED-R1-1938-A-01</x:v>
      </x:c>
      <x:c r="B32" s="25" t="str">
        <x:v>INITIAL_180</x:v>
      </x:c>
      <x:c r="C32" s="24" t="str">
        <x:v>1938-A-01</x:v>
      </x:c>
      <x:c r="D32" s="25" t="str">
        <x:v>9</x:v>
      </x:c>
      <x:c r="E32" s="24" t="str">
        <x:v>FT-A1938</x:v>
      </x:c>
      <x:c r="F32" s="24" t="str">
        <x:v>temperature</x:v>
      </x:c>
      <x:c r="G32" s="25" t="str">
        <x:v>A</x:v>
      </x:c>
      <x:c r="H32" s="25" t="str"/>
      <x:c r="I32" s="24" t="str"/>
      <x:c r="J32" s="25" t="str"/>
      <x:c r="K32" s="25" t="str">
        <x:v>CONFIDENCE=Strong;CARRY_FORWARD=Yes</x:v>
      </x:c>
      <x:c r="L32" s="24" t="str">
        <x:v>Strong</x:v>
      </x:c>
      <x:c r="M32" s="25" t="str">
        <x:v>Yes</x:v>
      </x:c>
      <x:c r="N32" s="25" t="str">
        <x:v>RECONSTRUCTED_FROM_REPORT</x:v>
      </x:c>
      <x:c r="O32" s="25" t="str">
        <x:v>RETAIN</x:v>
      </x:c>
      <x:c r="P32" s="24" t="str">
        <x:v>Fear of Temperature_ Historical Lexical Discovery and Anchor Validation.pdf</x:v>
      </x:c>
      <x:c r="Q32" s="25" t="str">
        <x:v>RECONSTRUCTED_FROM_REPORT</x:v>
      </x:c>
      <x:c r="R32" s="27" t="str">
        <x:v>Original candidate ID and row fields reconstructed from the compact narrative PDF table; this is not the missing original structured record.</x:v>
      </x:c>
    </x:row>
    <x:row r="33" ht="19" customHeight="1">
      <x:c r="A33" s="23" t="str">
        <x:v>FT-SEED-R1-1938-A-02</x:v>
      </x:c>
      <x:c r="B33" s="25" t="str">
        <x:v>INITIAL_180</x:v>
      </x:c>
      <x:c r="C33" s="24" t="str">
        <x:v>1938-A-02</x:v>
      </x:c>
      <x:c r="D33" s="25" t="str">
        <x:v>9</x:v>
      </x:c>
      <x:c r="E33" s="24" t="str">
        <x:v>FT-A1938</x:v>
      </x:c>
      <x:c r="F33" s="24" t="str">
        <x:v>mean temperature</x:v>
      </x:c>
      <x:c r="G33" s="25" t="str">
        <x:v>A</x:v>
      </x:c>
      <x:c r="H33" s="25" t="str"/>
      <x:c r="I33" s="24" t="str"/>
      <x:c r="J33" s="25" t="str"/>
      <x:c r="K33" s="25" t="str">
        <x:v>CONFIDENCE=Strong;CARRY_FORWARD=Yes</x:v>
      </x:c>
      <x:c r="L33" s="24" t="str">
        <x:v>Strong</x:v>
      </x:c>
      <x:c r="M33" s="25" t="str">
        <x:v>Yes</x:v>
      </x:c>
      <x:c r="N33" s="25" t="str">
        <x:v>RECONSTRUCTED_FROM_REPORT</x:v>
      </x:c>
      <x:c r="O33" s="25" t="str">
        <x:v>RETAIN</x:v>
      </x:c>
      <x:c r="P33" s="24" t="str">
        <x:v>Fear of Temperature_ Historical Lexical Discovery and Anchor Validation.pdf</x:v>
      </x:c>
      <x:c r="Q33" s="25" t="str">
        <x:v>RECONSTRUCTED_FROM_REPORT</x:v>
      </x:c>
      <x:c r="R33" s="27" t="str">
        <x:v>Original candidate ID and row fields reconstructed from the compact narrative PDF table; this is not the missing original structured record.</x:v>
      </x:c>
    </x:row>
    <x:row r="34" ht="19" customHeight="1">
      <x:c r="A34" s="23" t="str">
        <x:v>FT-SEED-R1-1938-A-03</x:v>
      </x:c>
      <x:c r="B34" s="25" t="str">
        <x:v>INITIAL_180</x:v>
      </x:c>
      <x:c r="C34" s="24" t="str">
        <x:v>1938-A-03</x:v>
      </x:c>
      <x:c r="D34" s="25" t="str">
        <x:v>9</x:v>
      </x:c>
      <x:c r="E34" s="24" t="str">
        <x:v>FT-A1938</x:v>
      </x:c>
      <x:c r="F34" s="24" t="str">
        <x:v>world temperatures</x:v>
      </x:c>
      <x:c r="G34" s="25" t="str">
        <x:v>A</x:v>
      </x:c>
      <x:c r="H34" s="25" t="str"/>
      <x:c r="I34" s="24" t="str"/>
      <x:c r="J34" s="25" t="str"/>
      <x:c r="K34" s="25" t="str">
        <x:v>CONFIDENCE=Strong;CARRY_FORWARD=Yes</x:v>
      </x:c>
      <x:c r="L34" s="24" t="str">
        <x:v>Strong</x:v>
      </x:c>
      <x:c r="M34" s="25" t="str">
        <x:v>Yes</x:v>
      </x:c>
      <x:c r="N34" s="25" t="str">
        <x:v>RECONSTRUCTED_FROM_REPORT</x:v>
      </x:c>
      <x:c r="O34" s="25" t="str">
        <x:v>RETAIN</x:v>
      </x:c>
      <x:c r="P34" s="24" t="str">
        <x:v>Fear of Temperature_ Historical Lexical Discovery and Anchor Validation.pdf</x:v>
      </x:c>
      <x:c r="Q34" s="25" t="str">
        <x:v>RECONSTRUCTED_FROM_REPORT</x:v>
      </x:c>
      <x:c r="R34" s="27" t="str">
        <x:v>Original candidate ID and row fields reconstructed from the compact narrative PDF table; this is not the missing original structured record.</x:v>
      </x:c>
    </x:row>
    <x:row r="35" ht="19" customHeight="1">
      <x:c r="A35" s="23" t="str">
        <x:v>FT-SEED-R1-1938-A-04</x:v>
      </x:c>
      <x:c r="B35" s="25" t="str">
        <x:v>INITIAL_180</x:v>
      </x:c>
      <x:c r="C35" s="24" t="str">
        <x:v>1938-A-04</x:v>
      </x:c>
      <x:c r="D35" s="25" t="str">
        <x:v>9</x:v>
      </x:c>
      <x:c r="E35" s="24" t="str">
        <x:v>FT-A1938</x:v>
      </x:c>
      <x:c r="F35" s="24" t="str">
        <x:v>temperature increase</x:v>
      </x:c>
      <x:c r="G35" s="25" t="str">
        <x:v>A</x:v>
      </x:c>
      <x:c r="H35" s="25" t="str"/>
      <x:c r="I35" s="24" t="str"/>
      <x:c r="J35" s="25" t="str"/>
      <x:c r="K35" s="25" t="str">
        <x:v>CONFIDENCE=Strong;CARRY_FORWARD=Yes</x:v>
      </x:c>
      <x:c r="L35" s="24" t="str">
        <x:v>Strong</x:v>
      </x:c>
      <x:c r="M35" s="25" t="str">
        <x:v>Yes</x:v>
      </x:c>
      <x:c r="N35" s="25" t="str">
        <x:v>RECONSTRUCTED_FROM_REPORT</x:v>
      </x:c>
      <x:c r="O35" s="25" t="str">
        <x:v>RETAIN</x:v>
      </x:c>
      <x:c r="P35" s="24" t="str">
        <x:v>Fear of Temperature_ Historical Lexical Discovery and Anchor Validation.pdf</x:v>
      </x:c>
      <x:c r="Q35" s="25" t="str">
        <x:v>RECONSTRUCTED_FROM_REPORT</x:v>
      </x:c>
      <x:c r="R35" s="27" t="str">
        <x:v>Original candidate ID and row fields reconstructed from the compact narrative PDF table; this is not the missing original structured record.</x:v>
      </x:c>
    </x:row>
    <x:row r="36" ht="19" customHeight="1">
      <x:c r="A36" s="23" t="str">
        <x:v>FT-SEED-R1-1938-A-05</x:v>
      </x:c>
      <x:c r="B36" s="25" t="str">
        <x:v>INITIAL_180</x:v>
      </x:c>
      <x:c r="C36" s="24" t="str">
        <x:v>1938-A-05</x:v>
      </x:c>
      <x:c r="D36" s="25" t="str">
        <x:v>9</x:v>
      </x:c>
      <x:c r="E36" s="24" t="str">
        <x:v>FT-A1938</x:v>
      </x:c>
      <x:c r="F36" s="24" t="str">
        <x:v>rise in temperature</x:v>
      </x:c>
      <x:c r="G36" s="25" t="str">
        <x:v>A</x:v>
      </x:c>
      <x:c r="H36" s="25" t="str"/>
      <x:c r="I36" s="24" t="str"/>
      <x:c r="J36" s="25" t="str"/>
      <x:c r="K36" s="25" t="str">
        <x:v>CONFIDENCE=Strong;CARRY_FORWARD=Yes</x:v>
      </x:c>
      <x:c r="L36" s="24" t="str">
        <x:v>Strong</x:v>
      </x:c>
      <x:c r="M36" s="25" t="str">
        <x:v>Yes</x:v>
      </x:c>
      <x:c r="N36" s="25" t="str">
        <x:v>RECONSTRUCTED_FROM_REPORT</x:v>
      </x:c>
      <x:c r="O36" s="25" t="str">
        <x:v>RETAIN</x:v>
      </x:c>
      <x:c r="P36" s="24" t="str">
        <x:v>Fear of Temperature_ Historical Lexical Discovery and Anchor Validation.pdf</x:v>
      </x:c>
      <x:c r="Q36" s="25" t="str">
        <x:v>RECONSTRUCTED_FROM_REPORT</x:v>
      </x:c>
      <x:c r="R36" s="27" t="str">
        <x:v>Original candidate ID and row fields reconstructed from the compact narrative PDF table; this is not the missing original structured record.</x:v>
      </x:c>
    </x:row>
    <x:row r="37" ht="19" customHeight="1">
      <x:c r="A37" s="23" t="str">
        <x:v>FT-SEED-R1-1938-A-06</x:v>
      </x:c>
      <x:c r="B37" s="25" t="str">
        <x:v>INITIAL_180</x:v>
      </x:c>
      <x:c r="C37" s="24" t="str">
        <x:v>1938-A-06</x:v>
      </x:c>
      <x:c r="D37" s="25" t="str">
        <x:v>9</x:v>
      </x:c>
      <x:c r="E37" s="24" t="str">
        <x:v>FT-A1938</x:v>
      </x:c>
      <x:c r="F37" s="24" t="str">
        <x:v>surface temperatures</x:v>
      </x:c>
      <x:c r="G37" s="25" t="str">
        <x:v>A</x:v>
      </x:c>
      <x:c r="H37" s="25" t="str"/>
      <x:c r="I37" s="24" t="str"/>
      <x:c r="J37" s="25" t="str"/>
      <x:c r="K37" s="25" t="str">
        <x:v>CONFIDENCE=Strong;CARRY_FORWARD=Yes</x:v>
      </x:c>
      <x:c r="L37" s="24" t="str">
        <x:v>Strong</x:v>
      </x:c>
      <x:c r="M37" s="25" t="str">
        <x:v>Yes</x:v>
      </x:c>
      <x:c r="N37" s="25" t="str">
        <x:v>RECONSTRUCTED_FROM_REPORT</x:v>
      </x:c>
      <x:c r="O37" s="25" t="str">
        <x:v>RETAIN</x:v>
      </x:c>
      <x:c r="P37" s="24" t="str">
        <x:v>Fear of Temperature_ Historical Lexical Discovery and Anchor Validation.pdf</x:v>
      </x:c>
      <x:c r="Q37" s="25" t="str">
        <x:v>RECONSTRUCTED_FROM_REPORT</x:v>
      </x:c>
      <x:c r="R37" s="27" t="str">
        <x:v>Original candidate ID and row fields reconstructed from the compact narrative PDF table; this is not the missing original structured record.</x:v>
      </x:c>
    </x:row>
    <x:row r="38" ht="19" customHeight="1">
      <x:c r="A38" s="23" t="str">
        <x:v>FT-SEED-R1-1938-A-07</x:v>
      </x:c>
      <x:c r="B38" s="25" t="str">
        <x:v>INITIAL_180</x:v>
      </x:c>
      <x:c r="C38" s="24" t="str">
        <x:v>1938-A-07</x:v>
      </x:c>
      <x:c r="D38" s="25" t="str">
        <x:v>10</x:v>
      </x:c>
      <x:c r="E38" s="24" t="str">
        <x:v>FT-A1938</x:v>
      </x:c>
      <x:c r="F38" s="24" t="str">
        <x:v>temperature observations</x:v>
      </x:c>
      <x:c r="G38" s="25" t="str">
        <x:v>A</x:v>
      </x:c>
      <x:c r="H38" s="25" t="str"/>
      <x:c r="I38" s="24" t="str"/>
      <x:c r="J38" s="25" t="str"/>
      <x:c r="K38" s="25" t="str">
        <x:v>CONFIDENCE=Strong;CARRY_FORWARD=Yes</x:v>
      </x:c>
      <x:c r="L38" s="24" t="str">
        <x:v>Strong</x:v>
      </x:c>
      <x:c r="M38" s="25" t="str">
        <x:v>Yes</x:v>
      </x:c>
      <x:c r="N38" s="25" t="str">
        <x:v>RECONSTRUCTED_FROM_REPORT</x:v>
      </x:c>
      <x:c r="O38" s="25" t="str">
        <x:v>RETAIN</x:v>
      </x:c>
      <x:c r="P38" s="24" t="str">
        <x:v>Fear of Temperature_ Historical Lexical Discovery and Anchor Validation.pdf</x:v>
      </x:c>
      <x:c r="Q38" s="25" t="str">
        <x:v>RECONSTRUCTED_FROM_REPORT</x:v>
      </x:c>
      <x:c r="R38" s="27" t="str">
        <x:v>Original candidate ID and row fields reconstructed from the compact narrative PDF table; this is not the missing original structured record.</x:v>
      </x:c>
    </x:row>
    <x:row r="39" ht="19" customHeight="1">
      <x:c r="A39" s="23" t="str">
        <x:v>FT-SEED-R1-1938-A-08</x:v>
      </x:c>
      <x:c r="B39" s="25" t="str">
        <x:v>INITIAL_180</x:v>
      </x:c>
      <x:c r="C39" s="24" t="str">
        <x:v>1938-A-08</x:v>
      </x:c>
      <x:c r="D39" s="25" t="str">
        <x:v>10</x:v>
      </x:c>
      <x:c r="E39" s="24" t="str">
        <x:v>FT-A1938</x:v>
      </x:c>
      <x:c r="F39" s="24" t="str">
        <x:v>temperature change</x:v>
      </x:c>
      <x:c r="G39" s="25" t="str">
        <x:v>A</x:v>
      </x:c>
      <x:c r="H39" s="25" t="str"/>
      <x:c r="I39" s="24" t="str"/>
      <x:c r="J39" s="25" t="str"/>
      <x:c r="K39" s="25" t="str">
        <x:v>CONFIDENCE=Strong;CARRY_FORWARD=Yes</x:v>
      </x:c>
      <x:c r="L39" s="24" t="str">
        <x:v>Strong</x:v>
      </x:c>
      <x:c r="M39" s="25" t="str">
        <x:v>Yes</x:v>
      </x:c>
      <x:c r="N39" s="25" t="str">
        <x:v>RECONSTRUCTED_FROM_REPORT</x:v>
      </x:c>
      <x:c r="O39" s="25" t="str">
        <x:v>RETAIN</x:v>
      </x:c>
      <x:c r="P39" s="24" t="str">
        <x:v>Fear of Temperature_ Historical Lexical Discovery and Anchor Validation.pdf</x:v>
      </x:c>
      <x:c r="Q39" s="25" t="str">
        <x:v>RECONSTRUCTED_FROM_REPORT</x:v>
      </x:c>
      <x:c r="R39" s="27" t="str">
        <x:v>Original candidate ID and row fields reconstructed from the compact narrative PDF table; this is not the missing original structured record.</x:v>
      </x:c>
    </x:row>
    <x:row r="40" ht="19" customHeight="1">
      <x:c r="A40" s="23" t="str">
        <x:v>FT-SEED-R1-1938-B-01</x:v>
      </x:c>
      <x:c r="B40" s="25" t="str">
        <x:v>INITIAL_180</x:v>
      </x:c>
      <x:c r="C40" s="24" t="str">
        <x:v>1938-B-01</x:v>
      </x:c>
      <x:c r="D40" s="25" t="str">
        <x:v>10</x:v>
      </x:c>
      <x:c r="E40" s="24" t="str">
        <x:v>FT-A1938</x:v>
      </x:c>
      <x:c r="F40" s="24" t="str">
        <x:v>carbon dioxide</x:v>
      </x:c>
      <x:c r="G40" s="25" t="str">
        <x:v>B</x:v>
      </x:c>
      <x:c r="H40" s="25" t="str"/>
      <x:c r="I40" s="24" t="str"/>
      <x:c r="J40" s="25" t="str"/>
      <x:c r="K40" s="25" t="str">
        <x:v>CONFIDENCE=Strong;CARRY_FORWARD=Yes</x:v>
      </x:c>
      <x:c r="L40" s="24" t="str">
        <x:v>Strong</x:v>
      </x:c>
      <x:c r="M40" s="25" t="str">
        <x:v>Yes</x:v>
      </x:c>
      <x:c r="N40" s="25" t="str">
        <x:v>RECONSTRUCTED_FROM_REPORT</x:v>
      </x:c>
      <x:c r="O40" s="25" t="str">
        <x:v>RETAIN</x:v>
      </x:c>
      <x:c r="P40" s="24" t="str">
        <x:v>Fear of Temperature_ Historical Lexical Discovery and Anchor Validation.pdf</x:v>
      </x:c>
      <x:c r="Q40" s="25" t="str">
        <x:v>RECONSTRUCTED_FROM_REPORT</x:v>
      </x:c>
      <x:c r="R40" s="27" t="str">
        <x:v>Original candidate ID and row fields reconstructed from the compact narrative PDF table; this is not the missing original structured record.</x:v>
      </x:c>
    </x:row>
    <x:row r="41" ht="19" customHeight="1">
      <x:c r="A41" s="23" t="str">
        <x:v>FT-SEED-R1-1938-B-02</x:v>
      </x:c>
      <x:c r="B41" s="25" t="str">
        <x:v>INITIAL_180</x:v>
      </x:c>
      <x:c r="C41" s="24" t="str">
        <x:v>1938-B-02</x:v>
      </x:c>
      <x:c r="D41" s="25" t="str">
        <x:v>10</x:v>
      </x:c>
      <x:c r="E41" s="24" t="str">
        <x:v>FT-A1938</x:v>
      </x:c>
      <x:c r="F41" s="24" t="str">
        <x:v>atmospheric carbon dioxide</x:v>
      </x:c>
      <x:c r="G41" s="25" t="str">
        <x:v>B</x:v>
      </x:c>
      <x:c r="H41" s="25" t="str"/>
      <x:c r="I41" s="24" t="str"/>
      <x:c r="J41" s="25" t="str"/>
      <x:c r="K41" s="25" t="str">
        <x:v>CONFIDENCE=Strong;CARRY_FORWARD=Yes</x:v>
      </x:c>
      <x:c r="L41" s="24" t="str">
        <x:v>Strong</x:v>
      </x:c>
      <x:c r="M41" s="25" t="str">
        <x:v>Yes</x:v>
      </x:c>
      <x:c r="N41" s="25" t="str">
        <x:v>RECONSTRUCTED_FROM_REPORT</x:v>
      </x:c>
      <x:c r="O41" s="25" t="str">
        <x:v>RETAIN</x:v>
      </x:c>
      <x:c r="P41" s="24" t="str">
        <x:v>Fear of Temperature_ Historical Lexical Discovery and Anchor Validation.pdf</x:v>
      </x:c>
      <x:c r="Q41" s="25" t="str">
        <x:v>RECONSTRUCTED_FROM_REPORT</x:v>
      </x:c>
      <x:c r="R41" s="27" t="str">
        <x:v>Original candidate ID and row fields reconstructed from the compact narrative PDF table; this is not the missing original structured record.</x:v>
      </x:c>
    </x:row>
    <x:row r="42" ht="19" customHeight="1">
      <x:c r="A42" s="23" t="str">
        <x:v>FT-SEED-R1-1938-B-03</x:v>
      </x:c>
      <x:c r="B42" s="25" t="str">
        <x:v>INITIAL_180</x:v>
      </x:c>
      <x:c r="C42" s="24" t="str">
        <x:v>1938-B-03</x:v>
      </x:c>
      <x:c r="D42" s="25" t="str">
        <x:v>10</x:v>
      </x:c>
      <x:c r="E42" s="24" t="str">
        <x:v>FT-A1938</x:v>
      </x:c>
      <x:c r="F42" s="24" t="str">
        <x:v>artificial production of carbon dioxide</x:v>
      </x:c>
      <x:c r="G42" s="25" t="str">
        <x:v>B</x:v>
      </x:c>
      <x:c r="H42" s="25" t="str"/>
      <x:c r="I42" s="24" t="str"/>
      <x:c r="J42" s="25" t="str"/>
      <x:c r="K42" s="25" t="str">
        <x:v>CONFIDENCE=Strong;CARRY_FORWARD=Yes</x:v>
      </x:c>
      <x:c r="L42" s="24" t="str">
        <x:v>Strong</x:v>
      </x:c>
      <x:c r="M42" s="25" t="str">
        <x:v>Yes</x:v>
      </x:c>
      <x:c r="N42" s="25" t="str">
        <x:v>RECONSTRUCTED_FROM_REPORT</x:v>
      </x:c>
      <x:c r="O42" s="25" t="str">
        <x:v>RETAIN</x:v>
      </x:c>
      <x:c r="P42" s="24" t="str">
        <x:v>Fear of Temperature_ Historical Lexical Discovery and Anchor Validation.pdf</x:v>
      </x:c>
      <x:c r="Q42" s="25" t="str">
        <x:v>RECONSTRUCTED_FROM_REPORT</x:v>
      </x:c>
      <x:c r="R42" s="27" t="str">
        <x:v>Original candidate ID and row fields reconstructed from the compact narrative PDF table; this is not the missing original structured record.</x:v>
      </x:c>
    </x:row>
    <x:row r="43" ht="19" customHeight="1">
      <x:c r="A43" s="23" t="str">
        <x:v>FT-SEED-R1-1938-B-04</x:v>
      </x:c>
      <x:c r="B43" s="25" t="str">
        <x:v>INITIAL_180</x:v>
      </x:c>
      <x:c r="C43" s="24" t="str">
        <x:v>1938-B-04</x:v>
      </x:c>
      <x:c r="D43" s="25" t="str">
        <x:v>10</x:v>
      </x:c>
      <x:c r="E43" s="24" t="str">
        <x:v>FT-A1938</x:v>
      </x:c>
      <x:c r="F43" s="24" t="str">
        <x:v>atmosphere</x:v>
      </x:c>
      <x:c r="G43" s="25" t="str">
        <x:v>B</x:v>
      </x:c>
      <x:c r="H43" s="25" t="str"/>
      <x:c r="I43" s="24" t="str"/>
      <x:c r="J43" s="25" t="str"/>
      <x:c r="K43" s="25" t="str">
        <x:v>CONFIDENCE=Strong;CARRY_FORWARD=Yes</x:v>
      </x:c>
      <x:c r="L43" s="24" t="str">
        <x:v>Strong</x:v>
      </x:c>
      <x:c r="M43" s="25" t="str">
        <x:v>Yes</x:v>
      </x:c>
      <x:c r="N43" s="25" t="str">
        <x:v>RECONSTRUCTED_FROM_REPORT</x:v>
      </x:c>
      <x:c r="O43" s="25" t="str">
        <x:v>RETAIN</x:v>
      </x:c>
      <x:c r="P43" s="24" t="str">
        <x:v>Fear of Temperature_ Historical Lexical Discovery and Anchor Validation.pdf</x:v>
      </x:c>
      <x:c r="Q43" s="25" t="str">
        <x:v>RECONSTRUCTED_FROM_REPORT</x:v>
      </x:c>
      <x:c r="R43" s="27" t="str">
        <x:v>Original candidate ID and row fields reconstructed from the compact narrative PDF table; this is not the missing original structured record.</x:v>
      </x:c>
    </x:row>
    <x:row r="44" ht="19" customHeight="1">
      <x:c r="A44" s="23" t="str">
        <x:v>FT-SEED-R1-1938-B-05</x:v>
      </x:c>
      <x:c r="B44" s="25" t="str">
        <x:v>INITIAL_180</x:v>
      </x:c>
      <x:c r="C44" s="24" t="str">
        <x:v>1938-B-05</x:v>
      </x:c>
      <x:c r="D44" s="25" t="str">
        <x:v>10</x:v>
      </x:c>
      <x:c r="E44" s="24" t="str">
        <x:v>FT-A1938</x:v>
      </x:c>
      <x:c r="F44" s="24" t="str">
        <x:v>climate</x:v>
      </x:c>
      <x:c r="G44" s="25" t="str">
        <x:v>B</x:v>
      </x:c>
      <x:c r="H44" s="25" t="str"/>
      <x:c r="I44" s="24" t="str"/>
      <x:c r="J44" s="25" t="str"/>
      <x:c r="K44" s="25" t="str">
        <x:v>CONFIDENCE=Strong;CARRY_FORWARD=Yes</x:v>
      </x:c>
      <x:c r="L44" s="24" t="str">
        <x:v>Strong</x:v>
      </x:c>
      <x:c r="M44" s="25" t="str">
        <x:v>Yes</x:v>
      </x:c>
      <x:c r="N44" s="25" t="str">
        <x:v>RECONSTRUCTED_FROM_REPORT</x:v>
      </x:c>
      <x:c r="O44" s="25" t="str">
        <x:v>RETAIN</x:v>
      </x:c>
      <x:c r="P44" s="24" t="str">
        <x:v>Fear of Temperature_ Historical Lexical Discovery and Anchor Validation.pdf</x:v>
      </x:c>
      <x:c r="Q44" s="25" t="str">
        <x:v>RECONSTRUCTED_FROM_REPORT</x:v>
      </x:c>
      <x:c r="R44" s="27" t="str">
        <x:v>Original candidate ID and row fields reconstructed from the compact narrative PDF table; this is not the missing original structured record.</x:v>
      </x:c>
    </x:row>
    <x:row r="45" ht="19" customHeight="1">
      <x:c r="A45" s="23" t="str">
        <x:v>FT-SEED-R1-1938-B-06</x:v>
      </x:c>
      <x:c r="B45" s="25" t="str">
        <x:v>INITIAL_180</x:v>
      </x:c>
      <x:c r="C45" s="24" t="str">
        <x:v>1938-B-06</x:v>
      </x:c>
      <x:c r="D45" s="25" t="str">
        <x:v>10</x:v>
      </x:c>
      <x:c r="E45" s="24" t="str">
        <x:v>FT-A1938</x:v>
      </x:c>
      <x:c r="F45" s="24" t="str">
        <x:v>climatic change</x:v>
      </x:c>
      <x:c r="G45" s="25" t="str">
        <x:v>B</x:v>
      </x:c>
      <x:c r="H45" s="25" t="str"/>
      <x:c r="I45" s="24" t="str"/>
      <x:c r="J45" s="25" t="str"/>
      <x:c r="K45" s="25" t="str">
        <x:v>CONFIDENCE=Strong;CARRY_FORWARD=Yes</x:v>
      </x:c>
      <x:c r="L45" s="24" t="str">
        <x:v>Strong</x:v>
      </x:c>
      <x:c r="M45" s="25" t="str">
        <x:v>Yes</x:v>
      </x:c>
      <x:c r="N45" s="25" t="str">
        <x:v>RECONSTRUCTED_FROM_REPORT</x:v>
      </x:c>
      <x:c r="O45" s="25" t="str">
        <x:v>RETAIN</x:v>
      </x:c>
      <x:c r="P45" s="24" t="str">
        <x:v>Fear of Temperature_ Historical Lexical Discovery and Anchor Validation.pdf</x:v>
      </x:c>
      <x:c r="Q45" s="25" t="str">
        <x:v>RECONSTRUCTED_FROM_REPORT</x:v>
      </x:c>
      <x:c r="R45" s="27" t="str">
        <x:v>Original candidate ID and row fields reconstructed from the compact narrative PDF table; this is not the missing original structured record.</x:v>
      </x:c>
    </x:row>
    <x:row r="46" ht="19" customHeight="1">
      <x:c r="A46" s="23" t="str">
        <x:v>FT-SEED-R1-1938-B-07</x:v>
      </x:c>
      <x:c r="B46" s="25" t="str">
        <x:v>INITIAL_180</x:v>
      </x:c>
      <x:c r="C46" s="24" t="str">
        <x:v>1938-B-07</x:v>
      </x:c>
      <x:c r="D46" s="25" t="str">
        <x:v>10</x:v>
      </x:c>
      <x:c r="E46" s="24" t="str">
        <x:v>FT-A1938</x:v>
      </x:c>
      <x:c r="F46" s="24" t="str">
        <x:v>carbon dioxide theory</x:v>
      </x:c>
      <x:c r="G46" s="25" t="str">
        <x:v>B</x:v>
      </x:c>
      <x:c r="H46" s="25" t="str"/>
      <x:c r="I46" s="24" t="str"/>
      <x:c r="J46" s="25" t="str"/>
      <x:c r="K46" s="25" t="str">
        <x:v>CONFIDENCE=Moderate;CARRY_FORWARD=Conditional</x:v>
      </x:c>
      <x:c r="L46" s="24" t="str">
        <x:v>Moderate</x:v>
      </x:c>
      <x:c r="M46" s="25" t="str">
        <x:v>Conditional</x:v>
      </x:c>
      <x:c r="N46" s="25" t="str">
        <x:v>RECONSTRUCTED_FROM_REPORT</x:v>
      </x:c>
      <x:c r="O46" s="25" t="str">
        <x:v>UNRESOLVED</x:v>
      </x:c>
      <x:c r="P46" s="24" t="str">
        <x:v>Fear of Temperature_ Historical Lexical Discovery and Anchor Validation.pdf</x:v>
      </x:c>
      <x:c r="Q46" s="25" t="str">
        <x:v>RECONSTRUCTED_FROM_REPORT</x:v>
      </x:c>
      <x:c r="R46" s="27" t="str">
        <x:v>Original candidate ID and row fields reconstructed from the compact narrative PDF table; this is not the missing original structured record.</x:v>
      </x:c>
    </x:row>
    <x:row r="47" ht="19" customHeight="1">
      <x:c r="A47" s="23" t="str">
        <x:v>FT-SEED-R1-1938-B-08</x:v>
      </x:c>
      <x:c r="B47" s="25" t="str">
        <x:v>INITIAL_180</x:v>
      </x:c>
      <x:c r="C47" s="24" t="str">
        <x:v>1938-B-08</x:v>
      </x:c>
      <x:c r="D47" s="25" t="str">
        <x:v>11</x:v>
      </x:c>
      <x:c r="E47" s="24" t="str">
        <x:v>FT-A1938</x:v>
      </x:c>
      <x:c r="F47" s="24" t="str">
        <x:v>human agency</x:v>
      </x:c>
      <x:c r="G47" s="25" t="str">
        <x:v>B</x:v>
      </x:c>
      <x:c r="H47" s="25" t="str"/>
      <x:c r="I47" s="24" t="str"/>
      <x:c r="J47" s="25" t="str"/>
      <x:c r="K47" s="25" t="str">
        <x:v>CONFIDENCE=Strong;CARRY_FORWARD=Yes</x:v>
      </x:c>
      <x:c r="L47" s="24" t="str">
        <x:v>Strong</x:v>
      </x:c>
      <x:c r="M47" s="25" t="str">
        <x:v>Yes</x:v>
      </x:c>
      <x:c r="N47" s="25" t="str">
        <x:v>RECONSTRUCTED_FROM_REPORT</x:v>
      </x:c>
      <x:c r="O47" s="25" t="str">
        <x:v>RETAIN</x:v>
      </x:c>
      <x:c r="P47" s="24" t="str">
        <x:v>Fear of Temperature_ Historical Lexical Discovery and Anchor Validation.pdf</x:v>
      </x:c>
      <x:c r="Q47" s="25" t="str">
        <x:v>RECONSTRUCTED_FROM_REPORT</x:v>
      </x:c>
      <x:c r="R47" s="27" t="str">
        <x:v>Original candidate ID and row fields reconstructed from the compact narrative PDF table; this is not the missing original structured record.</x:v>
      </x:c>
    </x:row>
    <x:row r="48" ht="19" customHeight="1">
      <x:c r="A48" s="23" t="str">
        <x:v>FT-SEED-R1-1938-C-01</x:v>
      </x:c>
      <x:c r="B48" s="25" t="str">
        <x:v>INITIAL_180</x:v>
      </x:c>
      <x:c r="C48" s="24" t="str">
        <x:v>1938-C-01</x:v>
      </x:c>
      <x:c r="D48" s="25" t="str">
        <x:v>11</x:v>
      </x:c>
      <x:c r="E48" s="24" t="str">
        <x:v>FT-A1938</x:v>
      </x:c>
      <x:c r="F48" s="24" t="str">
        <x:v>doubtful</x:v>
      </x:c>
      <x:c r="G48" s="25" t="str">
        <x:v>C</x:v>
      </x:c>
      <x:c r="H48" s="25" t="str"/>
      <x:c r="I48" s="24" t="str"/>
      <x:c r="J48" s="25" t="str"/>
      <x:c r="K48" s="25" t="str">
        <x:v>CONFIDENCE=Moderate;CARRY_FORWARD=Conditional</x:v>
      </x:c>
      <x:c r="L48" s="24" t="str">
        <x:v>Moderate</x:v>
      </x:c>
      <x:c r="M48" s="25" t="str">
        <x:v>Conditional</x:v>
      </x:c>
      <x:c r="N48" s="25" t="str">
        <x:v>RECONSTRUCTED_FROM_REPORT</x:v>
      </x:c>
      <x:c r="O48" s="25" t="str">
        <x:v>UNRESOLVED</x:v>
      </x:c>
      <x:c r="P48" s="24" t="str">
        <x:v>Fear of Temperature_ Historical Lexical Discovery and Anchor Validation.pdf</x:v>
      </x:c>
      <x:c r="Q48" s="25" t="str">
        <x:v>RECONSTRUCTED_FROM_REPORT</x:v>
      </x:c>
      <x:c r="R48" s="27" t="str">
        <x:v>Original candidate ID and row fields reconstructed from the compact narrative PDF table; this is not the missing original structured record.</x:v>
      </x:c>
    </x:row>
    <x:row r="49" ht="19" customHeight="1">
      <x:c r="A49" s="23" t="str">
        <x:v>FT-SEED-R1-1938-C-02</x:v>
      </x:c>
      <x:c r="B49" s="25" t="str">
        <x:v>INITIAL_180</x:v>
      </x:c>
      <x:c r="C49" s="24" t="str">
        <x:v>1938-C-02</x:v>
      </x:c>
      <x:c r="D49" s="25" t="str">
        <x:v>11</x:v>
      </x:c>
      <x:c r="E49" s="24" t="str">
        <x:v>FT-A1938</x:v>
      </x:c>
      <x:c r="F49" s="24" t="str">
        <x:v>uncertainty</x:v>
      </x:c>
      <x:c r="G49" s="25" t="str">
        <x:v>C</x:v>
      </x:c>
      <x:c r="H49" s="25" t="str"/>
      <x:c r="I49" s="24" t="str"/>
      <x:c r="J49" s="25" t="str"/>
      <x:c r="K49" s="25" t="str">
        <x:v>CONFIDENCE=Moderate;CARRY_FORWARD=Conditional</x:v>
      </x:c>
      <x:c r="L49" s="24" t="str">
        <x:v>Moderate</x:v>
      </x:c>
      <x:c r="M49" s="25" t="str">
        <x:v>Conditional</x:v>
      </x:c>
      <x:c r="N49" s="25" t="str">
        <x:v>RECONSTRUCTED_FROM_REPORT</x:v>
      </x:c>
      <x:c r="O49" s="25" t="str">
        <x:v>UNRESOLVED</x:v>
      </x:c>
      <x:c r="P49" s="24" t="str">
        <x:v>Fear of Temperature_ Historical Lexical Discovery and Anchor Validation.pdf</x:v>
      </x:c>
      <x:c r="Q49" s="25" t="str">
        <x:v>RECONSTRUCTED_FROM_REPORT</x:v>
      </x:c>
      <x:c r="R49" s="27" t="str">
        <x:v>Original candidate ID and row fields reconstructed from the compact narrative PDF table; this is not the missing original structured record.</x:v>
      </x:c>
    </x:row>
    <x:row r="50" ht="19" customHeight="1">
      <x:c r="A50" s="23" t="str">
        <x:v>FT-SEED-R1-1938-C-03</x:v>
      </x:c>
      <x:c r="B50" s="25" t="str">
        <x:v>INITIAL_180</x:v>
      </x:c>
      <x:c r="C50" s="24" t="str">
        <x:v>1938-C-03</x:v>
      </x:c>
      <x:c r="D50" s="25" t="str">
        <x:v>11</x:v>
      </x:c>
      <x:c r="E50" s="24" t="str">
        <x:v>FT-A1938</x:v>
      </x:c>
      <x:c r="F50" s="24" t="str">
        <x:v>concern</x:v>
      </x:c>
      <x:c r="G50" s="25" t="str">
        <x:v>C</x:v>
      </x:c>
      <x:c r="H50" s="25" t="str"/>
      <x:c r="I50" s="24" t="str"/>
      <x:c r="J50" s="25" t="str"/>
      <x:c r="K50" s="25" t="str">
        <x:v>CONFIDENCE=Weak;CARRY_FORWARD=No</x:v>
      </x:c>
      <x:c r="L50" s="24" t="str">
        <x:v>Weak</x:v>
      </x:c>
      <x:c r="M50" s="25" t="str">
        <x:v>No</x:v>
      </x:c>
      <x:c r="N50" s="25" t="str">
        <x:v>RECONSTRUCTED_FROM_REPORT</x:v>
      </x:c>
      <x:c r="O50" s="25" t="str">
        <x:v>EXCLUDE</x:v>
      </x:c>
      <x:c r="P50" s="24" t="str">
        <x:v>Fear of Temperature_ Historical Lexical Discovery and Anchor Validation.pdf</x:v>
      </x:c>
      <x:c r="Q50" s="25" t="str">
        <x:v>RECONSTRUCTED_FROM_REPORT</x:v>
      </x:c>
      <x:c r="R50" s="27" t="str">
        <x:v>Original candidate ID and row fields reconstructed from the compact narrative PDF table; this is not the missing original structured record.</x:v>
      </x:c>
    </x:row>
    <x:row r="51" ht="19" customHeight="1">
      <x:c r="A51" s="23" t="str">
        <x:v>FT-SEED-R1-1938-C-04</x:v>
      </x:c>
      <x:c r="B51" s="25" t="str">
        <x:v>INITIAL_180</x:v>
      </x:c>
      <x:c r="C51" s="24" t="str">
        <x:v>1938-C-04</x:v>
      </x:c>
      <x:c r="D51" s="25" t="str">
        <x:v>11</x:v>
      </x:c>
      <x:c r="E51" s="24" t="str">
        <x:v>FT-A1938</x:v>
      </x:c>
      <x:c r="F51" s="24" t="str">
        <x:v>fear</x:v>
      </x:c>
      <x:c r="G51" s="25" t="str">
        <x:v>C</x:v>
      </x:c>
      <x:c r="H51" s="25" t="str"/>
      <x:c r="I51" s="24" t="str"/>
      <x:c r="J51" s="25" t="str"/>
      <x:c r="K51" s="25" t="str">
        <x:v>CONFIDENCE=Weak;CARRY_FORWARD=No</x:v>
      </x:c>
      <x:c r="L51" s="24" t="str">
        <x:v>Weak</x:v>
      </x:c>
      <x:c r="M51" s="25" t="str">
        <x:v>No</x:v>
      </x:c>
      <x:c r="N51" s="25" t="str">
        <x:v>RECONSTRUCTED_FROM_REPORT</x:v>
      </x:c>
      <x:c r="O51" s="25" t="str">
        <x:v>EXCLUDE</x:v>
      </x:c>
      <x:c r="P51" s="24" t="str">
        <x:v>Fear of Temperature_ Historical Lexical Discovery and Anchor Validation.pdf</x:v>
      </x:c>
      <x:c r="Q51" s="25" t="str">
        <x:v>RECONSTRUCTED_FROM_REPORT</x:v>
      </x:c>
      <x:c r="R51" s="27" t="str">
        <x:v>Original candidate ID and row fields reconstructed from the compact narrative PDF table; this is not the missing original structured record.</x:v>
      </x:c>
    </x:row>
    <x:row r="52" ht="19" customHeight="1">
      <x:c r="A52" s="23" t="str">
        <x:v>FT-SEED-R1-1938-C-05</x:v>
      </x:c>
      <x:c r="B52" s="25" t="str">
        <x:v>INITIAL_180</x:v>
      </x:c>
      <x:c r="C52" s="24" t="str">
        <x:v>1938-C-05</x:v>
      </x:c>
      <x:c r="D52" s="25" t="str">
        <x:v>11</x:v>
      </x:c>
      <x:c r="E52" s="24" t="str">
        <x:v>FT-A1938</x:v>
      </x:c>
      <x:c r="F52" s="24" t="str">
        <x:v>alarm</x:v>
      </x:c>
      <x:c r="G52" s="25" t="str">
        <x:v>C</x:v>
      </x:c>
      <x:c r="H52" s="25" t="str"/>
      <x:c r="I52" s="24" t="str"/>
      <x:c r="J52" s="25" t="str"/>
      <x:c r="K52" s="25" t="str">
        <x:v>CONFIDENCE=Weak;CARRY_FORWARD=No</x:v>
      </x:c>
      <x:c r="L52" s="24" t="str">
        <x:v>Weak</x:v>
      </x:c>
      <x:c r="M52" s="25" t="str">
        <x:v>No</x:v>
      </x:c>
      <x:c r="N52" s="25" t="str">
        <x:v>RECONSTRUCTED_FROM_REPORT</x:v>
      </x:c>
      <x:c r="O52" s="25" t="str">
        <x:v>EXCLUDE</x:v>
      </x:c>
      <x:c r="P52" s="24" t="str">
        <x:v>Fear of Temperature_ Historical Lexical Discovery and Anchor Validation.pdf</x:v>
      </x:c>
      <x:c r="Q52" s="25" t="str">
        <x:v>RECONSTRUCTED_FROM_REPORT</x:v>
      </x:c>
      <x:c r="R52" s="27" t="str">
        <x:v>Original candidate ID and row fields reconstructed from the compact narrative PDF table; this is not the missing original structured record.</x:v>
      </x:c>
    </x:row>
    <x:row r="53" ht="19" customHeight="1">
      <x:c r="A53" s="23" t="str">
        <x:v>FT-SEED-R1-1938-C-06</x:v>
      </x:c>
      <x:c r="B53" s="25" t="str">
        <x:v>INITIAL_180</x:v>
      </x:c>
      <x:c r="C53" s="24" t="str">
        <x:v>1938-C-06</x:v>
      </x:c>
      <x:c r="D53" s="25" t="str">
        <x:v>11</x:v>
      </x:c>
      <x:c r="E53" s="24" t="str">
        <x:v>FT-A1938</x:v>
      </x:c>
      <x:c r="F53" s="24" t="str">
        <x:v>anxiety</x:v>
      </x:c>
      <x:c r="G53" s="25" t="str">
        <x:v>C</x:v>
      </x:c>
      <x:c r="H53" s="25" t="str"/>
      <x:c r="I53" s="24" t="str"/>
      <x:c r="J53" s="25" t="str"/>
      <x:c r="K53" s="25" t="str">
        <x:v>CONFIDENCE=Weak;CARRY_FORWARD=No</x:v>
      </x:c>
      <x:c r="L53" s="24" t="str">
        <x:v>Weak</x:v>
      </x:c>
      <x:c r="M53" s="25" t="str">
        <x:v>No</x:v>
      </x:c>
      <x:c r="N53" s="25" t="str">
        <x:v>RECONSTRUCTED_FROM_REPORT</x:v>
      </x:c>
      <x:c r="O53" s="25" t="str">
        <x:v>EXCLUDE</x:v>
      </x:c>
      <x:c r="P53" s="24" t="str">
        <x:v>Fear of Temperature_ Historical Lexical Discovery and Anchor Validation.pdf</x:v>
      </x:c>
      <x:c r="Q53" s="25" t="str">
        <x:v>RECONSTRUCTED_FROM_REPORT</x:v>
      </x:c>
      <x:c r="R53" s="27" t="str">
        <x:v>Original candidate ID and row fields reconstructed from the compact narrative PDF table; this is not the missing original structured record.</x:v>
      </x:c>
    </x:row>
    <x:row r="54" ht="19" customHeight="1">
      <x:c r="A54" s="23" t="str">
        <x:v>FT-SEED-R1-1938-C-07</x:v>
      </x:c>
      <x:c r="B54" s="25" t="str">
        <x:v>INITIAL_180</x:v>
      </x:c>
      <x:c r="C54" s="24" t="str">
        <x:v>1938-C-07</x:v>
      </x:c>
      <x:c r="D54" s="25" t="str">
        <x:v>11</x:v>
      </x:c>
      <x:c r="E54" s="24" t="str">
        <x:v>FT-A1938</x:v>
      </x:c>
      <x:c r="F54" s="24" t="str">
        <x:v>apprehension</x:v>
      </x:c>
      <x:c r="G54" s="25" t="str">
        <x:v>C</x:v>
      </x:c>
      <x:c r="H54" s="25" t="str"/>
      <x:c r="I54" s="24" t="str"/>
      <x:c r="J54" s="25" t="str"/>
      <x:c r="K54" s="25" t="str">
        <x:v>CONFIDENCE=Weak;CARRY_FORWARD=No</x:v>
      </x:c>
      <x:c r="L54" s="24" t="str">
        <x:v>Weak</x:v>
      </x:c>
      <x:c r="M54" s="25" t="str">
        <x:v>No</x:v>
      </x:c>
      <x:c r="N54" s="25" t="str">
        <x:v>RECONSTRUCTED_FROM_REPORT</x:v>
      </x:c>
      <x:c r="O54" s="25" t="str">
        <x:v>EXCLUDE</x:v>
      </x:c>
      <x:c r="P54" s="24" t="str">
        <x:v>Fear of Temperature_ Historical Lexical Discovery and Anchor Validation.pdf</x:v>
      </x:c>
      <x:c r="Q54" s="25" t="str">
        <x:v>RECONSTRUCTED_FROM_REPORT</x:v>
      </x:c>
      <x:c r="R54" s="27" t="str">
        <x:v>Original candidate ID and row fields reconstructed from the compact narrative PDF table; this is not the missing original structured record.</x:v>
      </x:c>
    </x:row>
    <x:row r="55" ht="19" customHeight="1">
      <x:c r="A55" s="23" t="str">
        <x:v>FT-SEED-R1-1938-D-01</x:v>
      </x:c>
      <x:c r="B55" s="25" t="str">
        <x:v>INITIAL_180</x:v>
      </x:c>
      <x:c r="C55" s="24" t="str">
        <x:v>1938-D-01</x:v>
      </x:c>
      <x:c r="D55" s="25" t="str">
        <x:v>12</x:v>
      </x:c>
      <x:c r="E55" s="24" t="str">
        <x:v>FT-A1938</x:v>
      </x:c>
      <x:c r="F55" s="24" t="str">
        <x:v>aridity</x:v>
      </x:c>
      <x:c r="G55" s="25" t="str">
        <x:v>D</x:v>
      </x:c>
      <x:c r="H55" s="25" t="str"/>
      <x:c r="I55" s="24" t="str"/>
      <x:c r="J55" s="25" t="str"/>
      <x:c r="K55" s="25" t="str">
        <x:v>CONFIDENCE=Strong;CARRY_FORWARD=Conditional</x:v>
      </x:c>
      <x:c r="L55" s="24" t="str">
        <x:v>Strong</x:v>
      </x:c>
      <x:c r="M55" s="25" t="str">
        <x:v>Conditional</x:v>
      </x:c>
      <x:c r="N55" s="25" t="str">
        <x:v>RECONSTRUCTED_FROM_REPORT</x:v>
      </x:c>
      <x:c r="O55" s="25" t="str">
        <x:v>UNRESOLVED</x:v>
      </x:c>
      <x:c r="P55" s="24" t="str">
        <x:v>Fear of Temperature_ Historical Lexical Discovery and Anchor Validation.pdf</x:v>
      </x:c>
      <x:c r="Q55" s="25" t="str">
        <x:v>RECONSTRUCTED_FROM_REPORT</x:v>
      </x:c>
      <x:c r="R55" s="27" t="str">
        <x:v>Original candidate ID and row fields reconstructed from the compact narrative PDF table; this is not the missing original structured record.</x:v>
      </x:c>
    </x:row>
    <x:row r="56" ht="19" customHeight="1">
      <x:c r="A56" s="23" t="str">
        <x:v>FT-SEED-R1-1938-D-02</x:v>
      </x:c>
      <x:c r="B56" s="25" t="str">
        <x:v>INITIAL_180</x:v>
      </x:c>
      <x:c r="C56" s="24" t="str">
        <x:v>1938-D-02</x:v>
      </x:c>
      <x:c r="D56" s="25" t="str">
        <x:v>12</x:v>
      </x:c>
      <x:c r="E56" s="24" t="str">
        <x:v>FT-A1938</x:v>
      </x:c>
      <x:c r="F56" s="24" t="str">
        <x:v>recession of the glaciers</x:v>
      </x:c>
      <x:c r="G56" s="25" t="str">
        <x:v>D</x:v>
      </x:c>
      <x:c r="H56" s="25" t="str"/>
      <x:c r="I56" s="24" t="str"/>
      <x:c r="J56" s="25" t="str"/>
      <x:c r="K56" s="25" t="str">
        <x:v>CONFIDENCE=Strong;CARRY_FORWARD=Conditional</x:v>
      </x:c>
      <x:c r="L56" s="24" t="str">
        <x:v>Strong</x:v>
      </x:c>
      <x:c r="M56" s="25" t="str">
        <x:v>Conditional</x:v>
      </x:c>
      <x:c r="N56" s="25" t="str">
        <x:v>RECONSTRUCTED_FROM_REPORT</x:v>
      </x:c>
      <x:c r="O56" s="25" t="str">
        <x:v>UNRESOLVED</x:v>
      </x:c>
      <x:c r="P56" s="24" t="str">
        <x:v>Fear of Temperature_ Historical Lexical Discovery and Anchor Validation.pdf</x:v>
      </x:c>
      <x:c r="Q56" s="25" t="str">
        <x:v>RECONSTRUCTED_FROM_REPORT</x:v>
      </x:c>
      <x:c r="R56" s="27" t="str">
        <x:v>Original candidate ID and row fields reconstructed from the compact narrative PDF table; this is not the missing original structured record.</x:v>
      </x:c>
    </x:row>
    <x:row r="57" ht="19" customHeight="1">
      <x:c r="A57" s="23" t="str">
        <x:v>FT-SEED-R1-1938-D-03</x:v>
      </x:c>
      <x:c r="B57" s="25" t="str">
        <x:v>INITIAL_180</x:v>
      </x:c>
      <x:c r="C57" s="24" t="str">
        <x:v>1938-D-03</x:v>
      </x:c>
      <x:c r="D57" s="25" t="str">
        <x:v>12</x:v>
      </x:c>
      <x:c r="E57" s="24" t="str">
        <x:v>FT-A1938</x:v>
      </x:c>
      <x:c r="F57" s="24" t="str">
        <x:v>danger</x:v>
      </x:c>
      <x:c r="G57" s="25" t="str">
        <x:v>D</x:v>
      </x:c>
      <x:c r="H57" s="25" t="str"/>
      <x:c r="I57" s="24" t="str"/>
      <x:c r="J57" s="25" t="str"/>
      <x:c r="K57" s="25" t="str">
        <x:v>CONFIDENCE=Weak;CARRY_FORWARD=No</x:v>
      </x:c>
      <x:c r="L57" s="24" t="str">
        <x:v>Weak</x:v>
      </x:c>
      <x:c r="M57" s="25" t="str">
        <x:v>No</x:v>
      </x:c>
      <x:c r="N57" s="25" t="str">
        <x:v>RECONSTRUCTED_FROM_REPORT</x:v>
      </x:c>
      <x:c r="O57" s="25" t="str">
        <x:v>EXCLUDE</x:v>
      </x:c>
      <x:c r="P57" s="24" t="str">
        <x:v>Fear of Temperature_ Historical Lexical Discovery and Anchor Validation.pdf</x:v>
      </x:c>
      <x:c r="Q57" s="25" t="str">
        <x:v>RECONSTRUCTED_FROM_REPORT</x:v>
      </x:c>
      <x:c r="R57" s="27" t="str">
        <x:v>Original candidate ID and row fields reconstructed from the compact narrative PDF table; this is not the missing original structured record.</x:v>
      </x:c>
    </x:row>
    <x:row r="58" ht="19" customHeight="1">
      <x:c r="A58" s="23" t="str">
        <x:v>FT-SEED-R1-1938-D-04</x:v>
      </x:c>
      <x:c r="B58" s="25" t="str">
        <x:v>INITIAL_180</x:v>
      </x:c>
      <x:c r="C58" s="24" t="str">
        <x:v>1938-D-04</x:v>
      </x:c>
      <x:c r="D58" s="25" t="str">
        <x:v>12</x:v>
      </x:c>
      <x:c r="E58" s="24" t="str">
        <x:v>FT-A1938</x:v>
      </x:c>
      <x:c r="F58" s="24" t="str">
        <x:v>risk</x:v>
      </x:c>
      <x:c r="G58" s="25" t="str">
        <x:v>D</x:v>
      </x:c>
      <x:c r="H58" s="25" t="str"/>
      <x:c r="I58" s="24" t="str"/>
      <x:c r="J58" s="25" t="str"/>
      <x:c r="K58" s="25" t="str">
        <x:v>CONFIDENCE=Weak;CARRY_FORWARD=No</x:v>
      </x:c>
      <x:c r="L58" s="24" t="str">
        <x:v>Weak</x:v>
      </x:c>
      <x:c r="M58" s="25" t="str">
        <x:v>No</x:v>
      </x:c>
      <x:c r="N58" s="25" t="str">
        <x:v>RECONSTRUCTED_FROM_REPORT</x:v>
      </x:c>
      <x:c r="O58" s="25" t="str">
        <x:v>EXCLUDE</x:v>
      </x:c>
      <x:c r="P58" s="24" t="str">
        <x:v>Fear of Temperature_ Historical Lexical Discovery and Anchor Validation.pdf</x:v>
      </x:c>
      <x:c r="Q58" s="25" t="str">
        <x:v>RECONSTRUCTED_FROM_REPORT</x:v>
      </x:c>
      <x:c r="R58" s="27" t="str">
        <x:v>Original candidate ID and row fields reconstructed from the compact narrative PDF table; this is not the missing original structured record.</x:v>
      </x:c>
    </x:row>
    <x:row r="59" ht="19" customHeight="1">
      <x:c r="A59" s="23" t="str">
        <x:v>FT-SEED-R1-1938-D-05</x:v>
      </x:c>
      <x:c r="B59" s="25" t="str">
        <x:v>INITIAL_180</x:v>
      </x:c>
      <x:c r="C59" s="24" t="str">
        <x:v>1938-D-05</x:v>
      </x:c>
      <x:c r="D59" s="25" t="str">
        <x:v>12</x:v>
      </x:c>
      <x:c r="E59" s="24" t="str">
        <x:v>FT-A1938</x:v>
      </x:c>
      <x:c r="F59" s="24" t="str">
        <x:v>harmful</x:v>
      </x:c>
      <x:c r="G59" s="25" t="str">
        <x:v>D</x:v>
      </x:c>
      <x:c r="H59" s="25" t="str"/>
      <x:c r="I59" s="24" t="str"/>
      <x:c r="J59" s="25" t="str"/>
      <x:c r="K59" s="25" t="str">
        <x:v>CONFIDENCE=Weak;CARRY_FORWARD=No</x:v>
      </x:c>
      <x:c r="L59" s="24" t="str">
        <x:v>Weak</x:v>
      </x:c>
      <x:c r="M59" s="25" t="str">
        <x:v>No</x:v>
      </x:c>
      <x:c r="N59" s="25" t="str">
        <x:v>RECONSTRUCTED_FROM_REPORT</x:v>
      </x:c>
      <x:c r="O59" s="25" t="str">
        <x:v>EXCLUDE</x:v>
      </x:c>
      <x:c r="P59" s="24" t="str">
        <x:v>Fear of Temperature_ Historical Lexical Discovery and Anchor Validation.pdf</x:v>
      </x:c>
      <x:c r="Q59" s="25" t="str">
        <x:v>RECONSTRUCTED_FROM_REPORT</x:v>
      </x:c>
      <x:c r="R59" s="27" t="str">
        <x:v>Original candidate ID and row fields reconstructed from the compact narrative PDF table; this is not the missing original structured record.</x:v>
      </x:c>
    </x:row>
    <x:row r="60" ht="19" customHeight="1">
      <x:c r="A60" s="23" t="str">
        <x:v>FT-SEED-R1-1938-D-06</x:v>
      </x:c>
      <x:c r="B60" s="25" t="str">
        <x:v>INITIAL_180</x:v>
      </x:c>
      <x:c r="C60" s="24" t="str">
        <x:v>1938-D-06</x:v>
      </x:c>
      <x:c r="D60" s="25" t="str">
        <x:v>12</x:v>
      </x:c>
      <x:c r="E60" s="24" t="str">
        <x:v>FT-A1938</x:v>
      </x:c>
      <x:c r="F60" s="24" t="str">
        <x:v>adverse effect</x:v>
      </x:c>
      <x:c r="G60" s="25" t="str">
        <x:v>D</x:v>
      </x:c>
      <x:c r="H60" s="25" t="str"/>
      <x:c r="I60" s="24" t="str"/>
      <x:c r="J60" s="25" t="str"/>
      <x:c r="K60" s="25" t="str">
        <x:v>CONFIDENCE=Weak;CARRY_FORWARD=No</x:v>
      </x:c>
      <x:c r="L60" s="24" t="str">
        <x:v>Weak</x:v>
      </x:c>
      <x:c r="M60" s="25" t="str">
        <x:v>No</x:v>
      </x:c>
      <x:c r="N60" s="25" t="str">
        <x:v>RECONSTRUCTED_FROM_REPORT</x:v>
      </x:c>
      <x:c r="O60" s="25" t="str">
        <x:v>EXCLUDE</x:v>
      </x:c>
      <x:c r="P60" s="24" t="str">
        <x:v>Fear of Temperature_ Historical Lexical Discovery and Anchor Validation.pdf</x:v>
      </x:c>
      <x:c r="Q60" s="25" t="str">
        <x:v>RECONSTRUCTED_FROM_REPORT</x:v>
      </x:c>
      <x:c r="R60" s="27" t="str">
        <x:v>Original candidate ID and row fields reconstructed from the compact narrative PDF table; this is not the missing original structured record.</x:v>
      </x:c>
    </x:row>
    <x:row r="61" ht="19" customHeight="1">
      <x:c r="A61" s="23" t="str">
        <x:v>FT-SEED-R1-1938-D-07</x:v>
      </x:c>
      <x:c r="B61" s="25" t="str">
        <x:v>INITIAL_180</x:v>
      </x:c>
      <x:c r="C61" s="24" t="str">
        <x:v>1938-D-07</x:v>
      </x:c>
      <x:c r="D61" s="25" t="str">
        <x:v>12</x:v>
      </x:c>
      <x:c r="E61" s="24" t="str">
        <x:v>FT-A1938</x:v>
      </x:c>
      <x:c r="F61" s="24" t="str">
        <x:v>problem</x:v>
      </x:c>
      <x:c r="G61" s="25" t="str">
        <x:v>D</x:v>
      </x:c>
      <x:c r="H61" s="25" t="str"/>
      <x:c r="I61" s="24" t="str"/>
      <x:c r="J61" s="25" t="str"/>
      <x:c r="K61" s="25" t="str">
        <x:v>CONFIDENCE=Weak;CARRY_FORWARD=No</x:v>
      </x:c>
      <x:c r="L61" s="24" t="str">
        <x:v>Weak</x:v>
      </x:c>
      <x:c r="M61" s="25" t="str">
        <x:v>No</x:v>
      </x:c>
      <x:c r="N61" s="25" t="str">
        <x:v>RECONSTRUCTED_FROM_REPORT</x:v>
      </x:c>
      <x:c r="O61" s="25" t="str">
        <x:v>EXCLUDE</x:v>
      </x:c>
      <x:c r="P61" s="24" t="str">
        <x:v>Fear of Temperature_ Historical Lexical Discovery and Anchor Validation.pdf</x:v>
      </x:c>
      <x:c r="Q61" s="25" t="str">
        <x:v>RECONSTRUCTED_FROM_REPORT</x:v>
      </x:c>
      <x:c r="R61" s="27" t="str">
        <x:v>Original candidate ID and row fields reconstructed from the compact narrative PDF table; this is not the missing original structured record.</x:v>
      </x:c>
    </x:row>
    <x:row r="62" ht="19" customHeight="1">
      <x:c r="A62" s="23" t="str">
        <x:v>FT-SEED-R1-1988-A-01</x:v>
      </x:c>
      <x:c r="B62" s="25" t="str">
        <x:v>INITIAL_180</x:v>
      </x:c>
      <x:c r="C62" s="24" t="str">
        <x:v>1988-A-01</x:v>
      </x:c>
      <x:c r="D62" s="25" t="str">
        <x:v>13</x:v>
      </x:c>
      <x:c r="E62" s="24" t="str">
        <x:v>FT-A1988</x:v>
      </x:c>
      <x:c r="F62" s="24" t="str">
        <x:v>global warming</x:v>
      </x:c>
      <x:c r="G62" s="25" t="str">
        <x:v>A</x:v>
      </x:c>
      <x:c r="H62" s="25" t="str"/>
      <x:c r="I62" s="24" t="str"/>
      <x:c r="J62" s="25" t="str"/>
      <x:c r="K62" s="25" t="str">
        <x:v>CONFIDENCE=Strong;CARRY_FORWARD=Yes</x:v>
      </x:c>
      <x:c r="L62" s="24" t="str">
        <x:v>Strong</x:v>
      </x:c>
      <x:c r="M62" s="25" t="str">
        <x:v>Yes</x:v>
      </x:c>
      <x:c r="N62" s="25" t="str">
        <x:v>RECONSTRUCTED_FROM_REPORT</x:v>
      </x:c>
      <x:c r="O62" s="25" t="str">
        <x:v>RETAIN</x:v>
      </x:c>
      <x:c r="P62" s="24" t="str">
        <x:v>Fear of Temperature_ Historical Lexical Discovery and Anchor Validation.pdf</x:v>
      </x:c>
      <x:c r="Q62" s="25" t="str">
        <x:v>RECONSTRUCTED_FROM_REPORT</x:v>
      </x:c>
      <x:c r="R62" s="27" t="str">
        <x:v>Original candidate ID and row fields reconstructed from the compact narrative PDF table; this is not the missing original structured record.</x:v>
      </x:c>
    </x:row>
    <x:row r="63" ht="19" customHeight="1">
      <x:c r="A63" s="23" t="str">
        <x:v>FT-SEED-R1-1988-A-02</x:v>
      </x:c>
      <x:c r="B63" s="25" t="str">
        <x:v>INITIAL_180</x:v>
      </x:c>
      <x:c r="C63" s="24" t="str">
        <x:v>1988-A-02</x:v>
      </x:c>
      <x:c r="D63" s="25" t="str">
        <x:v>13</x:v>
      </x:c>
      <x:c r="E63" s="24" t="str">
        <x:v>FT-A1988</x:v>
      </x:c>
      <x:c r="F63" s="24" t="str">
        <x:v>warming</x:v>
      </x:c>
      <x:c r="G63" s="25" t="str">
        <x:v>A</x:v>
      </x:c>
      <x:c r="H63" s="25" t="str"/>
      <x:c r="I63" s="24" t="str"/>
      <x:c r="J63" s="25" t="str"/>
      <x:c r="K63" s="25" t="str">
        <x:v>CONFIDENCE=Strong;CARRY_FORWARD=Yes</x:v>
      </x:c>
      <x:c r="L63" s="24" t="str">
        <x:v>Strong</x:v>
      </x:c>
      <x:c r="M63" s="25" t="str">
        <x:v>Yes</x:v>
      </x:c>
      <x:c r="N63" s="25" t="str">
        <x:v>RECONSTRUCTED_FROM_REPORT</x:v>
      </x:c>
      <x:c r="O63" s="25" t="str">
        <x:v>RETAIN</x:v>
      </x:c>
      <x:c r="P63" s="24" t="str">
        <x:v>Fear of Temperature_ Historical Lexical Discovery and Anchor Validation.pdf</x:v>
      </x:c>
      <x:c r="Q63" s="25" t="str">
        <x:v>RECONSTRUCTED_FROM_REPORT</x:v>
      </x:c>
      <x:c r="R63" s="27" t="str">
        <x:v>Original candidate ID and row fields reconstructed from the compact narrative PDF table; this is not the missing original structured record.</x:v>
      </x:c>
    </x:row>
    <x:row r="64" ht="19" customHeight="1">
      <x:c r="A64" s="23" t="str">
        <x:v>FT-SEED-R1-1988-A-03</x:v>
      </x:c>
      <x:c r="B64" s="25" t="str">
        <x:v>INITIAL_180</x:v>
      </x:c>
      <x:c r="C64" s="24" t="str">
        <x:v>1988-A-03</x:v>
      </x:c>
      <x:c r="D64" s="25" t="str">
        <x:v>13</x:v>
      </x:c>
      <x:c r="E64" s="24" t="str">
        <x:v>FT-A1988</x:v>
      </x:c>
      <x:c r="F64" s="24" t="str">
        <x:v>climate warming</x:v>
      </x:c>
      <x:c r="G64" s="25" t="str">
        <x:v>A</x:v>
      </x:c>
      <x:c r="H64" s="25" t="str"/>
      <x:c r="I64" s="24" t="str"/>
      <x:c r="J64" s="25" t="str"/>
      <x:c r="K64" s="25" t="str">
        <x:v>CONFIDENCE=Strong;CARRY_FORWARD=Yes</x:v>
      </x:c>
      <x:c r="L64" s="24" t="str">
        <x:v>Strong</x:v>
      </x:c>
      <x:c r="M64" s="25" t="str">
        <x:v>Yes</x:v>
      </x:c>
      <x:c r="N64" s="25" t="str">
        <x:v>RECONSTRUCTED_FROM_REPORT</x:v>
      </x:c>
      <x:c r="O64" s="25" t="str">
        <x:v>RETAIN</x:v>
      </x:c>
      <x:c r="P64" s="24" t="str">
        <x:v>Fear of Temperature_ Historical Lexical Discovery and Anchor Validation.pdf</x:v>
      </x:c>
      <x:c r="Q64" s="25" t="str">
        <x:v>RECONSTRUCTED_FROM_REPORT</x:v>
      </x:c>
      <x:c r="R64" s="27" t="str">
        <x:v>Original candidate ID and row fields reconstructed from the compact narrative PDF table; this is not the missing original structured record.</x:v>
      </x:c>
    </x:row>
    <x:row r="65" ht="19" customHeight="1">
      <x:c r="A65" s="23" t="str">
        <x:v>FT-SEED-R1-1988-A-04</x:v>
      </x:c>
      <x:c r="B65" s="25" t="str">
        <x:v>INITIAL_180</x:v>
      </x:c>
      <x:c r="C65" s="24" t="str">
        <x:v>1988-A-04</x:v>
      </x:c>
      <x:c r="D65" s="25" t="str">
        <x:v>13</x:v>
      </x:c>
      <x:c r="E65" s="24" t="str">
        <x:v>FT-A1988</x:v>
      </x:c>
      <x:c r="F65" s="24" t="str">
        <x:v>global temperature</x:v>
      </x:c>
      <x:c r="G65" s="25" t="str">
        <x:v>A</x:v>
      </x:c>
      <x:c r="H65" s="25" t="str"/>
      <x:c r="I65" s="24" t="str"/>
      <x:c r="J65" s="25" t="str"/>
      <x:c r="K65" s="25" t="str">
        <x:v>CONFIDENCE=Moderate;CARRY_FORWARD=Yes</x:v>
      </x:c>
      <x:c r="L65" s="24" t="str">
        <x:v>Moderate</x:v>
      </x:c>
      <x:c r="M65" s="25" t="str">
        <x:v>Yes</x:v>
      </x:c>
      <x:c r="N65" s="25" t="str">
        <x:v>RECONSTRUCTED_FROM_REPORT</x:v>
      </x:c>
      <x:c r="O65" s="25" t="str">
        <x:v>RETAIN</x:v>
      </x:c>
      <x:c r="P65" s="24" t="str">
        <x:v>Fear of Temperature_ Historical Lexical Discovery and Anchor Validation.pdf</x:v>
      </x:c>
      <x:c r="Q65" s="25" t="str">
        <x:v>RECONSTRUCTED_FROM_REPORT</x:v>
      </x:c>
      <x:c r="R65" s="27" t="str">
        <x:v>Original candidate ID and row fields reconstructed from the compact narrative PDF table; this is not the missing original structured record.</x:v>
      </x:c>
    </x:row>
    <x:row r="66" ht="19" customHeight="1">
      <x:c r="A66" s="23" t="str">
        <x:v>FT-SEED-R1-1988-A-05</x:v>
      </x:c>
      <x:c r="B66" s="25" t="str">
        <x:v>INITIAL_180</x:v>
      </x:c>
      <x:c r="C66" s="24" t="str">
        <x:v>1988-A-05</x:v>
      </x:c>
      <x:c r="D66" s="25" t="str">
        <x:v>14</x:v>
      </x:c>
      <x:c r="E66" s="24" t="str">
        <x:v>FT-A1988</x:v>
      </x:c>
      <x:c r="F66" s="24" t="str">
        <x:v>temperature rise</x:v>
      </x:c>
      <x:c r="G66" s="25" t="str">
        <x:v>A</x:v>
      </x:c>
      <x:c r="H66" s="25" t="str"/>
      <x:c r="I66" s="24" t="str"/>
      <x:c r="J66" s="25" t="str"/>
      <x:c r="K66" s="25" t="str">
        <x:v>CONFIDENCE=Moderate;CARRY_FORWARD=Conditional</x:v>
      </x:c>
      <x:c r="L66" s="24" t="str">
        <x:v>Moderate</x:v>
      </x:c>
      <x:c r="M66" s="25" t="str">
        <x:v>Conditional</x:v>
      </x:c>
      <x:c r="N66" s="25" t="str">
        <x:v>RECONSTRUCTED_FROM_REPORT</x:v>
      </x:c>
      <x:c r="O66" s="25" t="str">
        <x:v>UNRESOLVED</x:v>
      </x:c>
      <x:c r="P66" s="24" t="str">
        <x:v>Fear of Temperature_ Historical Lexical Discovery and Anchor Validation.pdf</x:v>
      </x:c>
      <x:c r="Q66" s="25" t="str">
        <x:v>RECONSTRUCTED_FROM_REPORT</x:v>
      </x:c>
      <x:c r="R66" s="27" t="str">
        <x:v>Original candidate ID and row fields reconstructed from the compact narrative PDF table; this is not the missing original structured record.</x:v>
      </x:c>
    </x:row>
    <x:row r="67" ht="19" customHeight="1">
      <x:c r="A67" s="23" t="str">
        <x:v>FT-SEED-R1-1988-A-06</x:v>
      </x:c>
      <x:c r="B67" s="25" t="str">
        <x:v>INITIAL_180</x:v>
      </x:c>
      <x:c r="C67" s="24" t="str">
        <x:v>1988-A-06</x:v>
      </x:c>
      <x:c r="D67" s="25" t="str">
        <x:v>14</x:v>
      </x:c>
      <x:c r="E67" s="24" t="str">
        <x:v>FT-A1988</x:v>
      </x:c>
      <x:c r="F67" s="24" t="str">
        <x:v>temperature increase</x:v>
      </x:c>
      <x:c r="G67" s="25" t="str">
        <x:v>A</x:v>
      </x:c>
      <x:c r="H67" s="25" t="str"/>
      <x:c r="I67" s="24" t="str"/>
      <x:c r="J67" s="25" t="str"/>
      <x:c r="K67" s="25" t="str">
        <x:v>CONFIDENCE=Moderate;CARRY_FORWARD=Yes</x:v>
      </x:c>
      <x:c r="L67" s="24" t="str">
        <x:v>Moderate</x:v>
      </x:c>
      <x:c r="M67" s="25" t="str">
        <x:v>Yes</x:v>
      </x:c>
      <x:c r="N67" s="25" t="str">
        <x:v>RECONSTRUCTED_FROM_REPORT</x:v>
      </x:c>
      <x:c r="O67" s="25" t="str">
        <x:v>RETAIN</x:v>
      </x:c>
      <x:c r="P67" s="24" t="str">
        <x:v>Fear of Temperature_ Historical Lexical Discovery and Anchor Validation.pdf</x:v>
      </x:c>
      <x:c r="Q67" s="25" t="str">
        <x:v>RECONSTRUCTED_FROM_REPORT</x:v>
      </x:c>
      <x:c r="R67" s="27" t="str">
        <x:v>Original candidate ID and row fields reconstructed from the compact narrative PDF table; this is not the missing original structured record.</x:v>
      </x:c>
    </x:row>
    <x:row r="68" ht="19" customHeight="1">
      <x:c r="A68" s="23" t="str">
        <x:v>FT-SEED-R1-1988-A-07</x:v>
      </x:c>
      <x:c r="B68" s="25" t="str">
        <x:v>INITIAL_180</x:v>
      </x:c>
      <x:c r="C68" s="24" t="str">
        <x:v>1988-A-07</x:v>
      </x:c>
      <x:c r="D68" s="25" t="str">
        <x:v>14</x:v>
      </x:c>
      <x:c r="E68" s="24" t="str">
        <x:v>FT-A1988</x:v>
      </x:c>
      <x:c r="F68" s="24" t="str">
        <x:v>warming trend</x:v>
      </x:c>
      <x:c r="G68" s="25" t="str">
        <x:v>A</x:v>
      </x:c>
      <x:c r="H68" s="25" t="str"/>
      <x:c r="I68" s="24" t="str"/>
      <x:c r="J68" s="25" t="str"/>
      <x:c r="K68" s="25" t="str">
        <x:v>CONFIDENCE=Moderate;CARRY_FORWARD=Conditional</x:v>
      </x:c>
      <x:c r="L68" s="24" t="str">
        <x:v>Moderate</x:v>
      </x:c>
      <x:c r="M68" s="25" t="str">
        <x:v>Conditional</x:v>
      </x:c>
      <x:c r="N68" s="25" t="str">
        <x:v>RECONSTRUCTED_FROM_REPORT</x:v>
      </x:c>
      <x:c r="O68" s="25" t="str">
        <x:v>UNRESOLVED</x:v>
      </x:c>
      <x:c r="P68" s="24" t="str">
        <x:v>Fear of Temperature_ Historical Lexical Discovery and Anchor Validation.pdf</x:v>
      </x:c>
      <x:c r="Q68" s="25" t="str">
        <x:v>RECONSTRUCTED_FROM_REPORT</x:v>
      </x:c>
      <x:c r="R68" s="27" t="str">
        <x:v>Original candidate ID and row fields reconstructed from the compact narrative PDF table; this is not the missing original structured record.</x:v>
      </x:c>
    </x:row>
    <x:row r="69" ht="19" customHeight="1">
      <x:c r="A69" s="23" t="str">
        <x:v>FT-SEED-R1-1988-A-08</x:v>
      </x:c>
      <x:c r="B69" s="25" t="str">
        <x:v>INITIAL_180</x:v>
      </x:c>
      <x:c r="C69" s="24" t="str">
        <x:v>1988-A-08</x:v>
      </x:c>
      <x:c r="D69" s="25" t="str">
        <x:v>14</x:v>
      </x:c>
      <x:c r="E69" s="24" t="str">
        <x:v>FT-A1988</x:v>
      </x:c>
      <x:c r="F69" s="24" t="str">
        <x:v>summer heat waves</x:v>
      </x:c>
      <x:c r="G69" s="25" t="str">
        <x:v>A</x:v>
      </x:c>
      <x:c r="H69" s="25" t="str"/>
      <x:c r="I69" s="24" t="str"/>
      <x:c r="J69" s="25" t="str"/>
      <x:c r="K69" s="25" t="str">
        <x:v>CONFIDENCE=Moderate;CARRY_FORWARD=Yes</x:v>
      </x:c>
      <x:c r="L69" s="24" t="str">
        <x:v>Moderate</x:v>
      </x:c>
      <x:c r="M69" s="25" t="str">
        <x:v>Yes</x:v>
      </x:c>
      <x:c r="N69" s="25" t="str">
        <x:v>RECONSTRUCTED_FROM_REPORT</x:v>
      </x:c>
      <x:c r="O69" s="25" t="str">
        <x:v>RETAIN</x:v>
      </x:c>
      <x:c r="P69" s="24" t="str">
        <x:v>Fear of Temperature_ Historical Lexical Discovery and Anchor Validation.pdf</x:v>
      </x:c>
      <x:c r="Q69" s="25" t="str">
        <x:v>RECONSTRUCTED_FROM_REPORT</x:v>
      </x:c>
      <x:c r="R69" s="27" t="str">
        <x:v>Original candidate ID and row fields reconstructed from the compact narrative PDF table; this is not the missing original structured record.</x:v>
      </x:c>
    </x:row>
    <x:row r="70" ht="19" customHeight="1">
      <x:c r="A70" s="23" t="str">
        <x:v>FT-SEED-R1-1988-B-01</x:v>
      </x:c>
      <x:c r="B70" s="25" t="str">
        <x:v>INITIAL_180</x:v>
      </x:c>
      <x:c r="C70" s="24" t="str">
        <x:v>1988-B-01</x:v>
      </x:c>
      <x:c r="D70" s="25" t="str">
        <x:v>14</x:v>
      </x:c>
      <x:c r="E70" s="24" t="str">
        <x:v>FT-A1988</x:v>
      </x:c>
      <x:c r="F70" s="24" t="str">
        <x:v>climate change</x:v>
      </x:c>
      <x:c r="G70" s="25" t="str">
        <x:v>B</x:v>
      </x:c>
      <x:c r="H70" s="25" t="str"/>
      <x:c r="I70" s="24" t="str"/>
      <x:c r="J70" s="25" t="str"/>
      <x:c r="K70" s="25" t="str">
        <x:v>CONFIDENCE=Strong;CARRY_FORWARD=Yes</x:v>
      </x:c>
      <x:c r="L70" s="24" t="str">
        <x:v>Strong</x:v>
      </x:c>
      <x:c r="M70" s="25" t="str">
        <x:v>Yes</x:v>
      </x:c>
      <x:c r="N70" s="25" t="str">
        <x:v>RECONSTRUCTED_FROM_REPORT</x:v>
      </x:c>
      <x:c r="O70" s="25" t="str">
        <x:v>RETAIN</x:v>
      </x:c>
      <x:c r="P70" s="24" t="str">
        <x:v>Fear of Temperature_ Historical Lexical Discovery and Anchor Validation.pdf</x:v>
      </x:c>
      <x:c r="Q70" s="25" t="str">
        <x:v>RECONSTRUCTED_FROM_REPORT</x:v>
      </x:c>
      <x:c r="R70" s="27" t="str">
        <x:v>Original candidate ID and row fields reconstructed from the compact narrative PDF table; this is not the missing original structured record.</x:v>
      </x:c>
    </x:row>
    <x:row r="71" ht="19" customHeight="1">
      <x:c r="A71" s="23" t="str">
        <x:v>FT-SEED-R1-1988-B-02</x:v>
      </x:c>
      <x:c r="B71" s="25" t="str">
        <x:v>INITIAL_180</x:v>
      </x:c>
      <x:c r="C71" s="24" t="str">
        <x:v>1988-B-02</x:v>
      </x:c>
      <x:c r="D71" s="25" t="str">
        <x:v>14</x:v>
      </x:c>
      <x:c r="E71" s="24" t="str">
        <x:v>FT-A1988</x:v>
      </x:c>
      <x:c r="F71" s="24" t="str">
        <x:v>climatic change</x:v>
      </x:c>
      <x:c r="G71" s="25" t="str">
        <x:v>B</x:v>
      </x:c>
      <x:c r="H71" s="25" t="str"/>
      <x:c r="I71" s="24" t="str"/>
      <x:c r="J71" s="25" t="str"/>
      <x:c r="K71" s="25" t="str">
        <x:v>CONFIDENCE=Strong;CARRY_FORWARD=Yes</x:v>
      </x:c>
      <x:c r="L71" s="24" t="str">
        <x:v>Strong</x:v>
      </x:c>
      <x:c r="M71" s="25" t="str">
        <x:v>Yes</x:v>
      </x:c>
      <x:c r="N71" s="25" t="str">
        <x:v>RECONSTRUCTED_FROM_REPORT</x:v>
      </x:c>
      <x:c r="O71" s="25" t="str">
        <x:v>RETAIN</x:v>
      </x:c>
      <x:c r="P71" s="24" t="str">
        <x:v>Fear of Temperature_ Historical Lexical Discovery and Anchor Validation.pdf</x:v>
      </x:c>
      <x:c r="Q71" s="25" t="str">
        <x:v>RECONSTRUCTED_FROM_REPORT</x:v>
      </x:c>
      <x:c r="R71" s="27" t="str">
        <x:v>Original candidate ID and row fields reconstructed from the compact narrative PDF table; this is not the missing original structured record.</x:v>
      </x:c>
    </x:row>
    <x:row r="72" ht="19" customHeight="1">
      <x:c r="A72" s="23" t="str">
        <x:v>FT-SEED-R1-1988-B-03</x:v>
      </x:c>
      <x:c r="B72" s="25" t="str">
        <x:v>INITIAL_180</x:v>
      </x:c>
      <x:c r="C72" s="24" t="str">
        <x:v>1988-B-03</x:v>
      </x:c>
      <x:c r="D72" s="25" t="str">
        <x:v>14</x:v>
      </x:c>
      <x:c r="E72" s="24" t="str">
        <x:v>FT-A1988</x:v>
      </x:c>
      <x:c r="F72" s="24" t="str">
        <x:v>global climate</x:v>
      </x:c>
      <x:c r="G72" s="25" t="str">
        <x:v>B</x:v>
      </x:c>
      <x:c r="H72" s="25" t="str"/>
      <x:c r="I72" s="24" t="str"/>
      <x:c r="J72" s="25" t="str"/>
      <x:c r="K72" s="25" t="str">
        <x:v>CONFIDENCE=Strong;CARRY_FORWARD=Yes</x:v>
      </x:c>
      <x:c r="L72" s="24" t="str">
        <x:v>Strong</x:v>
      </x:c>
      <x:c r="M72" s="25" t="str">
        <x:v>Yes</x:v>
      </x:c>
      <x:c r="N72" s="25" t="str">
        <x:v>RECONSTRUCTED_FROM_REPORT</x:v>
      </x:c>
      <x:c r="O72" s="25" t="str">
        <x:v>RETAIN</x:v>
      </x:c>
      <x:c r="P72" s="24" t="str">
        <x:v>Fear of Temperature_ Historical Lexical Discovery and Anchor Validation.pdf</x:v>
      </x:c>
      <x:c r="Q72" s="25" t="str">
        <x:v>RECONSTRUCTED_FROM_REPORT</x:v>
      </x:c>
      <x:c r="R72" s="27" t="str">
        <x:v>Original candidate ID and row fields reconstructed from the compact narrative PDF table; this is not the missing original structured record.</x:v>
      </x:c>
    </x:row>
    <x:row r="73" ht="19" customHeight="1">
      <x:c r="A73" s="23" t="str">
        <x:v>FT-SEED-R1-1988-B-04</x:v>
      </x:c>
      <x:c r="B73" s="25" t="str">
        <x:v>INITIAL_180</x:v>
      </x:c>
      <x:c r="C73" s="24" t="str">
        <x:v>1988-B-04</x:v>
      </x:c>
      <x:c r="D73" s="25" t="str">
        <x:v>14</x:v>
      </x:c>
      <x:c r="E73" s="24" t="str">
        <x:v>FT-A1988</x:v>
      </x:c>
      <x:c r="F73" s="24" t="str">
        <x:v>global climate patterns</x:v>
      </x:c>
      <x:c r="G73" s="25" t="str">
        <x:v>B</x:v>
      </x:c>
      <x:c r="H73" s="25" t="str"/>
      <x:c r="I73" s="24" t="str"/>
      <x:c r="J73" s="25" t="str"/>
      <x:c r="K73" s="25" t="str">
        <x:v>CONFIDENCE=Strong;CARRY_FORWARD=Yes</x:v>
      </x:c>
      <x:c r="L73" s="24" t="str">
        <x:v>Strong</x:v>
      </x:c>
      <x:c r="M73" s="25" t="str">
        <x:v>Yes</x:v>
      </x:c>
      <x:c r="N73" s="25" t="str">
        <x:v>RECONSTRUCTED_FROM_REPORT</x:v>
      </x:c>
      <x:c r="O73" s="25" t="str">
        <x:v>RETAIN</x:v>
      </x:c>
      <x:c r="P73" s="24" t="str">
        <x:v>Fear of Temperature_ Historical Lexical Discovery and Anchor Validation.pdf</x:v>
      </x:c>
      <x:c r="Q73" s="25" t="str">
        <x:v>RECONSTRUCTED_FROM_REPORT</x:v>
      </x:c>
      <x:c r="R73" s="27" t="str">
        <x:v>Original candidate ID and row fields reconstructed from the compact narrative PDF table; this is not the missing original structured record.</x:v>
      </x:c>
    </x:row>
    <x:row r="74" ht="19" customHeight="1">
      <x:c r="A74" s="23" t="str">
        <x:v>FT-SEED-R1-1988-B-05</x:v>
      </x:c>
      <x:c r="B74" s="25" t="str">
        <x:v>INITIAL_180</x:v>
      </x:c>
      <x:c r="C74" s="24" t="str">
        <x:v>1988-B-05</x:v>
      </x:c>
      <x:c r="D74" s="25" t="str">
        <x:v>14</x:v>
      </x:c>
      <x:c r="E74" s="24" t="str">
        <x:v>FT-A1988</x:v>
      </x:c>
      <x:c r="F74" s="24" t="str">
        <x:v>greenhouse gases</x:v>
      </x:c>
      <x:c r="G74" s="25" t="str">
        <x:v>B</x:v>
      </x:c>
      <x:c r="H74" s="25" t="str"/>
      <x:c r="I74" s="24" t="str"/>
      <x:c r="J74" s="25" t="str"/>
      <x:c r="K74" s="25" t="str">
        <x:v>CONFIDENCE=Strong;CARRY_FORWARD=Yes</x:v>
      </x:c>
      <x:c r="L74" s="24" t="str">
        <x:v>Strong</x:v>
      </x:c>
      <x:c r="M74" s="25" t="str">
        <x:v>Yes</x:v>
      </x:c>
      <x:c r="N74" s="25" t="str">
        <x:v>RECONSTRUCTED_FROM_REPORT</x:v>
      </x:c>
      <x:c r="O74" s="25" t="str">
        <x:v>RETAIN</x:v>
      </x:c>
      <x:c r="P74" s="24" t="str">
        <x:v>Fear of Temperature_ Historical Lexical Discovery and Anchor Validation.pdf</x:v>
      </x:c>
      <x:c r="Q74" s="25" t="str">
        <x:v>RECONSTRUCTED_FROM_REPORT</x:v>
      </x:c>
      <x:c r="R74" s="27" t="str">
        <x:v>Original candidate ID and row fields reconstructed from the compact narrative PDF table; this is not the missing original structured record.</x:v>
      </x:c>
    </x:row>
    <x:row r="75" ht="19" customHeight="1">
      <x:c r="A75" s="23" t="str">
        <x:v>FT-SEED-R1-1988-B-06</x:v>
      </x:c>
      <x:c r="B75" s="25" t="str">
        <x:v>INITIAL_180</x:v>
      </x:c>
      <x:c r="C75" s="24" t="str">
        <x:v>1988-B-06</x:v>
      </x:c>
      <x:c r="D75" s="25" t="str">
        <x:v>15</x:v>
      </x:c>
      <x:c r="E75" s="24" t="str">
        <x:v>FT-A1988</x:v>
      </x:c>
      <x:c r="F75" s="24" t="str">
        <x:v>atmospheric concentrations</x:v>
      </x:c>
      <x:c r="G75" s="25" t="str">
        <x:v>B</x:v>
      </x:c>
      <x:c r="H75" s="25" t="str"/>
      <x:c r="I75" s="24" t="str"/>
      <x:c r="J75" s="25" t="str"/>
      <x:c r="K75" s="25" t="str">
        <x:v>CONFIDENCE=Strong;CARRY_FORWARD=Yes</x:v>
      </x:c>
      <x:c r="L75" s="24" t="str">
        <x:v>Strong</x:v>
      </x:c>
      <x:c r="M75" s="25" t="str">
        <x:v>Yes</x:v>
      </x:c>
      <x:c r="N75" s="25" t="str">
        <x:v>RECONSTRUCTED_FROM_REPORT</x:v>
      </x:c>
      <x:c r="O75" s="25" t="str">
        <x:v>RETAIN</x:v>
      </x:c>
      <x:c r="P75" s="24" t="str">
        <x:v>Fear of Temperature_ Historical Lexical Discovery and Anchor Validation.pdf</x:v>
      </x:c>
      <x:c r="Q75" s="25" t="str">
        <x:v>RECONSTRUCTED_FROM_REPORT</x:v>
      </x:c>
      <x:c r="R75" s="27" t="str">
        <x:v>Original candidate ID and row fields reconstructed from the compact narrative PDF table; this is not the missing original structured record.</x:v>
      </x:c>
    </x:row>
    <x:row r="76" ht="19" customHeight="1">
      <x:c r="A76" s="23" t="str">
        <x:v>FT-SEED-R1-1988-B-07</x:v>
      </x:c>
      <x:c r="B76" s="25" t="str">
        <x:v>INITIAL_180</x:v>
      </x:c>
      <x:c r="C76" s="24" t="str">
        <x:v>1988-B-07</x:v>
      </x:c>
      <x:c r="D76" s="25" t="str">
        <x:v>15</x:v>
      </x:c>
      <x:c r="E76" s="24" t="str">
        <x:v>FT-A1988</x:v>
      </x:c>
      <x:c r="F76" s="24" t="str">
        <x:v>human activities</x:v>
      </x:c>
      <x:c r="G76" s="25" t="str">
        <x:v>B</x:v>
      </x:c>
      <x:c r="H76" s="25" t="str"/>
      <x:c r="I76" s="24" t="str"/>
      <x:c r="J76" s="25" t="str"/>
      <x:c r="K76" s="25" t="str">
        <x:v>CONFIDENCE=Strong;CARRY_FORWARD=Yes</x:v>
      </x:c>
      <x:c r="L76" s="24" t="str">
        <x:v>Strong</x:v>
      </x:c>
      <x:c r="M76" s="25" t="str">
        <x:v>Yes</x:v>
      </x:c>
      <x:c r="N76" s="25" t="str">
        <x:v>RECONSTRUCTED_FROM_REPORT</x:v>
      </x:c>
      <x:c r="O76" s="25" t="str">
        <x:v>RETAIN</x:v>
      </x:c>
      <x:c r="P76" s="24" t="str">
        <x:v>Fear of Temperature_ Historical Lexical Discovery and Anchor Validation.pdf</x:v>
      </x:c>
      <x:c r="Q76" s="25" t="str">
        <x:v>RECONSTRUCTED_FROM_REPORT</x:v>
      </x:c>
      <x:c r="R76" s="27" t="str">
        <x:v>Original candidate ID and row fields reconstructed from the compact narrative PDF table; this is not the missing original structured record.</x:v>
      </x:c>
    </x:row>
    <x:row r="77" ht="19" customHeight="1">
      <x:c r="A77" s="23" t="str">
        <x:v>FT-SEED-R1-1988-B-08</x:v>
      </x:c>
      <x:c r="B77" s="25" t="str">
        <x:v>INITIAL_180</x:v>
      </x:c>
      <x:c r="C77" s="24" t="str">
        <x:v>1988-B-08</x:v>
      </x:c>
      <x:c r="D77" s="25" t="str">
        <x:v>15</x:v>
      </x:c>
      <x:c r="E77" s="24" t="str">
        <x:v>FT-A1988</x:v>
      </x:c>
      <x:c r="F77" s="24" t="str">
        <x:v>changing atmosphere</x:v>
      </x:c>
      <x:c r="G77" s="25" t="str">
        <x:v>B</x:v>
      </x:c>
      <x:c r="H77" s="25" t="str"/>
      <x:c r="I77" s="24" t="str"/>
      <x:c r="J77" s="25" t="str"/>
      <x:c r="K77" s="25" t="str">
        <x:v>CONFIDENCE=Strong;CARRY_FORWARD=Yes</x:v>
      </x:c>
      <x:c r="L77" s="24" t="str">
        <x:v>Strong</x:v>
      </x:c>
      <x:c r="M77" s="25" t="str">
        <x:v>Yes</x:v>
      </x:c>
      <x:c r="N77" s="25" t="str">
        <x:v>RECONSTRUCTED_FROM_REPORT</x:v>
      </x:c>
      <x:c r="O77" s="25" t="str">
        <x:v>RETAIN</x:v>
      </x:c>
      <x:c r="P77" s="24" t="str">
        <x:v>Fear of Temperature_ Historical Lexical Discovery and Anchor Validation.pdf</x:v>
      </x:c>
      <x:c r="Q77" s="25" t="str">
        <x:v>RECONSTRUCTED_FROM_REPORT</x:v>
      </x:c>
      <x:c r="R77" s="27" t="str">
        <x:v>Original candidate ID and row fields reconstructed from the compact narrative PDF table; this is not the missing original structured record.</x:v>
      </x:c>
    </x:row>
    <x:row r="78" ht="19" customHeight="1">
      <x:c r="A78" s="23" t="str">
        <x:v>FT-SEED-R1-1988-C-01</x:v>
      </x:c>
      <x:c r="B78" s="25" t="str">
        <x:v>INITIAL_180</x:v>
      </x:c>
      <x:c r="C78" s="24" t="str">
        <x:v>1988-C-01</x:v>
      </x:c>
      <x:c r="D78" s="25" t="str">
        <x:v>15</x:v>
      </x:c>
      <x:c r="E78" s="24" t="str">
        <x:v>FT-A1988</x:v>
      </x:c>
      <x:c r="F78" s="24" t="str">
        <x:v>concern</x:v>
      </x:c>
      <x:c r="G78" s="25" t="str">
        <x:v>C</x:v>
      </x:c>
      <x:c r="H78" s="25" t="str"/>
      <x:c r="I78" s="24" t="str"/>
      <x:c r="J78" s="25" t="str"/>
      <x:c r="K78" s="25" t="str">
        <x:v>CONFIDENCE=Strong;CARRY_FORWARD=Yes</x:v>
      </x:c>
      <x:c r="L78" s="24" t="str">
        <x:v>Strong</x:v>
      </x:c>
      <x:c r="M78" s="25" t="str">
        <x:v>Yes</x:v>
      </x:c>
      <x:c r="N78" s="25" t="str">
        <x:v>RECONSTRUCTED_FROM_REPORT</x:v>
      </x:c>
      <x:c r="O78" s="25" t="str">
        <x:v>RETAIN</x:v>
      </x:c>
      <x:c r="P78" s="24" t="str">
        <x:v>Fear of Temperature_ Historical Lexical Discovery and Anchor Validation.pdf</x:v>
      </x:c>
      <x:c r="Q78" s="25" t="str">
        <x:v>RECONSTRUCTED_FROM_REPORT</x:v>
      </x:c>
      <x:c r="R78" s="27" t="str">
        <x:v>Original candidate ID and row fields reconstructed from the compact narrative PDF table; this is not the missing original structured record.</x:v>
      </x:c>
    </x:row>
    <x:row r="79" ht="19" customHeight="1">
      <x:c r="A79" s="23" t="str">
        <x:v>FT-SEED-R1-1988-C-02</x:v>
      </x:c>
      <x:c r="B79" s="25" t="str">
        <x:v>INITIAL_180</x:v>
      </x:c>
      <x:c r="C79" s="24" t="str">
        <x:v>1988-C-02</x:v>
      </x:c>
      <x:c r="D79" s="25" t="str">
        <x:v>15</x:v>
      </x:c>
      <x:c r="E79" s="24" t="str">
        <x:v>FT-A1988</x:v>
      </x:c>
      <x:c r="F79" s="24" t="str">
        <x:v>concerned</x:v>
      </x:c>
      <x:c r="G79" s="25" t="str">
        <x:v>C</x:v>
      </x:c>
      <x:c r="H79" s="25" t="str"/>
      <x:c r="I79" s="24" t="str"/>
      <x:c r="J79" s="25" t="str"/>
      <x:c r="K79" s="25" t="str">
        <x:v>CONFIDENCE=Strong;CARRY_FORWARD=Yes</x:v>
      </x:c>
      <x:c r="L79" s="24" t="str">
        <x:v>Strong</x:v>
      </x:c>
      <x:c r="M79" s="25" t="str">
        <x:v>Yes</x:v>
      </x:c>
      <x:c r="N79" s="25" t="str">
        <x:v>RECONSTRUCTED_FROM_REPORT</x:v>
      </x:c>
      <x:c r="O79" s="25" t="str">
        <x:v>RETAIN</x:v>
      </x:c>
      <x:c r="P79" s="24" t="str">
        <x:v>Fear of Temperature_ Historical Lexical Discovery and Anchor Validation.pdf</x:v>
      </x:c>
      <x:c r="Q79" s="25" t="str">
        <x:v>RECONSTRUCTED_FROM_REPORT</x:v>
      </x:c>
      <x:c r="R79" s="27" t="str">
        <x:v>Original candidate ID and row fields reconstructed from the compact narrative PDF table; this is not the missing original structured record.</x:v>
      </x:c>
    </x:row>
    <x:row r="80" ht="19" customHeight="1">
      <x:c r="A80" s="23" t="str">
        <x:v>FT-SEED-R1-1988-C-03</x:v>
      </x:c>
      <x:c r="B80" s="25" t="str">
        <x:v>INITIAL_180</x:v>
      </x:c>
      <x:c r="C80" s="24" t="str">
        <x:v>1988-C-03</x:v>
      </x:c>
      <x:c r="D80" s="25" t="str">
        <x:v>15</x:v>
      </x:c>
      <x:c r="E80" s="24" t="str">
        <x:v>FT-A1988</x:v>
      </x:c>
      <x:c r="F80" s="24" t="str">
        <x:v>alarm</x:v>
      </x:c>
      <x:c r="G80" s="25" t="str">
        <x:v>C</x:v>
      </x:c>
      <x:c r="H80" s="25" t="str"/>
      <x:c r="I80" s="24" t="str"/>
      <x:c r="J80" s="25" t="str"/>
      <x:c r="K80" s="25" t="str">
        <x:v>CONFIDENCE=Weak;CARRY_FORWARD=No</x:v>
      </x:c>
      <x:c r="L80" s="24" t="str">
        <x:v>Weak</x:v>
      </x:c>
      <x:c r="M80" s="25" t="str">
        <x:v>No</x:v>
      </x:c>
      <x:c r="N80" s="25" t="str">
        <x:v>RECONSTRUCTED_FROM_REPORT</x:v>
      </x:c>
      <x:c r="O80" s="25" t="str">
        <x:v>EXCLUDE</x:v>
      </x:c>
      <x:c r="P80" s="24" t="str">
        <x:v>Fear of Temperature_ Historical Lexical Discovery and Anchor Validation.pdf</x:v>
      </x:c>
      <x:c r="Q80" s="25" t="str">
        <x:v>RECONSTRUCTED_FROM_REPORT</x:v>
      </x:c>
      <x:c r="R80" s="27" t="str">
        <x:v>Original candidate ID and row fields reconstructed from the compact narrative PDF table; this is not the missing original structured record.</x:v>
      </x:c>
    </x:row>
    <x:row r="81" ht="19" customHeight="1">
      <x:c r="A81" s="23" t="str">
        <x:v>FT-SEED-R1-1988-C-04</x:v>
      </x:c>
      <x:c r="B81" s="25" t="str">
        <x:v>INITIAL_180</x:v>
      </x:c>
      <x:c r="C81" s="24" t="str">
        <x:v>1988-C-04</x:v>
      </x:c>
      <x:c r="D81" s="25" t="str">
        <x:v>15</x:v>
      </x:c>
      <x:c r="E81" s="24" t="str">
        <x:v>FT-A1988</x:v>
      </x:c>
      <x:c r="F81" s="24" t="str">
        <x:v>fear</x:v>
      </x:c>
      <x:c r="G81" s="25" t="str">
        <x:v>C</x:v>
      </x:c>
      <x:c r="H81" s="25" t="str"/>
      <x:c r="I81" s="24" t="str"/>
      <x:c r="J81" s="25" t="str"/>
      <x:c r="K81" s="25" t="str">
        <x:v>CONFIDENCE=Weak;CARRY_FORWARD=No</x:v>
      </x:c>
      <x:c r="L81" s="24" t="str">
        <x:v>Weak</x:v>
      </x:c>
      <x:c r="M81" s="25" t="str">
        <x:v>No</x:v>
      </x:c>
      <x:c r="N81" s="25" t="str">
        <x:v>RECONSTRUCTED_FROM_REPORT</x:v>
      </x:c>
      <x:c r="O81" s="25" t="str">
        <x:v>EXCLUDE</x:v>
      </x:c>
      <x:c r="P81" s="24" t="str">
        <x:v>Fear of Temperature_ Historical Lexical Discovery and Anchor Validation.pdf</x:v>
      </x:c>
      <x:c r="Q81" s="25" t="str">
        <x:v>RECONSTRUCTED_FROM_REPORT</x:v>
      </x:c>
      <x:c r="R81" s="27" t="str">
        <x:v>Original candidate ID and row fields reconstructed from the compact narrative PDF table; this is not the missing original structured record.</x:v>
      </x:c>
    </x:row>
    <x:row r="82" ht="19" customHeight="1">
      <x:c r="A82" s="23" t="str">
        <x:v>FT-SEED-R1-1988-C-05</x:v>
      </x:c>
      <x:c r="B82" s="25" t="str">
        <x:v>INITIAL_180</x:v>
      </x:c>
      <x:c r="C82" s="24" t="str">
        <x:v>1988-C-05</x:v>
      </x:c>
      <x:c r="D82" s="25" t="str">
        <x:v>15</x:v>
      </x:c>
      <x:c r="E82" s="24" t="str">
        <x:v>FT-A1988</x:v>
      </x:c>
      <x:c r="F82" s="24" t="str">
        <x:v>anxiety</x:v>
      </x:c>
      <x:c r="G82" s="25" t="str">
        <x:v>C</x:v>
      </x:c>
      <x:c r="H82" s="25" t="str"/>
      <x:c r="I82" s="24" t="str"/>
      <x:c r="J82" s="25" t="str"/>
      <x:c r="K82" s="25" t="str">
        <x:v>CONFIDENCE=Weak;CARRY_FORWARD=No</x:v>
      </x:c>
      <x:c r="L82" s="24" t="str">
        <x:v>Weak</x:v>
      </x:c>
      <x:c r="M82" s="25" t="str">
        <x:v>No</x:v>
      </x:c>
      <x:c r="N82" s="25" t="str">
        <x:v>RECONSTRUCTED_FROM_REPORT</x:v>
      </x:c>
      <x:c r="O82" s="25" t="str">
        <x:v>EXCLUDE</x:v>
      </x:c>
      <x:c r="P82" s="24" t="str">
        <x:v>Fear of Temperature_ Historical Lexical Discovery and Anchor Validation.pdf</x:v>
      </x:c>
      <x:c r="Q82" s="25" t="str">
        <x:v>RECONSTRUCTED_FROM_REPORT</x:v>
      </x:c>
      <x:c r="R82" s="27" t="str">
        <x:v>Original candidate ID and row fields reconstructed from the compact narrative PDF table; this is not the missing original structured record.</x:v>
      </x:c>
    </x:row>
    <x:row r="83" ht="19" customHeight="1">
      <x:c r="A83" s="23" t="str">
        <x:v>FT-SEED-R1-1988-C-06</x:v>
      </x:c>
      <x:c r="B83" s="25" t="str">
        <x:v>INITIAL_180</x:v>
      </x:c>
      <x:c r="C83" s="24" t="str">
        <x:v>1988-C-06</x:v>
      </x:c>
      <x:c r="D83" s="25" t="str">
        <x:v>16</x:v>
      </x:c>
      <x:c r="E83" s="24" t="str">
        <x:v>FT-A1988</x:v>
      </x:c>
      <x:c r="F83" s="24" t="str">
        <x:v>worry</x:v>
      </x:c>
      <x:c r="G83" s="25" t="str">
        <x:v>C</x:v>
      </x:c>
      <x:c r="H83" s="25" t="str"/>
      <x:c r="I83" s="24" t="str"/>
      <x:c r="J83" s="25" t="str"/>
      <x:c r="K83" s="25" t="str">
        <x:v>CONFIDENCE=Weak;CARRY_FORWARD=No</x:v>
      </x:c>
      <x:c r="L83" s="24" t="str">
        <x:v>Weak</x:v>
      </x:c>
      <x:c r="M83" s="25" t="str">
        <x:v>No</x:v>
      </x:c>
      <x:c r="N83" s="25" t="str">
        <x:v>RECONSTRUCTED_FROM_REPORT</x:v>
      </x:c>
      <x:c r="O83" s="25" t="str">
        <x:v>EXCLUDE</x:v>
      </x:c>
      <x:c r="P83" s="24" t="str">
        <x:v>Fear of Temperature_ Historical Lexical Discovery and Anchor Validation.pdf</x:v>
      </x:c>
      <x:c r="Q83" s="25" t="str">
        <x:v>RECONSTRUCTED_FROM_REPORT</x:v>
      </x:c>
      <x:c r="R83" s="27" t="str">
        <x:v>Original candidate ID and row fields reconstructed from the compact narrative PDF table; this is not the missing original structured record.</x:v>
      </x:c>
    </x:row>
    <x:row r="84" ht="19" customHeight="1">
      <x:c r="A84" s="23" t="str">
        <x:v>FT-SEED-R1-1988-C-07</x:v>
      </x:c>
      <x:c r="B84" s="25" t="str">
        <x:v>INITIAL_180</x:v>
      </x:c>
      <x:c r="C84" s="24" t="str">
        <x:v>1988-C-07</x:v>
      </x:c>
      <x:c r="D84" s="25" t="str">
        <x:v>16</x:v>
      </x:c>
      <x:c r="E84" s="24" t="str">
        <x:v>FT-A1988</x:v>
      </x:c>
      <x:c r="F84" s="24" t="str">
        <x:v>urgency</x:v>
      </x:c>
      <x:c r="G84" s="25" t="str">
        <x:v>C</x:v>
      </x:c>
      <x:c r="H84" s="25" t="str"/>
      <x:c r="I84" s="24" t="str"/>
      <x:c r="J84" s="25" t="str"/>
      <x:c r="K84" s="25" t="str">
        <x:v>CONFIDENCE=Moderate;CARRY_FORWARD=Conditional</x:v>
      </x:c>
      <x:c r="L84" s="24" t="str">
        <x:v>Moderate</x:v>
      </x:c>
      <x:c r="M84" s="25" t="str">
        <x:v>Conditional</x:v>
      </x:c>
      <x:c r="N84" s="25" t="str">
        <x:v>RECONSTRUCTED_FROM_REPORT</x:v>
      </x:c>
      <x:c r="O84" s="25" t="str">
        <x:v>UNRESOLVED</x:v>
      </x:c>
      <x:c r="P84" s="24" t="str">
        <x:v>Fear of Temperature_ Historical Lexical Discovery and Anchor Validation.pdf</x:v>
      </x:c>
      <x:c r="Q84" s="25" t="str">
        <x:v>RECONSTRUCTED_FROM_REPORT</x:v>
      </x:c>
      <x:c r="R84" s="27" t="str">
        <x:v>Original candidate ID and row fields reconstructed from the compact narrative PDF table; this is not the missing original structured record.</x:v>
      </x:c>
    </x:row>
    <x:row r="85" ht="19" customHeight="1">
      <x:c r="A85" s="23" t="str">
        <x:v>FT-SEED-R1-1988-D-01</x:v>
      </x:c>
      <x:c r="B85" s="25" t="str">
        <x:v>INITIAL_180</x:v>
      </x:c>
      <x:c r="C85" s="24" t="str">
        <x:v>1988-D-01</x:v>
      </x:c>
      <x:c r="D85" s="25" t="str">
        <x:v>16</x:v>
      </x:c>
      <x:c r="E85" s="24" t="str">
        <x:v>FT-A1988</x:v>
      </x:c>
      <x:c r="F85" s="24" t="str">
        <x:v>threatening</x:v>
      </x:c>
      <x:c r="G85" s="25" t="str">
        <x:v>D</x:v>
      </x:c>
      <x:c r="H85" s="25" t="str"/>
      <x:c r="I85" s="24" t="str"/>
      <x:c r="J85" s="25" t="str"/>
      <x:c r="K85" s="25" t="str">
        <x:v>CONFIDENCE=Strong;CARRY_FORWARD=Yes</x:v>
      </x:c>
      <x:c r="L85" s="24" t="str">
        <x:v>Strong</x:v>
      </x:c>
      <x:c r="M85" s="25" t="str">
        <x:v>Yes</x:v>
      </x:c>
      <x:c r="N85" s="25" t="str">
        <x:v>RECONSTRUCTED_FROM_REPORT</x:v>
      </x:c>
      <x:c r="O85" s="25" t="str">
        <x:v>RETAIN</x:v>
      </x:c>
      <x:c r="P85" s="24" t="str">
        <x:v>Fear of Temperature_ Historical Lexical Discovery and Anchor Validation.pdf</x:v>
      </x:c>
      <x:c r="Q85" s="25" t="str">
        <x:v>RECONSTRUCTED_FROM_REPORT</x:v>
      </x:c>
      <x:c r="R85" s="27" t="str">
        <x:v>Original candidate ID and row fields reconstructed from the compact narrative PDF table; this is not the missing original structured record.</x:v>
      </x:c>
    </x:row>
    <x:row r="86" ht="19" customHeight="1">
      <x:c r="A86" s="23" t="str">
        <x:v>FT-SEED-R1-1988-D-02</x:v>
      </x:c>
      <x:c r="B86" s="25" t="str">
        <x:v>INITIAL_180</x:v>
      </x:c>
      <x:c r="C86" s="24" t="str">
        <x:v>1988-D-02</x:v>
      </x:c>
      <x:c r="D86" s="25" t="str">
        <x:v>16</x:v>
      </x:c>
      <x:c r="E86" s="24" t="str">
        <x:v>FT-A1988</x:v>
      </x:c>
      <x:c r="F86" s="24" t="str">
        <x:v>severe consequences</x:v>
      </x:c>
      <x:c r="G86" s="25" t="str">
        <x:v>D</x:v>
      </x:c>
      <x:c r="H86" s="25" t="str"/>
      <x:c r="I86" s="24" t="str"/>
      <x:c r="J86" s="25" t="str"/>
      <x:c r="K86" s="25" t="str">
        <x:v>CONFIDENCE=Strong;CARRY_FORWARD=Yes</x:v>
      </x:c>
      <x:c r="L86" s="24" t="str">
        <x:v>Strong</x:v>
      </x:c>
      <x:c r="M86" s="25" t="str">
        <x:v>Yes</x:v>
      </x:c>
      <x:c r="N86" s="25" t="str">
        <x:v>RECONSTRUCTED_FROM_REPORT</x:v>
      </x:c>
      <x:c r="O86" s="25" t="str">
        <x:v>RETAIN</x:v>
      </x:c>
      <x:c r="P86" s="24" t="str">
        <x:v>Fear of Temperature_ Historical Lexical Discovery and Anchor Validation.pdf</x:v>
      </x:c>
      <x:c r="Q86" s="25" t="str">
        <x:v>RECONSTRUCTED_FROM_REPORT</x:v>
      </x:c>
      <x:c r="R86" s="27" t="str">
        <x:v>Original candidate ID and row fields reconstructed from the compact narrative PDF table; this is not the missing original structured record.</x:v>
      </x:c>
    </x:row>
    <x:row r="87" ht="19" customHeight="1">
      <x:c r="A87" s="23" t="str">
        <x:v>FT-SEED-R1-1988-D-03</x:v>
      </x:c>
      <x:c r="B87" s="25" t="str">
        <x:v>INITIAL_180</x:v>
      </x:c>
      <x:c r="C87" s="24" t="str">
        <x:v>1988-D-03</x:v>
      </x:c>
      <x:c r="D87" s="25" t="str">
        <x:v>16</x:v>
      </x:c>
      <x:c r="E87" s="24" t="str">
        <x:v>FT-A1988</x:v>
      </x:c>
      <x:c r="F87" s="24" t="str">
        <x:v>disastrous</x:v>
      </x:c>
      <x:c r="G87" s="25" t="str">
        <x:v>D</x:v>
      </x:c>
      <x:c r="H87" s="25" t="str"/>
      <x:c r="I87" s="24" t="str"/>
      <x:c r="J87" s="25" t="str"/>
      <x:c r="K87" s="25" t="str">
        <x:v>CONFIDENCE=Strong;CARRY_FORWARD=Yes</x:v>
      </x:c>
      <x:c r="L87" s="24" t="str">
        <x:v>Strong</x:v>
      </x:c>
      <x:c r="M87" s="25" t="str">
        <x:v>Yes</x:v>
      </x:c>
      <x:c r="N87" s="25" t="str">
        <x:v>RECONSTRUCTED_FROM_REPORT</x:v>
      </x:c>
      <x:c r="O87" s="25" t="str">
        <x:v>RETAIN</x:v>
      </x:c>
      <x:c r="P87" s="24" t="str">
        <x:v>Fear of Temperature_ Historical Lexical Discovery and Anchor Validation.pdf</x:v>
      </x:c>
      <x:c r="Q87" s="25" t="str">
        <x:v>RECONSTRUCTED_FROM_REPORT</x:v>
      </x:c>
      <x:c r="R87" s="27" t="str">
        <x:v>Original candidate ID and row fields reconstructed from the compact narrative PDF table; this is not the missing original structured record.</x:v>
      </x:c>
    </x:row>
    <x:row r="88" ht="19" customHeight="1">
      <x:c r="A88" s="23" t="str">
        <x:v>FT-SEED-R1-1988-D-04</x:v>
      </x:c>
      <x:c r="B88" s="25" t="str">
        <x:v>INITIAL_180</x:v>
      </x:c>
      <x:c r="C88" s="24" t="str">
        <x:v>1988-D-04</x:v>
      </x:c>
      <x:c r="D88" s="25" t="str">
        <x:v>16</x:v>
      </x:c>
      <x:c r="E88" s="24" t="str">
        <x:v>FT-A1988</x:v>
      </x:c>
      <x:c r="F88" s="24" t="str">
        <x:v>detrimental effects</x:v>
      </x:c>
      <x:c r="G88" s="25" t="str">
        <x:v>D</x:v>
      </x:c>
      <x:c r="H88" s="25" t="str"/>
      <x:c r="I88" s="24" t="str"/>
      <x:c r="J88" s="25" t="str"/>
      <x:c r="K88" s="25" t="str">
        <x:v>CONFIDENCE=Strong;CARRY_FORWARD=Yes</x:v>
      </x:c>
      <x:c r="L88" s="24" t="str">
        <x:v>Strong</x:v>
      </x:c>
      <x:c r="M88" s="25" t="str">
        <x:v>Yes</x:v>
      </x:c>
      <x:c r="N88" s="25" t="str">
        <x:v>RECONSTRUCTED_FROM_REPORT</x:v>
      </x:c>
      <x:c r="O88" s="25" t="str">
        <x:v>RETAIN</x:v>
      </x:c>
      <x:c r="P88" s="24" t="str">
        <x:v>Fear of Temperature_ Historical Lexical Discovery and Anchor Validation.pdf</x:v>
      </x:c>
      <x:c r="Q88" s="25" t="str">
        <x:v>RECONSTRUCTED_FROM_REPORT</x:v>
      </x:c>
      <x:c r="R88" s="27" t="str">
        <x:v>Original candidate ID and row fields reconstructed from the compact narrative PDF table; this is not the missing original structured record.</x:v>
      </x:c>
    </x:row>
    <x:row r="89" ht="19" customHeight="1">
      <x:c r="A89" s="23" t="str">
        <x:v>FT-SEED-R1-1988-D-05</x:v>
      </x:c>
      <x:c r="B89" s="25" t="str">
        <x:v>INITIAL_180</x:v>
      </x:c>
      <x:c r="C89" s="24" t="str">
        <x:v>1988-D-05</x:v>
      </x:c>
      <x:c r="D89" s="25" t="str">
        <x:v>16</x:v>
      </x:c>
      <x:c r="E89" s="24" t="str">
        <x:v>FT-A1988</x:v>
      </x:c>
      <x:c r="F89" s="24" t="str">
        <x:v>critical problem</x:v>
      </x:c>
      <x:c r="G89" s="25" t="str">
        <x:v>D</x:v>
      </x:c>
      <x:c r="H89" s="25" t="str"/>
      <x:c r="I89" s="24" t="str"/>
      <x:c r="J89" s="25" t="str"/>
      <x:c r="K89" s="25" t="str">
        <x:v>CONFIDENCE=Strong;CARRY_FORWARD=Yes</x:v>
      </x:c>
      <x:c r="L89" s="24" t="str">
        <x:v>Strong</x:v>
      </x:c>
      <x:c r="M89" s="25" t="str">
        <x:v>Yes</x:v>
      </x:c>
      <x:c r="N89" s="25" t="str">
        <x:v>RECONSTRUCTED_FROM_REPORT</x:v>
      </x:c>
      <x:c r="O89" s="25" t="str">
        <x:v>RETAIN</x:v>
      </x:c>
      <x:c r="P89" s="24" t="str">
        <x:v>Fear of Temperature_ Historical Lexical Discovery and Anchor Validation.pdf</x:v>
      </x:c>
      <x:c r="Q89" s="25" t="str">
        <x:v>RECONSTRUCTED_FROM_REPORT</x:v>
      </x:c>
      <x:c r="R89" s="27" t="str">
        <x:v>Original candidate ID and row fields reconstructed from the compact narrative PDF table; this is not the missing original structured record.</x:v>
      </x:c>
    </x:row>
    <x:row r="90" ht="19" customHeight="1">
      <x:c r="A90" s="23" t="str">
        <x:v>FT-SEED-R1-1988-D-06</x:v>
      </x:c>
      <x:c r="B90" s="25" t="str">
        <x:v>INITIAL_180</x:v>
      </x:c>
      <x:c r="C90" s="24" t="str">
        <x:v>1988-D-06</x:v>
      </x:c>
      <x:c r="D90" s="25" t="str">
        <x:v>17</x:v>
      </x:c>
      <x:c r="E90" s="24" t="str">
        <x:v>FT-A1988</x:v>
      </x:c>
      <x:c r="F90" s="24" t="str">
        <x:v>global security</x:v>
      </x:c>
      <x:c r="G90" s="25" t="str">
        <x:v>D</x:v>
      </x:c>
      <x:c r="H90" s="25" t="str"/>
      <x:c r="I90" s="24" t="str"/>
      <x:c r="J90" s="25" t="str">
        <x:v>E1</x:v>
      </x:c>
      <x:c r="K90" s="25" t="str">
        <x:v>CONFIDENCE=Strong;CARRY_FORWARD=Yes</x:v>
      </x:c>
      <x:c r="L90" s="24" t="str">
        <x:v>Strong</x:v>
      </x:c>
      <x:c r="M90" s="25" t="str">
        <x:v>Yes</x:v>
      </x:c>
      <x:c r="N90" s="25" t="str">
        <x:v>RECONSTRUCTED_FROM_REPORT</x:v>
      </x:c>
      <x:c r="O90" s="25" t="str">
        <x:v>RETAIN</x:v>
      </x:c>
      <x:c r="P90" s="24" t="str">
        <x:v>Fear of Temperature_ Historical Lexical Discovery and Anchor Validation.pdf</x:v>
      </x:c>
      <x:c r="Q90" s="25" t="str">
        <x:v>RECONSTRUCTED_FROM_REPORT</x:v>
      </x:c>
      <x:c r="R90" s="27" t="str">
        <x:v>Original candidate ID and row fields reconstructed from the compact narrative PDF table; this is not the missing original structured record.</x:v>
      </x:c>
    </x:row>
    <x:row r="91" ht="19" customHeight="1">
      <x:c r="A91" s="23" t="str">
        <x:v>FT-SEED-R1-1988-D-07</x:v>
      </x:c>
      <x:c r="B91" s="25" t="str">
        <x:v>INITIAL_180</x:v>
      </x:c>
      <x:c r="C91" s="24" t="str">
        <x:v>1988-D-07</x:v>
      </x:c>
      <x:c r="D91" s="25" t="str">
        <x:v>17</x:v>
      </x:c>
      <x:c r="E91" s="24" t="str">
        <x:v>FT-A1988</x:v>
      </x:c>
      <x:c r="F91" s="24" t="str">
        <x:v>ultimate consequences</x:v>
      </x:c>
      <x:c r="G91" s="25" t="str">
        <x:v>D</x:v>
      </x:c>
      <x:c r="H91" s="25" t="str"/>
      <x:c r="I91" s="24" t="str"/>
      <x:c r="J91" s="25" t="str"/>
      <x:c r="K91" s="25" t="str">
        <x:v>CONFIDENCE=Strong;CARRY_FORWARD=Yes</x:v>
      </x:c>
      <x:c r="L91" s="24" t="str">
        <x:v>Strong</x:v>
      </x:c>
      <x:c r="M91" s="25" t="str">
        <x:v>Yes</x:v>
      </x:c>
      <x:c r="N91" s="25" t="str">
        <x:v>RECONSTRUCTED_FROM_REPORT</x:v>
      </x:c>
      <x:c r="O91" s="25" t="str">
        <x:v>RETAIN</x:v>
      </x:c>
      <x:c r="P91" s="24" t="str">
        <x:v>Fear of Temperature_ Historical Lexical Discovery and Anchor Validation.pdf</x:v>
      </x:c>
      <x:c r="Q91" s="25" t="str">
        <x:v>RECONSTRUCTED_FROM_REPORT</x:v>
      </x:c>
      <x:c r="R91" s="27" t="str">
        <x:v>Original candidate ID and row fields reconstructed from the compact narrative PDF table; this is not the missing original structured record.</x:v>
      </x:c>
    </x:row>
    <x:row r="92" ht="19" customHeight="1">
      <x:c r="A92" s="23" t="str">
        <x:v>FT-SEED-R1-0607-A-01</x:v>
      </x:c>
      <x:c r="B92" s="25" t="str">
        <x:v>INITIAL_180</x:v>
      </x:c>
      <x:c r="C92" s="24" t="str">
        <x:v>0607-A-01</x:v>
      </x:c>
      <x:c r="D92" s="25" t="str">
        <x:v>18</x:v>
      </x:c>
      <x:c r="E92" s="24" t="str">
        <x:v>FT-A0607</x:v>
      </x:c>
      <x:c r="F92" s="24" t="str">
        <x:v>global warming</x:v>
      </x:c>
      <x:c r="G92" s="25" t="str">
        <x:v>A</x:v>
      </x:c>
      <x:c r="H92" s="25" t="str"/>
      <x:c r="I92" s="24" t="str"/>
      <x:c r="J92" s="25" t="str"/>
      <x:c r="K92" s="25" t="str">
        <x:v>CONFIDENCE=Strong;CARRY_FORWARD=Yes</x:v>
      </x:c>
      <x:c r="L92" s="24" t="str">
        <x:v>Strong</x:v>
      </x:c>
      <x:c r="M92" s="25" t="str">
        <x:v>Yes</x:v>
      </x:c>
      <x:c r="N92" s="25" t="str">
        <x:v>RECONSTRUCTED_FROM_REPORT</x:v>
      </x:c>
      <x:c r="O92" s="25" t="str">
        <x:v>RETAIN</x:v>
      </x:c>
      <x:c r="P92" s="24" t="str">
        <x:v>Fear of Temperature_ Historical Lexical Discovery and Anchor Validation.pdf</x:v>
      </x:c>
      <x:c r="Q92" s="25" t="str">
        <x:v>RECONSTRUCTED_FROM_REPORT</x:v>
      </x:c>
      <x:c r="R92" s="27" t="str">
        <x:v>Original candidate ID and row fields reconstructed from the compact narrative PDF table; this is not the missing original structured record.</x:v>
      </x:c>
    </x:row>
    <x:row r="93" ht="19" customHeight="1">
      <x:c r="A93" s="23" t="str">
        <x:v>FT-SEED-R1-0607-A-02</x:v>
      </x:c>
      <x:c r="B93" s="25" t="str">
        <x:v>INITIAL_180</x:v>
      </x:c>
      <x:c r="C93" s="24" t="str">
        <x:v>0607-A-02</x:v>
      </x:c>
      <x:c r="D93" s="25" t="str">
        <x:v>18</x:v>
      </x:c>
      <x:c r="E93" s="24" t="str">
        <x:v>FT-A0607</x:v>
      </x:c>
      <x:c r="F93" s="24" t="str">
        <x:v>warming</x:v>
      </x:c>
      <x:c r="G93" s="25" t="str">
        <x:v>A</x:v>
      </x:c>
      <x:c r="H93" s="25" t="str"/>
      <x:c r="I93" s="24" t="str"/>
      <x:c r="J93" s="25" t="str"/>
      <x:c r="K93" s="25" t="str">
        <x:v>CONFIDENCE=Strong;CARRY_FORWARD=Yes</x:v>
      </x:c>
      <x:c r="L93" s="24" t="str">
        <x:v>Strong</x:v>
      </x:c>
      <x:c r="M93" s="25" t="str">
        <x:v>Yes</x:v>
      </x:c>
      <x:c r="N93" s="25" t="str">
        <x:v>RECONSTRUCTED_FROM_REPORT</x:v>
      </x:c>
      <x:c r="O93" s="25" t="str">
        <x:v>RETAIN</x:v>
      </x:c>
      <x:c r="P93" s="24" t="str">
        <x:v>Fear of Temperature_ Historical Lexical Discovery and Anchor Validation.pdf</x:v>
      </x:c>
      <x:c r="Q93" s="25" t="str">
        <x:v>RECONSTRUCTED_FROM_REPORT</x:v>
      </x:c>
      <x:c r="R93" s="27" t="str">
        <x:v>Original candidate ID and row fields reconstructed from the compact narrative PDF table; this is not the missing original structured record.</x:v>
      </x:c>
    </x:row>
    <x:row r="94" ht="19" customHeight="1">
      <x:c r="A94" s="23" t="str">
        <x:v>FT-SEED-R1-0607-A-03</x:v>
      </x:c>
      <x:c r="B94" s="25" t="str">
        <x:v>INITIAL_180</x:v>
      </x:c>
      <x:c r="C94" s="24" t="str">
        <x:v>0607-A-03</x:v>
      </x:c>
      <x:c r="D94" s="25" t="str">
        <x:v>18</x:v>
      </x:c>
      <x:c r="E94" s="24" t="str">
        <x:v>FT-A0607</x:v>
      </x:c>
      <x:c r="F94" s="24" t="str">
        <x:v>global average temperature</x:v>
      </x:c>
      <x:c r="G94" s="25" t="str">
        <x:v>A</x:v>
      </x:c>
      <x:c r="H94" s="25" t="str"/>
      <x:c r="I94" s="24" t="str"/>
      <x:c r="J94" s="25" t="str"/>
      <x:c r="K94" s="25" t="str">
        <x:v>CONFIDENCE=Strong;CARRY_FORWARD=Yes</x:v>
      </x:c>
      <x:c r="L94" s="24" t="str">
        <x:v>Strong</x:v>
      </x:c>
      <x:c r="M94" s="25" t="str">
        <x:v>Yes</x:v>
      </x:c>
      <x:c r="N94" s="25" t="str">
        <x:v>RECONSTRUCTED_FROM_REPORT</x:v>
      </x:c>
      <x:c r="O94" s="25" t="str">
        <x:v>RETAIN</x:v>
      </x:c>
      <x:c r="P94" s="24" t="str">
        <x:v>Fear of Temperature_ Historical Lexical Discovery and Anchor Validation.pdf</x:v>
      </x:c>
      <x:c r="Q94" s="25" t="str">
        <x:v>RECONSTRUCTED_FROM_REPORT</x:v>
      </x:c>
      <x:c r="R94" s="27" t="str">
        <x:v>Original candidate ID and row fields reconstructed from the compact narrative PDF table; this is not the missing original structured record.</x:v>
      </x:c>
    </x:row>
    <x:row r="95" ht="19" customHeight="1">
      <x:c r="A95" s="23" t="str">
        <x:v>FT-SEED-R1-0607-A-04</x:v>
      </x:c>
      <x:c r="B95" s="25" t="str">
        <x:v>INITIAL_180</x:v>
      </x:c>
      <x:c r="C95" s="24" t="str">
        <x:v>0607-A-04</x:v>
      </x:c>
      <x:c r="D95" s="25" t="str">
        <x:v>18</x:v>
      </x:c>
      <x:c r="E95" s="24" t="str">
        <x:v>FT-A0607</x:v>
      </x:c>
      <x:c r="F95" s="24" t="str">
        <x:v>temperature increase</x:v>
      </x:c>
      <x:c r="G95" s="25" t="str">
        <x:v>A</x:v>
      </x:c>
      <x:c r="H95" s="25" t="str"/>
      <x:c r="I95" s="24" t="str"/>
      <x:c r="J95" s="25" t="str"/>
      <x:c r="K95" s="25" t="str">
        <x:v>CONFIDENCE=Strong;CARRY_FORWARD=Yes</x:v>
      </x:c>
      <x:c r="L95" s="24" t="str">
        <x:v>Strong</x:v>
      </x:c>
      <x:c r="M95" s="25" t="str">
        <x:v>Yes</x:v>
      </x:c>
      <x:c r="N95" s="25" t="str">
        <x:v>RECONSTRUCTED_FROM_REPORT</x:v>
      </x:c>
      <x:c r="O95" s="25" t="str">
        <x:v>RETAIN</x:v>
      </x:c>
      <x:c r="P95" s="24" t="str">
        <x:v>Fear of Temperature_ Historical Lexical Discovery and Anchor Validation.pdf</x:v>
      </x:c>
      <x:c r="Q95" s="25" t="str">
        <x:v>RECONSTRUCTED_FROM_REPORT</x:v>
      </x:c>
      <x:c r="R95" s="27" t="str">
        <x:v>Original candidate ID and row fields reconstructed from the compact narrative PDF table; this is not the missing original structured record.</x:v>
      </x:c>
    </x:row>
    <x:row r="96" ht="19" customHeight="1">
      <x:c r="A96" s="23" t="str">
        <x:v>FT-SEED-R1-0607-A-05</x:v>
      </x:c>
      <x:c r="B96" s="25" t="str">
        <x:v>INITIAL_180</x:v>
      </x:c>
      <x:c r="C96" s="24" t="str">
        <x:v>0607-A-05</x:v>
      </x:c>
      <x:c r="D96" s="25" t="str">
        <x:v>18</x:v>
      </x:c>
      <x:c r="E96" s="24" t="str">
        <x:v>FT-A0607</x:v>
      </x:c>
      <x:c r="F96" s="24" t="str">
        <x:v>temperature rise</x:v>
      </x:c>
      <x:c r="G96" s="25" t="str">
        <x:v>A</x:v>
      </x:c>
      <x:c r="H96" s="25" t="str"/>
      <x:c r="I96" s="24" t="str"/>
      <x:c r="J96" s="25" t="str"/>
      <x:c r="K96" s="25" t="str">
        <x:v>CONFIDENCE=Strong;CARRY_FORWARD=Yes</x:v>
      </x:c>
      <x:c r="L96" s="24" t="str">
        <x:v>Strong</x:v>
      </x:c>
      <x:c r="M96" s="25" t="str">
        <x:v>Yes</x:v>
      </x:c>
      <x:c r="N96" s="25" t="str">
        <x:v>RECONSTRUCTED_FROM_REPORT</x:v>
      </x:c>
      <x:c r="O96" s="25" t="str">
        <x:v>RETAIN</x:v>
      </x:c>
      <x:c r="P96" s="24" t="str">
        <x:v>Fear of Temperature_ Historical Lexical Discovery and Anchor Validation.pdf</x:v>
      </x:c>
      <x:c r="Q96" s="25" t="str">
        <x:v>RECONSTRUCTED_FROM_REPORT</x:v>
      </x:c>
      <x:c r="R96" s="27" t="str">
        <x:v>Original candidate ID and row fields reconstructed from the compact narrative PDF table; this is not the missing original structured record.</x:v>
      </x:c>
    </x:row>
    <x:row r="97" ht="19" customHeight="1">
      <x:c r="A97" s="23" t="str">
        <x:v>FT-SEED-R1-0607-A-06</x:v>
      </x:c>
      <x:c r="B97" s="25" t="str">
        <x:v>INITIAL_180</x:v>
      </x:c>
      <x:c r="C97" s="24" t="str">
        <x:v>0607-A-06</x:v>
      </x:c>
      <x:c r="D97" s="25" t="str">
        <x:v>18</x:v>
      </x:c>
      <x:c r="E97" s="24" t="str">
        <x:v>FT-A0607</x:v>
      </x:c>
      <x:c r="F97" s="24" t="str">
        <x:v>warming of the climate system</x:v>
      </x:c>
      <x:c r="G97" s="25" t="str">
        <x:v>A</x:v>
      </x:c>
      <x:c r="H97" s="25" t="str"/>
      <x:c r="I97" s="24" t="str"/>
      <x:c r="J97" s="25" t="str"/>
      <x:c r="K97" s="25" t="str">
        <x:v>CONFIDENCE=Strong;CARRY_FORWARD=Yes</x:v>
      </x:c>
      <x:c r="L97" s="24" t="str">
        <x:v>Strong</x:v>
      </x:c>
      <x:c r="M97" s="25" t="str">
        <x:v>Yes</x:v>
      </x:c>
      <x:c r="N97" s="25" t="str">
        <x:v>RECONSTRUCTED_FROM_REPORT</x:v>
      </x:c>
      <x:c r="O97" s="25" t="str">
        <x:v>RETAIN</x:v>
      </x:c>
      <x:c r="P97" s="24" t="str">
        <x:v>Fear of Temperature_ Historical Lexical Discovery and Anchor Validation.pdf</x:v>
      </x:c>
      <x:c r="Q97" s="25" t="str">
        <x:v>RECONSTRUCTED_FROM_REPORT</x:v>
      </x:c>
      <x:c r="R97" s="27" t="str">
        <x:v>Original candidate ID and row fields reconstructed from the compact narrative PDF table; this is not the missing original structured record.</x:v>
      </x:c>
    </x:row>
    <x:row r="98" ht="19" customHeight="1">
      <x:c r="A98" s="23" t="str">
        <x:v>FT-SEED-R1-0607-A-07</x:v>
      </x:c>
      <x:c r="B98" s="25" t="str">
        <x:v>INITIAL_180</x:v>
      </x:c>
      <x:c r="C98" s="24" t="str">
        <x:v>0607-A-07</x:v>
      </x:c>
      <x:c r="D98" s="25" t="str">
        <x:v>18</x:v>
      </x:c>
      <x:c r="E98" s="24" t="str">
        <x:v>FT-A0607</x:v>
      </x:c>
      <x:c r="F98" s="24" t="str">
        <x:v>heat waves</x:v>
      </x:c>
      <x:c r="G98" s="25" t="str">
        <x:v>A</x:v>
      </x:c>
      <x:c r="H98" s="25" t="str"/>
      <x:c r="I98" s="24" t="str"/>
      <x:c r="J98" s="25" t="str"/>
      <x:c r="K98" s="25" t="str">
        <x:v>CONFIDENCE=Strong;CARRY_FORWARD=Yes</x:v>
      </x:c>
      <x:c r="L98" s="24" t="str">
        <x:v>Strong</x:v>
      </x:c>
      <x:c r="M98" s="25" t="str">
        <x:v>Yes</x:v>
      </x:c>
      <x:c r="N98" s="25" t="str">
        <x:v>RECONSTRUCTED_FROM_REPORT</x:v>
      </x:c>
      <x:c r="O98" s="25" t="str">
        <x:v>RETAIN</x:v>
      </x:c>
      <x:c r="P98" s="24" t="str">
        <x:v>Fear of Temperature_ Historical Lexical Discovery and Anchor Validation.pdf</x:v>
      </x:c>
      <x:c r="Q98" s="25" t="str">
        <x:v>RECONSTRUCTED_FROM_REPORT</x:v>
      </x:c>
      <x:c r="R98" s="27" t="str">
        <x:v>Original candidate ID and row fields reconstructed from the compact narrative PDF table; this is not the missing original structured record.</x:v>
      </x:c>
    </x:row>
    <x:row r="99" ht="19" customHeight="1">
      <x:c r="A99" s="23" t="str">
        <x:v>FT-SEED-R1-0607-A-08</x:v>
      </x:c>
      <x:c r="B99" s="25" t="str">
        <x:v>INITIAL_180</x:v>
      </x:c>
      <x:c r="C99" s="24" t="str">
        <x:v>0607-A-08</x:v>
      </x:c>
      <x:c r="D99" s="25" t="str">
        <x:v>18</x:v>
      </x:c>
      <x:c r="E99" s="24" t="str">
        <x:v>FT-A0607</x:v>
      </x:c>
      <x:c r="F99" s="24" t="str">
        <x:v>warmer</x:v>
      </x:c>
      <x:c r="G99" s="25" t="str">
        <x:v>A</x:v>
      </x:c>
      <x:c r="H99" s="25" t="str"/>
      <x:c r="I99" s="24" t="str"/>
      <x:c r="J99" s="25" t="str"/>
      <x:c r="K99" s="25" t="str">
        <x:v>CONFIDENCE=Moderate;CARRY_FORWARD=Conditional</x:v>
      </x:c>
      <x:c r="L99" s="24" t="str">
        <x:v>Moderate</x:v>
      </x:c>
      <x:c r="M99" s="25" t="str">
        <x:v>Conditional</x:v>
      </x:c>
      <x:c r="N99" s="25" t="str">
        <x:v>RECONSTRUCTED_FROM_REPORT</x:v>
      </x:c>
      <x:c r="O99" s="25" t="str">
        <x:v>UNRESOLVED</x:v>
      </x:c>
      <x:c r="P99" s="24" t="str">
        <x:v>Fear of Temperature_ Historical Lexical Discovery and Anchor Validation.pdf</x:v>
      </x:c>
      <x:c r="Q99" s="25" t="str">
        <x:v>RECONSTRUCTED_FROM_REPORT</x:v>
      </x:c>
      <x:c r="R99" s="27" t="str">
        <x:v>Original candidate ID and row fields reconstructed from the compact narrative PDF table; this is not the missing original structured record.</x:v>
      </x:c>
    </x:row>
    <x:row r="100" ht="19" customHeight="1">
      <x:c r="A100" s="23" t="str">
        <x:v>FT-SEED-R1-0607-B-01</x:v>
      </x:c>
      <x:c r="B100" s="25" t="str">
        <x:v>INITIAL_180</x:v>
      </x:c>
      <x:c r="C100" s="24" t="str">
        <x:v>0607-B-01</x:v>
      </x:c>
      <x:c r="D100" s="25" t="str">
        <x:v>18</x:v>
      </x:c>
      <x:c r="E100" s="24" t="str">
        <x:v>FT-A0607</x:v>
      </x:c>
      <x:c r="F100" s="24" t="str">
        <x:v>climate change</x:v>
      </x:c>
      <x:c r="G100" s="25" t="str">
        <x:v>B</x:v>
      </x:c>
      <x:c r="H100" s="25" t="str"/>
      <x:c r="I100" s="24" t="str"/>
      <x:c r="J100" s="25" t="str"/>
      <x:c r="K100" s="25" t="str">
        <x:v>CONFIDENCE=Strong;CARRY_FORWARD=Yes</x:v>
      </x:c>
      <x:c r="L100" s="24" t="str">
        <x:v>Strong</x:v>
      </x:c>
      <x:c r="M100" s="25" t="str">
        <x:v>Yes</x:v>
      </x:c>
      <x:c r="N100" s="25" t="str">
        <x:v>RECONSTRUCTED_FROM_REPORT</x:v>
      </x:c>
      <x:c r="O100" s="25" t="str">
        <x:v>RETAIN</x:v>
      </x:c>
      <x:c r="P100" s="24" t="str">
        <x:v>Fear of Temperature_ Historical Lexical Discovery and Anchor Validation.pdf</x:v>
      </x:c>
      <x:c r="Q100" s="25" t="str">
        <x:v>RECONSTRUCTED_FROM_REPORT</x:v>
      </x:c>
      <x:c r="R100" s="27" t="str">
        <x:v>Original candidate ID and row fields reconstructed from the compact narrative PDF table; this is not the missing original structured record.</x:v>
      </x:c>
    </x:row>
    <x:row r="101" ht="19" customHeight="1">
      <x:c r="A101" s="23" t="str">
        <x:v>FT-SEED-R1-0607-B-02</x:v>
      </x:c>
      <x:c r="B101" s="25" t="str">
        <x:v>INITIAL_180</x:v>
      </x:c>
      <x:c r="C101" s="24" t="str">
        <x:v>0607-B-02</x:v>
      </x:c>
      <x:c r="D101" s="25" t="str">
        <x:v>18</x:v>
      </x:c>
      <x:c r="E101" s="24" t="str">
        <x:v>FT-A0607</x:v>
      </x:c>
      <x:c r="F101" s="24" t="str">
        <x:v>climate system</x:v>
      </x:c>
      <x:c r="G101" s="25" t="str">
        <x:v>B</x:v>
      </x:c>
      <x:c r="H101" s="25" t="str"/>
      <x:c r="I101" s="24" t="str"/>
      <x:c r="J101" s="25" t="str"/>
      <x:c r="K101" s="25" t="str">
        <x:v>CONFIDENCE=Strong;CARRY_FORWARD=Yes</x:v>
      </x:c>
      <x:c r="L101" s="24" t="str">
        <x:v>Strong</x:v>
      </x:c>
      <x:c r="M101" s="25" t="str">
        <x:v>Yes</x:v>
      </x:c>
      <x:c r="N101" s="25" t="str">
        <x:v>RECONSTRUCTED_FROM_REPORT</x:v>
      </x:c>
      <x:c r="O101" s="25" t="str">
        <x:v>RETAIN</x:v>
      </x:c>
      <x:c r="P101" s="24" t="str">
        <x:v>Fear of Temperature_ Historical Lexical Discovery and Anchor Validation.pdf</x:v>
      </x:c>
      <x:c r="Q101" s="25" t="str">
        <x:v>RECONSTRUCTED_FROM_REPORT</x:v>
      </x:c>
      <x:c r="R101" s="27" t="str">
        <x:v>Original candidate ID and row fields reconstructed from the compact narrative PDF table; this is not the missing original structured record.</x:v>
      </x:c>
    </x:row>
    <x:row r="102" ht="19" customHeight="1">
      <x:c r="A102" s="23" t="str">
        <x:v>FT-SEED-R1-0607-B-03</x:v>
      </x:c>
      <x:c r="B102" s="25" t="str">
        <x:v>INITIAL_180</x:v>
      </x:c>
      <x:c r="C102" s="24" t="str">
        <x:v>0607-B-03</x:v>
      </x:c>
      <x:c r="D102" s="25" t="str">
        <x:v>19</x:v>
      </x:c>
      <x:c r="E102" s="24" t="str">
        <x:v>FT-A0607</x:v>
      </x:c>
      <x:c r="F102" s="24" t="str">
        <x:v>greenhouse gases</x:v>
      </x:c>
      <x:c r="G102" s="25" t="str">
        <x:v>B</x:v>
      </x:c>
      <x:c r="H102" s="25" t="str"/>
      <x:c r="I102" s="24" t="str"/>
      <x:c r="J102" s="25" t="str"/>
      <x:c r="K102" s="25" t="str">
        <x:v>CONFIDENCE=Strong;CARRY_FORWARD=Yes</x:v>
      </x:c>
      <x:c r="L102" s="24" t="str">
        <x:v>Strong</x:v>
      </x:c>
      <x:c r="M102" s="25" t="str">
        <x:v>Yes</x:v>
      </x:c>
      <x:c r="N102" s="25" t="str">
        <x:v>RECONSTRUCTED_FROM_REPORT</x:v>
      </x:c>
      <x:c r="O102" s="25" t="str">
        <x:v>RETAIN</x:v>
      </x:c>
      <x:c r="P102" s="24" t="str">
        <x:v>Fear of Temperature_ Historical Lexical Discovery and Anchor Validation.pdf</x:v>
      </x:c>
      <x:c r="Q102" s="25" t="str">
        <x:v>RECONSTRUCTED_FROM_REPORT</x:v>
      </x:c>
      <x:c r="R102" s="27" t="str">
        <x:v>Original candidate ID and row fields reconstructed from the compact narrative PDF table; this is not the missing original structured record.</x:v>
      </x:c>
    </x:row>
    <x:row r="103" ht="19" customHeight="1">
      <x:c r="A103" s="23" t="str">
        <x:v>FT-SEED-R1-0607-B-04</x:v>
      </x:c>
      <x:c r="B103" s="25" t="str">
        <x:v>INITIAL_180</x:v>
      </x:c>
      <x:c r="C103" s="24" t="str">
        <x:v>0607-B-04</x:v>
      </x:c>
      <x:c r="D103" s="25" t="str">
        <x:v>19</x:v>
      </x:c>
      <x:c r="E103" s="24" t="str">
        <x:v>FT-A0607</x:v>
      </x:c>
      <x:c r="F103" s="24" t="str">
        <x:v>greenhouse gas concentrations</x:v>
      </x:c>
      <x:c r="G103" s="25" t="str">
        <x:v>B</x:v>
      </x:c>
      <x:c r="H103" s="25" t="str"/>
      <x:c r="I103" s="24" t="str"/>
      <x:c r="J103" s="25" t="str"/>
      <x:c r="K103" s="25" t="str">
        <x:v>CONFIDENCE=Strong;CARRY_FORWARD=Yes</x:v>
      </x:c>
      <x:c r="L103" s="24" t="str">
        <x:v>Strong</x:v>
      </x:c>
      <x:c r="M103" s="25" t="str">
        <x:v>Yes</x:v>
      </x:c>
      <x:c r="N103" s="25" t="str">
        <x:v>RECONSTRUCTED_FROM_REPORT</x:v>
      </x:c>
      <x:c r="O103" s="25" t="str">
        <x:v>RETAIN</x:v>
      </x:c>
      <x:c r="P103" s="24" t="str">
        <x:v>Fear of Temperature_ Historical Lexical Discovery and Anchor Validation.pdf</x:v>
      </x:c>
      <x:c r="Q103" s="25" t="str">
        <x:v>RECONSTRUCTED_FROM_REPORT</x:v>
      </x:c>
      <x:c r="R103" s="27" t="str">
        <x:v>Original candidate ID and row fields reconstructed from the compact narrative PDF table; this is not the missing original structured record.</x:v>
      </x:c>
    </x:row>
    <x:row r="104" ht="19" customHeight="1">
      <x:c r="A104" s="23" t="str">
        <x:v>FT-SEED-R1-0607-B-05</x:v>
      </x:c>
      <x:c r="B104" s="25" t="str">
        <x:v>INITIAL_180</x:v>
      </x:c>
      <x:c r="C104" s="24" t="str">
        <x:v>0607-B-05</x:v>
      </x:c>
      <x:c r="D104" s="25" t="str">
        <x:v>19</x:v>
      </x:c>
      <x:c r="E104" s="24" t="str">
        <x:v>FT-A0607</x:v>
      </x:c>
      <x:c r="F104" s="24" t="str">
        <x:v>anthropogenic warming</x:v>
      </x:c>
      <x:c r="G104" s="25" t="str">
        <x:v>B</x:v>
      </x:c>
      <x:c r="H104" s="25" t="str"/>
      <x:c r="I104" s="24" t="str"/>
      <x:c r="J104" s="25" t="str"/>
      <x:c r="K104" s="25" t="str">
        <x:v>CONFIDENCE=Strong;CARRY_FORWARD=Yes</x:v>
      </x:c>
      <x:c r="L104" s="24" t="str">
        <x:v>Strong</x:v>
      </x:c>
      <x:c r="M104" s="25" t="str">
        <x:v>Yes</x:v>
      </x:c>
      <x:c r="N104" s="25" t="str">
        <x:v>RECONSTRUCTED_FROM_REPORT</x:v>
      </x:c>
      <x:c r="O104" s="25" t="str">
        <x:v>RETAIN</x:v>
      </x:c>
      <x:c r="P104" s="24" t="str">
        <x:v>Fear of Temperature_ Historical Lexical Discovery and Anchor Validation.pdf</x:v>
      </x:c>
      <x:c r="Q104" s="25" t="str">
        <x:v>RECONSTRUCTED_FROM_REPORT</x:v>
      </x:c>
      <x:c r="R104" s="27" t="str">
        <x:v>Original candidate ID and row fields reconstructed from the compact narrative PDF table; this is not the missing original structured record.</x:v>
      </x:c>
    </x:row>
    <x:row r="105" ht="19" customHeight="1">
      <x:c r="A105" s="23" t="str">
        <x:v>FT-SEED-R1-0607-B-06</x:v>
      </x:c>
      <x:c r="B105" s="25" t="str">
        <x:v>INITIAL_180</x:v>
      </x:c>
      <x:c r="C105" s="24" t="str">
        <x:v>0607-B-06</x:v>
      </x:c>
      <x:c r="D105" s="25" t="str">
        <x:v>19</x:v>
      </x:c>
      <x:c r="E105" s="24" t="str">
        <x:v>FT-A0607</x:v>
      </x:c>
      <x:c r="F105" s="24" t="str">
        <x:v>human influence</x:v>
      </x:c>
      <x:c r="G105" s="25" t="str">
        <x:v>B</x:v>
      </x:c>
      <x:c r="H105" s="25" t="str"/>
      <x:c r="I105" s="24" t="str"/>
      <x:c r="J105" s="25" t="str"/>
      <x:c r="K105" s="25" t="str">
        <x:v>CONFIDENCE=Strong;CARRY_FORWARD=Yes</x:v>
      </x:c>
      <x:c r="L105" s="24" t="str">
        <x:v>Strong</x:v>
      </x:c>
      <x:c r="M105" s="25" t="str">
        <x:v>Yes</x:v>
      </x:c>
      <x:c r="N105" s="25" t="str">
        <x:v>RECONSTRUCTED_FROM_REPORT</x:v>
      </x:c>
      <x:c r="O105" s="25" t="str">
        <x:v>RETAIN</x:v>
      </x:c>
      <x:c r="P105" s="24" t="str">
        <x:v>Fear of Temperature_ Historical Lexical Discovery and Anchor Validation.pdf</x:v>
      </x:c>
      <x:c r="Q105" s="25" t="str">
        <x:v>RECONSTRUCTED_FROM_REPORT</x:v>
      </x:c>
      <x:c r="R105" s="27" t="str">
        <x:v>Original candidate ID and row fields reconstructed from the compact narrative PDF table; this is not the missing original structured record.</x:v>
      </x:c>
    </x:row>
    <x:row r="106" ht="19" customHeight="1">
      <x:c r="A106" s="23" t="str">
        <x:v>FT-SEED-R1-0607-B-07</x:v>
      </x:c>
      <x:c r="B106" s="25" t="str">
        <x:v>INITIAL_180</x:v>
      </x:c>
      <x:c r="C106" s="24" t="str">
        <x:v>0607-B-07</x:v>
      </x:c>
      <x:c r="D106" s="25" t="str">
        <x:v>19</x:v>
      </x:c>
      <x:c r="E106" s="24" t="str">
        <x:v>FT-A0607</x:v>
      </x:c>
      <x:c r="F106" s="24" t="str">
        <x:v>radiative forcing</x:v>
      </x:c>
      <x:c r="G106" s="25" t="str">
        <x:v>B</x:v>
      </x:c>
      <x:c r="H106" s="25" t="str"/>
      <x:c r="I106" s="24" t="str"/>
      <x:c r="J106" s="25" t="str"/>
      <x:c r="K106" s="25" t="str">
        <x:v>CONFIDENCE=Strong;CARRY_FORWARD=Yes</x:v>
      </x:c>
      <x:c r="L106" s="24" t="str">
        <x:v>Strong</x:v>
      </x:c>
      <x:c r="M106" s="25" t="str">
        <x:v>Yes</x:v>
      </x:c>
      <x:c r="N106" s="25" t="str">
        <x:v>RECONSTRUCTED_FROM_REPORT</x:v>
      </x:c>
      <x:c r="O106" s="25" t="str">
        <x:v>RETAIN</x:v>
      </x:c>
      <x:c r="P106" s="24" t="str">
        <x:v>Fear of Temperature_ Historical Lexical Discovery and Anchor Validation.pdf</x:v>
      </x:c>
      <x:c r="Q106" s="25" t="str">
        <x:v>RECONSTRUCTED_FROM_REPORT</x:v>
      </x:c>
      <x:c r="R106" s="27" t="str">
        <x:v>Original candidate ID and row fields reconstructed from the compact narrative PDF table; this is not the missing original structured record.</x:v>
      </x:c>
    </x:row>
    <x:row r="107" ht="19" customHeight="1">
      <x:c r="A107" s="23" t="str">
        <x:v>FT-SEED-R1-0607-B-08</x:v>
      </x:c>
      <x:c r="B107" s="25" t="str">
        <x:v>INITIAL_180</x:v>
      </x:c>
      <x:c r="C107" s="24" t="str">
        <x:v>0607-B-08</x:v>
      </x:c>
      <x:c r="D107" s="25" t="str">
        <x:v>19</x:v>
      </x:c>
      <x:c r="E107" s="24" t="str">
        <x:v>FT-A0607</x:v>
      </x:c>
      <x:c r="F107" s="24" t="str">
        <x:v>global climate</x:v>
      </x:c>
      <x:c r="G107" s="25" t="str">
        <x:v>B</x:v>
      </x:c>
      <x:c r="H107" s="25" t="str"/>
      <x:c r="I107" s="24" t="str"/>
      <x:c r="J107" s="25" t="str"/>
      <x:c r="K107" s="25" t="str">
        <x:v>CONFIDENCE=Moderate;CARRY_FORWARD=Yes</x:v>
      </x:c>
      <x:c r="L107" s="24" t="str">
        <x:v>Moderate</x:v>
      </x:c>
      <x:c r="M107" s="25" t="str">
        <x:v>Yes</x:v>
      </x:c>
      <x:c r="N107" s="25" t="str">
        <x:v>RECONSTRUCTED_FROM_REPORT</x:v>
      </x:c>
      <x:c r="O107" s="25" t="str">
        <x:v>RETAIN</x:v>
      </x:c>
      <x:c r="P107" s="24" t="str">
        <x:v>Fear of Temperature_ Historical Lexical Discovery and Anchor Validation.pdf</x:v>
      </x:c>
      <x:c r="Q107" s="25" t="str">
        <x:v>RECONSTRUCTED_FROM_REPORT</x:v>
      </x:c>
      <x:c r="R107" s="27" t="str">
        <x:v>Original candidate ID and row fields reconstructed from the compact narrative PDF table; this is not the missing original structured record.</x:v>
      </x:c>
    </x:row>
    <x:row r="108" ht="19" customHeight="1">
      <x:c r="A108" s="23" t="str">
        <x:v>FT-SEED-R1-0607-C-01</x:v>
      </x:c>
      <x:c r="B108" s="25" t="str">
        <x:v>INITIAL_180</x:v>
      </x:c>
      <x:c r="C108" s="24" t="str">
        <x:v>0607-C-01</x:v>
      </x:c>
      <x:c r="D108" s="25" t="str">
        <x:v>19</x:v>
      </x:c>
      <x:c r="E108" s="24" t="str">
        <x:v>FT-A0607</x:v>
      </x:c>
      <x:c r="F108" s="24" t="str">
        <x:v>concern</x:v>
      </x:c>
      <x:c r="G108" s="25" t="str">
        <x:v>C</x:v>
      </x:c>
      <x:c r="H108" s="25" t="str"/>
      <x:c r="I108" s="24" t="str"/>
      <x:c r="J108" s="25" t="str"/>
      <x:c r="K108" s="25" t="str">
        <x:v>CONFIDENCE=Moderate;CARRY_FORWARD=Conditional</x:v>
      </x:c>
      <x:c r="L108" s="24" t="str">
        <x:v>Moderate</x:v>
      </x:c>
      <x:c r="M108" s="25" t="str">
        <x:v>Conditional</x:v>
      </x:c>
      <x:c r="N108" s="25" t="str">
        <x:v>RECONSTRUCTED_FROM_REPORT</x:v>
      </x:c>
      <x:c r="O108" s="25" t="str">
        <x:v>UNRESOLVED</x:v>
      </x:c>
      <x:c r="P108" s="24" t="str">
        <x:v>Fear of Temperature_ Historical Lexical Discovery and Anchor Validation.pdf</x:v>
      </x:c>
      <x:c r="Q108" s="25" t="str">
        <x:v>RECONSTRUCTED_FROM_REPORT</x:v>
      </x:c>
      <x:c r="R108" s="27" t="str">
        <x:v>Original candidate ID and row fields reconstructed from the compact narrative PDF table; this is not the missing original structured record.</x:v>
      </x:c>
    </x:row>
    <x:row r="109" ht="19" customHeight="1">
      <x:c r="A109" s="23" t="str">
        <x:v>FT-SEED-R1-0607-C-02</x:v>
      </x:c>
      <x:c r="B109" s="25" t="str">
        <x:v>INITIAL_180</x:v>
      </x:c>
      <x:c r="C109" s="24" t="str">
        <x:v>0607-C-02</x:v>
      </x:c>
      <x:c r="D109" s="25" t="str">
        <x:v>19</x:v>
      </x:c>
      <x:c r="E109" s="24" t="str">
        <x:v>FT-A0607</x:v>
      </x:c>
      <x:c r="F109" s="24" t="str">
        <x:v>fear</x:v>
      </x:c>
      <x:c r="G109" s="25" t="str">
        <x:v>C</x:v>
      </x:c>
      <x:c r="H109" s="25" t="str"/>
      <x:c r="I109" s="24" t="str"/>
      <x:c r="J109" s="25" t="str"/>
      <x:c r="K109" s="25" t="str">
        <x:v>CONFIDENCE=Weak;CARRY_FORWARD=No</x:v>
      </x:c>
      <x:c r="L109" s="24" t="str">
        <x:v>Weak</x:v>
      </x:c>
      <x:c r="M109" s="25" t="str">
        <x:v>No</x:v>
      </x:c>
      <x:c r="N109" s="25" t="str">
        <x:v>RECONSTRUCTED_FROM_REPORT</x:v>
      </x:c>
      <x:c r="O109" s="25" t="str">
        <x:v>EXCLUDE</x:v>
      </x:c>
      <x:c r="P109" s="24" t="str">
        <x:v>Fear of Temperature_ Historical Lexical Discovery and Anchor Validation.pdf</x:v>
      </x:c>
      <x:c r="Q109" s="25" t="str">
        <x:v>RECONSTRUCTED_FROM_REPORT</x:v>
      </x:c>
      <x:c r="R109" s="27" t="str">
        <x:v>Original candidate ID and row fields reconstructed from the compact narrative PDF table; this is not the missing original structured record.</x:v>
      </x:c>
    </x:row>
    <x:row r="110" ht="19" customHeight="1">
      <x:c r="A110" s="23" t="str">
        <x:v>FT-SEED-R1-0607-C-03</x:v>
      </x:c>
      <x:c r="B110" s="25" t="str">
        <x:v>INITIAL_180</x:v>
      </x:c>
      <x:c r="C110" s="24" t="str">
        <x:v>0607-C-03</x:v>
      </x:c>
      <x:c r="D110" s="25" t="str">
        <x:v>19</x:v>
      </x:c>
      <x:c r="E110" s="24" t="str">
        <x:v>FT-A0607</x:v>
      </x:c>
      <x:c r="F110" s="24" t="str">
        <x:v>worry</x:v>
      </x:c>
      <x:c r="G110" s="25" t="str">
        <x:v>C</x:v>
      </x:c>
      <x:c r="H110" s="25" t="str"/>
      <x:c r="I110" s="24" t="str"/>
      <x:c r="J110" s="25" t="str"/>
      <x:c r="K110" s="25" t="str">
        <x:v>CONFIDENCE=Weak;CARRY_FORWARD=No</x:v>
      </x:c>
      <x:c r="L110" s="24" t="str">
        <x:v>Weak</x:v>
      </x:c>
      <x:c r="M110" s="25" t="str">
        <x:v>No</x:v>
      </x:c>
      <x:c r="N110" s="25" t="str">
        <x:v>RECONSTRUCTED_FROM_REPORT</x:v>
      </x:c>
      <x:c r="O110" s="25" t="str">
        <x:v>EXCLUDE</x:v>
      </x:c>
      <x:c r="P110" s="24" t="str">
        <x:v>Fear of Temperature_ Historical Lexical Discovery and Anchor Validation.pdf</x:v>
      </x:c>
      <x:c r="Q110" s="25" t="str">
        <x:v>RECONSTRUCTED_FROM_REPORT</x:v>
      </x:c>
      <x:c r="R110" s="27" t="str">
        <x:v>Original candidate ID and row fields reconstructed from the compact narrative PDF table; this is not the missing original structured record.</x:v>
      </x:c>
    </x:row>
    <x:row r="111" ht="19" customHeight="1">
      <x:c r="A111" s="23" t="str">
        <x:v>FT-SEED-R1-0607-C-04</x:v>
      </x:c>
      <x:c r="B111" s="25" t="str">
        <x:v>INITIAL_180</x:v>
      </x:c>
      <x:c r="C111" s="24" t="str">
        <x:v>0607-C-04</x:v>
      </x:c>
      <x:c r="D111" s="25" t="str">
        <x:v>20</x:v>
      </x:c>
      <x:c r="E111" s="24" t="str">
        <x:v>FT-A0607</x:v>
      </x:c>
      <x:c r="F111" s="24" t="str">
        <x:v>anxiety</x:v>
      </x:c>
      <x:c r="G111" s="25" t="str">
        <x:v>C</x:v>
      </x:c>
      <x:c r="H111" s="25" t="str"/>
      <x:c r="I111" s="24" t="str"/>
      <x:c r="J111" s="25" t="str"/>
      <x:c r="K111" s="25" t="str">
        <x:v>CONFIDENCE=Weak;CARRY_FORWARD=No</x:v>
      </x:c>
      <x:c r="L111" s="24" t="str">
        <x:v>Weak</x:v>
      </x:c>
      <x:c r="M111" s="25" t="str">
        <x:v>No</x:v>
      </x:c>
      <x:c r="N111" s="25" t="str">
        <x:v>RECONSTRUCTED_FROM_REPORT</x:v>
      </x:c>
      <x:c r="O111" s="25" t="str">
        <x:v>EXCLUDE</x:v>
      </x:c>
      <x:c r="P111" s="24" t="str">
        <x:v>Fear of Temperature_ Historical Lexical Discovery and Anchor Validation.pdf</x:v>
      </x:c>
      <x:c r="Q111" s="25" t="str">
        <x:v>RECONSTRUCTED_FROM_REPORT</x:v>
      </x:c>
      <x:c r="R111" s="27" t="str">
        <x:v>Original candidate ID and row fields reconstructed from the compact narrative PDF table; this is not the missing original structured record.</x:v>
      </x:c>
    </x:row>
    <x:row r="112" ht="19" customHeight="1">
      <x:c r="A112" s="23" t="str">
        <x:v>FT-SEED-R1-0607-C-05</x:v>
      </x:c>
      <x:c r="B112" s="25" t="str">
        <x:v>INITIAL_180</x:v>
      </x:c>
      <x:c r="C112" s="24" t="str">
        <x:v>0607-C-05</x:v>
      </x:c>
      <x:c r="D112" s="25" t="str">
        <x:v>20</x:v>
      </x:c>
      <x:c r="E112" s="24" t="str">
        <x:v>FT-A0607</x:v>
      </x:c>
      <x:c r="F112" s="24" t="str">
        <x:v>alarm</x:v>
      </x:c>
      <x:c r="G112" s="25" t="str">
        <x:v>C</x:v>
      </x:c>
      <x:c r="H112" s="25" t="str"/>
      <x:c r="I112" s="24" t="str"/>
      <x:c r="J112" s="25" t="str"/>
      <x:c r="K112" s="25" t="str">
        <x:v>CONFIDENCE=Weak;CARRY_FORWARD=No</x:v>
      </x:c>
      <x:c r="L112" s="24" t="str">
        <x:v>Weak</x:v>
      </x:c>
      <x:c r="M112" s="25" t="str">
        <x:v>No</x:v>
      </x:c>
      <x:c r="N112" s="25" t="str">
        <x:v>RECONSTRUCTED_FROM_REPORT</x:v>
      </x:c>
      <x:c r="O112" s="25" t="str">
        <x:v>EXCLUDE</x:v>
      </x:c>
      <x:c r="P112" s="24" t="str">
        <x:v>Fear of Temperature_ Historical Lexical Discovery and Anchor Validation.pdf</x:v>
      </x:c>
      <x:c r="Q112" s="25" t="str">
        <x:v>RECONSTRUCTED_FROM_REPORT</x:v>
      </x:c>
      <x:c r="R112" s="27" t="str">
        <x:v>Original candidate ID and row fields reconstructed from the compact narrative PDF table; this is not the missing original structured record.</x:v>
      </x:c>
    </x:row>
    <x:row r="113" ht="19" customHeight="1">
      <x:c r="A113" s="23" t="str">
        <x:v>FT-SEED-R1-0607-C-06</x:v>
      </x:c>
      <x:c r="B113" s="25" t="str">
        <x:v>INITIAL_180</x:v>
      </x:c>
      <x:c r="C113" s="24" t="str">
        <x:v>0607-C-06</x:v>
      </x:c>
      <x:c r="D113" s="25" t="str">
        <x:v>20</x:v>
      </x:c>
      <x:c r="E113" s="24" t="str">
        <x:v>FT-A0607</x:v>
      </x:c>
      <x:c r="F113" s="24" t="str">
        <x:v>urgency</x:v>
      </x:c>
      <x:c r="G113" s="25" t="str">
        <x:v>C</x:v>
      </x:c>
      <x:c r="H113" s="25" t="str"/>
      <x:c r="I113" s="24" t="str"/>
      <x:c r="J113" s="25" t="str"/>
      <x:c r="K113" s="25" t="str">
        <x:v>CONFIDENCE=Moderate;CARRY_FORWARD=Conditional</x:v>
      </x:c>
      <x:c r="L113" s="24" t="str">
        <x:v>Moderate</x:v>
      </x:c>
      <x:c r="M113" s="25" t="str">
        <x:v>Conditional</x:v>
      </x:c>
      <x:c r="N113" s="25" t="str">
        <x:v>RECONSTRUCTED_FROM_REPORT</x:v>
      </x:c>
      <x:c r="O113" s="25" t="str">
        <x:v>UNRESOLVED</x:v>
      </x:c>
      <x:c r="P113" s="24" t="str">
        <x:v>Fear of Temperature_ Historical Lexical Discovery and Anchor Validation.pdf</x:v>
      </x:c>
      <x:c r="Q113" s="25" t="str">
        <x:v>RECONSTRUCTED_FROM_REPORT</x:v>
      </x:c>
      <x:c r="R113" s="27" t="str">
        <x:v>Original candidate ID and row fields reconstructed from the compact narrative PDF table; this is not the missing original structured record.</x:v>
      </x:c>
    </x:row>
    <x:row r="114" ht="19" customHeight="1">
      <x:c r="A114" s="23" t="str">
        <x:v>FT-SEED-R1-0607-C-07</x:v>
      </x:c>
      <x:c r="B114" s="25" t="str">
        <x:v>INITIAL_180</x:v>
      </x:c>
      <x:c r="C114" s="24" t="str">
        <x:v>0607-C-07</x:v>
      </x:c>
      <x:c r="D114" s="25" t="str">
        <x:v>20</x:v>
      </x:c>
      <x:c r="E114" s="24" t="str">
        <x:v>FT-A0607</x:v>
      </x:c>
      <x:c r="F114" s="24" t="str">
        <x:v>awareness</x:v>
      </x:c>
      <x:c r="G114" s="25" t="str">
        <x:v>C</x:v>
      </x:c>
      <x:c r="H114" s="25" t="str"/>
      <x:c r="I114" s="24" t="str"/>
      <x:c r="J114" s="25" t="str"/>
      <x:c r="K114" s="25" t="str">
        <x:v>CONFIDENCE=Strong;CARRY_FORWARD=No</x:v>
      </x:c>
      <x:c r="L114" s="24" t="str">
        <x:v>Strong</x:v>
      </x:c>
      <x:c r="M114" s="25" t="str">
        <x:v>No</x:v>
      </x:c>
      <x:c r="N114" s="25" t="str">
        <x:v>RECONSTRUCTED_FROM_REPORT</x:v>
      </x:c>
      <x:c r="O114" s="25" t="str">
        <x:v>EXCLUDE</x:v>
      </x:c>
      <x:c r="P114" s="24" t="str">
        <x:v>Fear of Temperature_ Historical Lexical Discovery and Anchor Validation.pdf</x:v>
      </x:c>
      <x:c r="Q114" s="25" t="str">
        <x:v>RECONSTRUCTED_FROM_REPORT</x:v>
      </x:c>
      <x:c r="R114" s="27" t="str">
        <x:v>Original candidate ID and row fields reconstructed from the compact narrative PDF table; this is not the missing original structured record.</x:v>
      </x:c>
    </x:row>
    <x:row r="115" ht="19" customHeight="1">
      <x:c r="A115" s="23" t="str">
        <x:v>FT-SEED-R1-0607-D-01</x:v>
      </x:c>
      <x:c r="B115" s="25" t="str">
        <x:v>INITIAL_180</x:v>
      </x:c>
      <x:c r="C115" s="24" t="str">
        <x:v>0607-D-01</x:v>
      </x:c>
      <x:c r="D115" s="25" t="str">
        <x:v>20</x:v>
      </x:c>
      <x:c r="E115" s="24" t="str">
        <x:v>FT-A0607</x:v>
      </x:c>
      <x:c r="F115" s="24" t="str">
        <x:v>risk</x:v>
      </x:c>
      <x:c r="G115" s="25" t="str">
        <x:v>D</x:v>
      </x:c>
      <x:c r="H115" s="25" t="str"/>
      <x:c r="I115" s="24" t="str"/>
      <x:c r="J115" s="25" t="str"/>
      <x:c r="K115" s="25" t="str">
        <x:v>CONFIDENCE=Strong;CARRY_FORWARD=Yes</x:v>
      </x:c>
      <x:c r="L115" s="24" t="str">
        <x:v>Strong</x:v>
      </x:c>
      <x:c r="M115" s="25" t="str">
        <x:v>Yes</x:v>
      </x:c>
      <x:c r="N115" s="25" t="str">
        <x:v>RECONSTRUCTED_FROM_REPORT</x:v>
      </x:c>
      <x:c r="O115" s="25" t="str">
        <x:v>RETAIN</x:v>
      </x:c>
      <x:c r="P115" s="24" t="str">
        <x:v>Fear of Temperature_ Historical Lexical Discovery and Anchor Validation.pdf</x:v>
      </x:c>
      <x:c r="Q115" s="25" t="str">
        <x:v>RECONSTRUCTED_FROM_REPORT</x:v>
      </x:c>
      <x:c r="R115" s="27" t="str">
        <x:v>Original candidate ID and row fields reconstructed from the compact narrative PDF table; this is not the missing original structured record.</x:v>
      </x:c>
    </x:row>
    <x:row r="116" ht="19" customHeight="1">
      <x:c r="A116" s="23" t="str">
        <x:v>FT-SEED-R1-0607-D-02</x:v>
      </x:c>
      <x:c r="B116" s="25" t="str">
        <x:v>INITIAL_180</x:v>
      </x:c>
      <x:c r="C116" s="24" t="str">
        <x:v>0607-D-02</x:v>
      </x:c>
      <x:c r="D116" s="25" t="str">
        <x:v>20</x:v>
      </x:c>
      <x:c r="E116" s="24" t="str">
        <x:v>FT-A0607</x:v>
      </x:c>
      <x:c r="F116" s="24" t="str">
        <x:v>dangerous</x:v>
      </x:c>
      <x:c r="G116" s="25" t="str">
        <x:v>D</x:v>
      </x:c>
      <x:c r="H116" s="25" t="str"/>
      <x:c r="I116" s="24" t="str"/>
      <x:c r="J116" s="25" t="str"/>
      <x:c r="K116" s="25" t="str">
        <x:v>CONFIDENCE=Strong;CARRY_FORWARD=Yes</x:v>
      </x:c>
      <x:c r="L116" s="24" t="str">
        <x:v>Strong</x:v>
      </x:c>
      <x:c r="M116" s="25" t="str">
        <x:v>Yes</x:v>
      </x:c>
      <x:c r="N116" s="25" t="str">
        <x:v>RECONSTRUCTED_FROM_REPORT</x:v>
      </x:c>
      <x:c r="O116" s="25" t="str">
        <x:v>RETAIN</x:v>
      </x:c>
      <x:c r="P116" s="24" t="str">
        <x:v>Fear of Temperature_ Historical Lexical Discovery and Anchor Validation.pdf</x:v>
      </x:c>
      <x:c r="Q116" s="25" t="str">
        <x:v>RECONSTRUCTED_FROM_REPORT</x:v>
      </x:c>
      <x:c r="R116" s="27" t="str">
        <x:v>Original candidate ID and row fields reconstructed from the compact narrative PDF table; this is not the missing original structured record.</x:v>
      </x:c>
    </x:row>
    <x:row r="117" ht="19" customHeight="1">
      <x:c r="A117" s="23" t="str">
        <x:v>FT-SEED-R1-0607-D-03</x:v>
      </x:c>
      <x:c r="B117" s="25" t="str">
        <x:v>INITIAL_180</x:v>
      </x:c>
      <x:c r="C117" s="24" t="str">
        <x:v>0607-D-03</x:v>
      </x:c>
      <x:c r="D117" s="25" t="str">
        <x:v>20</x:v>
      </x:c>
      <x:c r="E117" s="24" t="str">
        <x:v>FT-A0607</x:v>
      </x:c>
      <x:c r="F117" s="24" t="str">
        <x:v>serious impacts</x:v>
      </x:c>
      <x:c r="G117" s="25" t="str">
        <x:v>D</x:v>
      </x:c>
      <x:c r="H117" s="25" t="str"/>
      <x:c r="I117" s="24" t="str"/>
      <x:c r="J117" s="25" t="str"/>
      <x:c r="K117" s="25" t="str">
        <x:v>CONFIDENCE=Strong;CARRY_FORWARD=Yes</x:v>
      </x:c>
      <x:c r="L117" s="24" t="str">
        <x:v>Strong</x:v>
      </x:c>
      <x:c r="M117" s="25" t="str">
        <x:v>Yes</x:v>
      </x:c>
      <x:c r="N117" s="25" t="str">
        <x:v>RECONSTRUCTED_FROM_REPORT</x:v>
      </x:c>
      <x:c r="O117" s="25" t="str">
        <x:v>RETAIN</x:v>
      </x:c>
      <x:c r="P117" s="24" t="str">
        <x:v>Fear of Temperature_ Historical Lexical Discovery and Anchor Validation.pdf</x:v>
      </x:c>
      <x:c r="Q117" s="25" t="str">
        <x:v>RECONSTRUCTED_FROM_REPORT</x:v>
      </x:c>
      <x:c r="R117" s="27" t="str">
        <x:v>Original candidate ID and row fields reconstructed from the compact narrative PDF table; this is not the missing original structured record.</x:v>
      </x:c>
    </x:row>
    <x:row r="118" ht="19" customHeight="1">
      <x:c r="A118" s="23" t="str">
        <x:v>FT-SEED-R1-0607-D-04</x:v>
      </x:c>
      <x:c r="B118" s="25" t="str">
        <x:v>INITIAL_180</x:v>
      </x:c>
      <x:c r="C118" s="24" t="str">
        <x:v>0607-D-04</x:v>
      </x:c>
      <x:c r="D118" s="25" t="str">
        <x:v>20</x:v>
      </x:c>
      <x:c r="E118" s="24" t="str">
        <x:v>FT-A0607</x:v>
      </x:c>
      <x:c r="F118" s="24" t="str">
        <x:v>worst impacts</x:v>
      </x:c>
      <x:c r="G118" s="25" t="str">
        <x:v>D</x:v>
      </x:c>
      <x:c r="H118" s="25" t="str"/>
      <x:c r="I118" s="24" t="str"/>
      <x:c r="J118" s="25" t="str"/>
      <x:c r="K118" s="25" t="str">
        <x:v>CONFIDENCE=Strong;CARRY_FORWARD=Yes</x:v>
      </x:c>
      <x:c r="L118" s="24" t="str">
        <x:v>Strong</x:v>
      </x:c>
      <x:c r="M118" s="25" t="str">
        <x:v>Yes</x:v>
      </x:c>
      <x:c r="N118" s="25" t="str">
        <x:v>RECONSTRUCTED_FROM_REPORT</x:v>
      </x:c>
      <x:c r="O118" s="25" t="str">
        <x:v>RETAIN</x:v>
      </x:c>
      <x:c r="P118" s="24" t="str">
        <x:v>Fear of Temperature_ Historical Lexical Discovery and Anchor Validation.pdf</x:v>
      </x:c>
      <x:c r="Q118" s="25" t="str">
        <x:v>RECONSTRUCTED_FROM_REPORT</x:v>
      </x:c>
      <x:c r="R118" s="27" t="str">
        <x:v>Original candidate ID and row fields reconstructed from the compact narrative PDF table; this is not the missing original structured record.</x:v>
      </x:c>
    </x:row>
    <x:row r="119" ht="19" customHeight="1">
      <x:c r="A119" s="23" t="str">
        <x:v>FT-SEED-R1-0607-D-05</x:v>
      </x:c>
      <x:c r="B119" s="25" t="str">
        <x:v>INITIAL_180</x:v>
      </x:c>
      <x:c r="C119" s="24" t="str">
        <x:v>0607-D-05</x:v>
      </x:c>
      <x:c r="D119" s="25" t="str">
        <x:v>20</x:v>
      </x:c>
      <x:c r="E119" s="24" t="str">
        <x:v>FT-A0607</x:v>
      </x:c>
      <x:c r="F119" s="24" t="str">
        <x:v>climate crisis</x:v>
      </x:c>
      <x:c r="G119" s="25" t="str">
        <x:v>D</x:v>
      </x:c>
      <x:c r="H119" s="25" t="str"/>
      <x:c r="I119" s="24" t="str"/>
      <x:c r="J119" s="25" t="str"/>
      <x:c r="K119" s="25" t="str">
        <x:v>CONFIDENCE=Strong;CARRY_FORWARD=Yes</x:v>
      </x:c>
      <x:c r="L119" s="24" t="str">
        <x:v>Strong</x:v>
      </x:c>
      <x:c r="M119" s="25" t="str">
        <x:v>Yes</x:v>
      </x:c>
      <x:c r="N119" s="25" t="str">
        <x:v>RECONSTRUCTED_FROM_REPORT</x:v>
      </x:c>
      <x:c r="O119" s="25" t="str">
        <x:v>RETAIN</x:v>
      </x:c>
      <x:c r="P119" s="24" t="str">
        <x:v>Fear of Temperature_ Historical Lexical Discovery and Anchor Validation.pdf</x:v>
      </x:c>
      <x:c r="Q119" s="25" t="str">
        <x:v>RECONSTRUCTED_FROM_REPORT</x:v>
      </x:c>
      <x:c r="R119" s="27" t="str">
        <x:v>Original candidate ID and row fields reconstructed from the compact narrative PDF table; this is not the missing original structured record.</x:v>
      </x:c>
    </x:row>
    <x:row r="120" ht="19" customHeight="1">
      <x:c r="A120" s="23" t="str">
        <x:v>FT-SEED-R1-0607-D-06</x:v>
      </x:c>
      <x:c r="B120" s="25" t="str">
        <x:v>INITIAL_180</x:v>
      </x:c>
      <x:c r="C120" s="24" t="str">
        <x:v>0607-D-06</x:v>
      </x:c>
      <x:c r="D120" s="25" t="str">
        <x:v>21</x:v>
      </x:c>
      <x:c r="E120" s="24" t="str">
        <x:v>FT-A0607</x:v>
      </x:c>
      <x:c r="F120" s="24" t="str">
        <x:v>planetary emergency</x:v>
      </x:c>
      <x:c r="G120" s="25" t="str">
        <x:v>D</x:v>
      </x:c>
      <x:c r="H120" s="25" t="str"/>
      <x:c r="I120" s="24" t="str"/>
      <x:c r="J120" s="25" t="str"/>
      <x:c r="K120" s="25" t="str">
        <x:v>CONFIDENCE=Moderate;CARRY_FORWARD=Yes</x:v>
      </x:c>
      <x:c r="L120" s="24" t="str">
        <x:v>Moderate</x:v>
      </x:c>
      <x:c r="M120" s="25" t="str">
        <x:v>Yes</x:v>
      </x:c>
      <x:c r="N120" s="25" t="str">
        <x:v>RECONSTRUCTED_FROM_REPORT</x:v>
      </x:c>
      <x:c r="O120" s="25" t="str">
        <x:v>RETAIN</x:v>
      </x:c>
      <x:c r="P120" s="24" t="str">
        <x:v>Fear of Temperature_ Historical Lexical Discovery and Anchor Validation.pdf</x:v>
      </x:c>
      <x:c r="Q120" s="25" t="str">
        <x:v>RECONSTRUCTED_FROM_REPORT</x:v>
      </x:c>
      <x:c r="R120" s="27" t="str">
        <x:v>Original candidate ID and row fields reconstructed from the compact narrative PDF table; this is not the missing original structured record.</x:v>
      </x:c>
    </x:row>
    <x:row r="121" ht="19" customHeight="1">
      <x:c r="A121" s="23" t="str">
        <x:v>FT-SEED-R1-0607-D-07</x:v>
      </x:c>
      <x:c r="B121" s="25" t="str">
        <x:v>INITIAL_180</x:v>
      </x:c>
      <x:c r="C121" s="24" t="str">
        <x:v>0607-D-07</x:v>
      </x:c>
      <x:c r="D121" s="25" t="str">
        <x:v>21</x:v>
      </x:c>
      <x:c r="E121" s="24" t="str">
        <x:v>FT-A0607</x:v>
      </x:c>
      <x:c r="F121" s="24" t="str">
        <x:v>threat</x:v>
      </x:c>
      <x:c r="G121" s="25" t="str">
        <x:v>D</x:v>
      </x:c>
      <x:c r="H121" s="25" t="str"/>
      <x:c r="I121" s="24" t="str"/>
      <x:c r="J121" s="25" t="str"/>
      <x:c r="K121" s="25" t="str">
        <x:v>CONFIDENCE=Strong;CARRY_FORWARD=Yes</x:v>
      </x:c>
      <x:c r="L121" s="24" t="str">
        <x:v>Strong</x:v>
      </x:c>
      <x:c r="M121" s="25" t="str">
        <x:v>Yes</x:v>
      </x:c>
      <x:c r="N121" s="25" t="str">
        <x:v>RECONSTRUCTED_FROM_REPORT</x:v>
      </x:c>
      <x:c r="O121" s="25" t="str">
        <x:v>RETAIN</x:v>
      </x:c>
      <x:c r="P121" s="24" t="str">
        <x:v>Fear of Temperature_ Historical Lexical Discovery and Anchor Validation.pdf</x:v>
      </x:c>
      <x:c r="Q121" s="25" t="str">
        <x:v>RECONSTRUCTED_FROM_REPORT</x:v>
      </x:c>
      <x:c r="R121" s="27" t="str">
        <x:v>Original candidate ID and row fields reconstructed from the compact narrative PDF table; this is not the missing original structured record.</x:v>
      </x:c>
    </x:row>
    <x:row r="122" ht="19" customHeight="1">
      <x:c r="A122" s="23" t="str">
        <x:v>FT-SEED-R1-2015-A-01</x:v>
      </x:c>
      <x:c r="B122" s="25" t="str">
        <x:v>INITIAL_180</x:v>
      </x:c>
      <x:c r="C122" s="24" t="str">
        <x:v>2015-A-01</x:v>
      </x:c>
      <x:c r="D122" s="25" t="str">
        <x:v>22</x:v>
      </x:c>
      <x:c r="E122" s="24" t="str">
        <x:v>FT-A2015</x:v>
      </x:c>
      <x:c r="F122" s="24" t="str">
        <x:v>global average temperature</x:v>
      </x:c>
      <x:c r="G122" s="25" t="str">
        <x:v>A</x:v>
      </x:c>
      <x:c r="H122" s="25" t="str"/>
      <x:c r="I122" s="24" t="str"/>
      <x:c r="J122" s="25" t="str"/>
      <x:c r="K122" s="25" t="str">
        <x:v>CONFIDENCE=NOT_EXPOSED;CARRY_FORWARD=Yes</x:v>
      </x:c>
      <x:c r="L122" s="24" t="str">
        <x:v>NOT_EXPOSED</x:v>
      </x:c>
      <x:c r="M122" s="25" t="str">
        <x:v>Yes</x:v>
      </x:c>
      <x:c r="N122" s="25" t="str">
        <x:v>RECONSTRUCTED_FROM_REPORT</x:v>
      </x:c>
      <x:c r="O122" s="25" t="str">
        <x:v>RETAIN</x:v>
      </x:c>
      <x:c r="P122" s="24" t="str">
        <x:v>Fear of Temperature_ Historical Lexical Discovery and Anchor Validation.pdf</x:v>
      </x:c>
      <x:c r="Q122" s="25" t="str">
        <x:v>RECONSTRUCTED_FROM_REPORT</x:v>
      </x:c>
      <x:c r="R122" s="27" t="str">
        <x:v>Original candidate ID and row fields reconstructed from the compact narrative PDF table; this is not the missing original structured record.</x:v>
      </x:c>
    </x:row>
    <x:row r="123" ht="19" customHeight="1">
      <x:c r="A123" s="23" t="str">
        <x:v>FT-SEED-R1-2015-A-02</x:v>
      </x:c>
      <x:c r="B123" s="25" t="str">
        <x:v>INITIAL_180</x:v>
      </x:c>
      <x:c r="C123" s="24" t="str">
        <x:v>2015-A-02</x:v>
      </x:c>
      <x:c r="D123" s="25" t="str">
        <x:v>22</x:v>
      </x:c>
      <x:c r="E123" s="24" t="str">
        <x:v>FT-A2015</x:v>
      </x:c>
      <x:c r="F123" s="24" t="str">
        <x:v>temperature increase</x:v>
      </x:c>
      <x:c r="G123" s="25" t="str">
        <x:v>A</x:v>
      </x:c>
      <x:c r="H123" s="25" t="str"/>
      <x:c r="I123" s="24" t="str"/>
      <x:c r="J123" s="25" t="str"/>
      <x:c r="K123" s="25" t="str">
        <x:v>CONFIDENCE=NOT_EXPOSED;CARRY_FORWARD=Yes</x:v>
      </x:c>
      <x:c r="L123" s="24" t="str">
        <x:v>NOT_EXPOSED</x:v>
      </x:c>
      <x:c r="M123" s="25" t="str">
        <x:v>Yes</x:v>
      </x:c>
      <x:c r="N123" s="25" t="str">
        <x:v>RECONSTRUCTED_FROM_REPORT</x:v>
      </x:c>
      <x:c r="O123" s="25" t="str">
        <x:v>RETAIN</x:v>
      </x:c>
      <x:c r="P123" s="24" t="str">
        <x:v>Fear of Temperature_ Historical Lexical Discovery and Anchor Validation.pdf</x:v>
      </x:c>
      <x:c r="Q123" s="25" t="str">
        <x:v>RECONSTRUCTED_FROM_REPORT</x:v>
      </x:c>
      <x:c r="R123" s="27" t="str">
        <x:v>Original candidate ID and row fields reconstructed from the compact narrative PDF table; this is not the missing original structured record.</x:v>
      </x:c>
    </x:row>
    <x:row r="124" ht="19" customHeight="1">
      <x:c r="A124" s="23" t="str">
        <x:v>FT-SEED-R1-2015-A-03</x:v>
      </x:c>
      <x:c r="B124" s="25" t="str">
        <x:v>INITIAL_180</x:v>
      </x:c>
      <x:c r="C124" s="24" t="str">
        <x:v>2015-A-03</x:v>
      </x:c>
      <x:c r="D124" s="25" t="str">
        <x:v>22</x:v>
      </x:c>
      <x:c r="E124" s="24" t="str">
        <x:v>FT-A2015</x:v>
      </x:c>
      <x:c r="F124" s="24" t="str">
        <x:v>global temperature rise</x:v>
      </x:c>
      <x:c r="G124" s="25" t="str">
        <x:v>A</x:v>
      </x:c>
      <x:c r="H124" s="25" t="str"/>
      <x:c r="I124" s="24" t="str"/>
      <x:c r="J124" s="25" t="str"/>
      <x:c r="K124" s="25" t="str">
        <x:v>CONFIDENCE=NOT_EXPOSED;CARRY_FORWARD=Yes</x:v>
      </x:c>
      <x:c r="L124" s="24" t="str">
        <x:v>NOT_EXPOSED</x:v>
      </x:c>
      <x:c r="M124" s="25" t="str">
        <x:v>Yes</x:v>
      </x:c>
      <x:c r="N124" s="25" t="str">
        <x:v>RECONSTRUCTED_FROM_REPORT</x:v>
      </x:c>
      <x:c r="O124" s="25" t="str">
        <x:v>RETAIN</x:v>
      </x:c>
      <x:c r="P124" s="24" t="str">
        <x:v>Fear of Temperature_ Historical Lexical Discovery and Anchor Validation.pdf</x:v>
      </x:c>
      <x:c r="Q124" s="25" t="str">
        <x:v>RECONSTRUCTED_FROM_REPORT</x:v>
      </x:c>
      <x:c r="R124" s="27" t="str">
        <x:v>Original candidate ID and row fields reconstructed from the compact narrative PDF table; this is not the missing original structured record.</x:v>
      </x:c>
    </x:row>
    <x:row r="125" ht="19" customHeight="1">
      <x:c r="A125" s="23" t="str">
        <x:v>FT-SEED-R1-2015-A-04</x:v>
      </x:c>
      <x:c r="B125" s="25" t="str">
        <x:v>INITIAL_180</x:v>
      </x:c>
      <x:c r="C125" s="24" t="str">
        <x:v>2015-A-04</x:v>
      </x:c>
      <x:c r="D125" s="25" t="str">
        <x:v>22</x:v>
      </x:c>
      <x:c r="E125" s="24" t="str">
        <x:v>FT-A2015</x:v>
      </x:c>
      <x:c r="F125" s="24" t="str">
        <x:v>2°C</x:v>
      </x:c>
      <x:c r="G125" s="25" t="str">
        <x:v>A</x:v>
      </x:c>
      <x:c r="H125" s="25" t="str"/>
      <x:c r="I125" s="24" t="str"/>
      <x:c r="J125" s="25" t="str"/>
      <x:c r="K125" s="25" t="str">
        <x:v>CONFIDENCE=NOT_EXPOSED;CARRY_FORWARD=Yes</x:v>
      </x:c>
      <x:c r="L125" s="24" t="str">
        <x:v>NOT_EXPOSED</x:v>
      </x:c>
      <x:c r="M125" s="25" t="str">
        <x:v>Yes</x:v>
      </x:c>
      <x:c r="N125" s="25" t="str">
        <x:v>RECONSTRUCTED_FROM_REPORT</x:v>
      </x:c>
      <x:c r="O125" s="25" t="str">
        <x:v>RETAIN</x:v>
      </x:c>
      <x:c r="P125" s="24" t="str">
        <x:v>Fear of Temperature_ Historical Lexical Discovery and Anchor Validation.pdf</x:v>
      </x:c>
      <x:c r="Q125" s="25" t="str">
        <x:v>RECONSTRUCTED_FROM_REPORT</x:v>
      </x:c>
      <x:c r="R125" s="27" t="str">
        <x:v>Original candidate ID and row fields reconstructed from the compact narrative PDF table; this is not the missing original structured record.</x:v>
      </x:c>
    </x:row>
    <x:row r="126" ht="19" customHeight="1">
      <x:c r="A126" s="23" t="str">
        <x:v>FT-SEED-R1-2015-A-05</x:v>
      </x:c>
      <x:c r="B126" s="25" t="str">
        <x:v>INITIAL_180</x:v>
      </x:c>
      <x:c r="C126" s="24" t="str">
        <x:v>2015-A-05</x:v>
      </x:c>
      <x:c r="D126" s="25" t="str">
        <x:v>22</x:v>
      </x:c>
      <x:c r="E126" s="24" t="str">
        <x:v>FT-A2015</x:v>
      </x:c>
      <x:c r="F126" s="24" t="str">
        <x:v>1.5°C</x:v>
      </x:c>
      <x:c r="G126" s="25" t="str">
        <x:v>A</x:v>
      </x:c>
      <x:c r="H126" s="25" t="str"/>
      <x:c r="I126" s="24" t="str"/>
      <x:c r="J126" s="25" t="str"/>
      <x:c r="K126" s="25" t="str">
        <x:v>CONFIDENCE=NOT_EXPOSED;CARRY_FORWARD=Yes</x:v>
      </x:c>
      <x:c r="L126" s="24" t="str">
        <x:v>NOT_EXPOSED</x:v>
      </x:c>
      <x:c r="M126" s="25" t="str">
        <x:v>Yes</x:v>
      </x:c>
      <x:c r="N126" s="25" t="str">
        <x:v>RECONSTRUCTED_FROM_REPORT</x:v>
      </x:c>
      <x:c r="O126" s="25" t="str">
        <x:v>RETAIN</x:v>
      </x:c>
      <x:c r="P126" s="24" t="str">
        <x:v>Fear of Temperature_ Historical Lexical Discovery and Anchor Validation.pdf</x:v>
      </x:c>
      <x:c r="Q126" s="25" t="str">
        <x:v>RECONSTRUCTED_FROM_REPORT</x:v>
      </x:c>
      <x:c r="R126" s="27" t="str">
        <x:v>Original candidate ID and row fields reconstructed from the compact narrative PDF table; this is not the missing original structured record.</x:v>
      </x:c>
    </x:row>
    <x:row r="127" ht="19" customHeight="1">
      <x:c r="A127" s="23" t="str">
        <x:v>FT-SEED-R1-2015-A-06</x:v>
      </x:c>
      <x:c r="B127" s="25" t="str">
        <x:v>INITIAL_180</x:v>
      </x:c>
      <x:c r="C127" s="24" t="str">
        <x:v>2015-A-06</x:v>
      </x:c>
      <x:c r="D127" s="25" t="str">
        <x:v>22</x:v>
      </x:c>
      <x:c r="E127" s="24" t="str">
        <x:v>FT-A2015</x:v>
      </x:c>
      <x:c r="F127" s="24" t="str">
        <x:v>global warming</x:v>
      </x:c>
      <x:c r="G127" s="25" t="str">
        <x:v>A</x:v>
      </x:c>
      <x:c r="H127" s="25" t="str"/>
      <x:c r="I127" s="24" t="str"/>
      <x:c r="J127" s="25" t="str"/>
      <x:c r="K127" s="25" t="str">
        <x:v>CONFIDENCE=NOT_EXPOSED;CARRY_FORWARD=Yes</x:v>
      </x:c>
      <x:c r="L127" s="24" t="str">
        <x:v>NOT_EXPOSED</x:v>
      </x:c>
      <x:c r="M127" s="25" t="str">
        <x:v>Yes</x:v>
      </x:c>
      <x:c r="N127" s="25" t="str">
        <x:v>RECONSTRUCTED_FROM_REPORT</x:v>
      </x:c>
      <x:c r="O127" s="25" t="str">
        <x:v>RETAIN</x:v>
      </x:c>
      <x:c r="P127" s="24" t="str">
        <x:v>Fear of Temperature_ Historical Lexical Discovery and Anchor Validation.pdf</x:v>
      </x:c>
      <x:c r="Q127" s="25" t="str">
        <x:v>RECONSTRUCTED_FROM_REPORT</x:v>
      </x:c>
      <x:c r="R127" s="27" t="str">
        <x:v>Original candidate ID and row fields reconstructed from the compact narrative PDF table; this is not the missing original structured record.</x:v>
      </x:c>
    </x:row>
    <x:row r="128" ht="19" customHeight="1">
      <x:c r="A128" s="23" t="str">
        <x:v>FT-SEED-R1-2015-A-07</x:v>
      </x:c>
      <x:c r="B128" s="25" t="str">
        <x:v>INITIAL_180</x:v>
      </x:c>
      <x:c r="C128" s="24" t="str">
        <x:v>2015-A-07</x:v>
      </x:c>
      <x:c r="D128" s="25" t="str">
        <x:v>22</x:v>
      </x:c>
      <x:c r="E128" s="24" t="str">
        <x:v>FT-A2015</x:v>
      </x:c>
      <x:c r="F128" s="24" t="str">
        <x:v>extreme heat</x:v>
      </x:c>
      <x:c r="G128" s="25" t="str">
        <x:v>A</x:v>
      </x:c>
      <x:c r="H128" s="25" t="str"/>
      <x:c r="I128" s="24" t="str"/>
      <x:c r="J128" s="25" t="str"/>
      <x:c r="K128" s="25" t="str">
        <x:v>CONFIDENCE=NOT_EXPOSED;CARRY_FORWARD=Yes</x:v>
      </x:c>
      <x:c r="L128" s="24" t="str">
        <x:v>NOT_EXPOSED</x:v>
      </x:c>
      <x:c r="M128" s="25" t="str">
        <x:v>Yes</x:v>
      </x:c>
      <x:c r="N128" s="25" t="str">
        <x:v>RECONSTRUCTED_FROM_REPORT</x:v>
      </x:c>
      <x:c r="O128" s="25" t="str">
        <x:v>RETAIN</x:v>
      </x:c>
      <x:c r="P128" s="24" t="str">
        <x:v>Fear of Temperature_ Historical Lexical Discovery and Anchor Validation.pdf</x:v>
      </x:c>
      <x:c r="Q128" s="25" t="str">
        <x:v>RECONSTRUCTED_FROM_REPORT</x:v>
      </x:c>
      <x:c r="R128" s="27" t="str">
        <x:v>Original candidate ID and row fields reconstructed from the compact narrative PDF table; this is not the missing original structured record.</x:v>
      </x:c>
    </x:row>
    <x:row r="129" ht="19" customHeight="1">
      <x:c r="A129" s="23" t="str">
        <x:v>FT-SEED-R1-2015-A-08</x:v>
      </x:c>
      <x:c r="B129" s="25" t="str">
        <x:v>INITIAL_180</x:v>
      </x:c>
      <x:c r="C129" s="24" t="str">
        <x:v>2015-A-08</x:v>
      </x:c>
      <x:c r="D129" s="25" t="str">
        <x:v>22</x:v>
      </x:c>
      <x:c r="E129" s="24" t="str">
        <x:v>FT-A2015</x:v>
      </x:c>
      <x:c r="F129" s="24" t="str">
        <x:v>heat waves</x:v>
      </x:c>
      <x:c r="G129" s="25" t="str">
        <x:v>A</x:v>
      </x:c>
      <x:c r="H129" s="25" t="str"/>
      <x:c r="I129" s="24" t="str"/>
      <x:c r="J129" s="25" t="str"/>
      <x:c r="K129" s="25" t="str">
        <x:v>CONFIDENCE=NOT_EXPOSED;CARRY_FORWARD=Yes</x:v>
      </x:c>
      <x:c r="L129" s="24" t="str">
        <x:v>NOT_EXPOSED</x:v>
      </x:c>
      <x:c r="M129" s="25" t="str">
        <x:v>Yes</x:v>
      </x:c>
      <x:c r="N129" s="25" t="str">
        <x:v>RECONSTRUCTED_FROM_REPORT</x:v>
      </x:c>
      <x:c r="O129" s="25" t="str">
        <x:v>RETAIN</x:v>
      </x:c>
      <x:c r="P129" s="24" t="str">
        <x:v>Fear of Temperature_ Historical Lexical Discovery and Anchor Validation.pdf</x:v>
      </x:c>
      <x:c r="Q129" s="25" t="str">
        <x:v>RECONSTRUCTED_FROM_REPORT</x:v>
      </x:c>
      <x:c r="R129" s="27" t="str">
        <x:v>Original candidate ID and row fields reconstructed from the compact narrative PDF table; this is not the missing original structured record.</x:v>
      </x:c>
    </x:row>
    <x:row r="130" ht="19" customHeight="1">
      <x:c r="A130" s="23" t="str">
        <x:v>FT-SEED-R1-2015-B-01</x:v>
      </x:c>
      <x:c r="B130" s="25" t="str">
        <x:v>INITIAL_180</x:v>
      </x:c>
      <x:c r="C130" s="24" t="str">
        <x:v>2015-B-01</x:v>
      </x:c>
      <x:c r="D130" s="25" t="str">
        <x:v>22</x:v>
      </x:c>
      <x:c r="E130" s="24" t="str">
        <x:v>FT-A2015</x:v>
      </x:c>
      <x:c r="F130" s="24" t="str">
        <x:v>climate change</x:v>
      </x:c>
      <x:c r="G130" s="25" t="str">
        <x:v>B</x:v>
      </x:c>
      <x:c r="H130" s="25" t="str"/>
      <x:c r="I130" s="24" t="str"/>
      <x:c r="J130" s="25" t="str"/>
      <x:c r="K130" s="25" t="str">
        <x:v>CONFIDENCE=NOT_EXPOSED;CARRY_FORWARD=Yes</x:v>
      </x:c>
      <x:c r="L130" s="24" t="str">
        <x:v>NOT_EXPOSED</x:v>
      </x:c>
      <x:c r="M130" s="25" t="str">
        <x:v>Yes</x:v>
      </x:c>
      <x:c r="N130" s="25" t="str">
        <x:v>RECONSTRUCTED_FROM_REPORT</x:v>
      </x:c>
      <x:c r="O130" s="25" t="str">
        <x:v>RETAIN</x:v>
      </x:c>
      <x:c r="P130" s="24" t="str">
        <x:v>Fear of Temperature_ Historical Lexical Discovery and Anchor Validation.pdf</x:v>
      </x:c>
      <x:c r="Q130" s="25" t="str">
        <x:v>RECONSTRUCTED_FROM_REPORT</x:v>
      </x:c>
      <x:c r="R130" s="27" t="str">
        <x:v>Original candidate ID and row fields reconstructed from the compact narrative PDF table; this is not the missing original structured record.</x:v>
      </x:c>
    </x:row>
    <x:row r="131" ht="19" customHeight="1">
      <x:c r="A131" s="23" t="str">
        <x:v>FT-SEED-R1-2015-B-02</x:v>
      </x:c>
      <x:c r="B131" s="25" t="str">
        <x:v>INITIAL_180</x:v>
      </x:c>
      <x:c r="C131" s="24" t="str">
        <x:v>2015-B-02</x:v>
      </x:c>
      <x:c r="D131" s="25" t="str">
        <x:v>23</x:v>
      </x:c>
      <x:c r="E131" s="24" t="str">
        <x:v>FT-A2015</x:v>
      </x:c>
      <x:c r="F131" s="24" t="str">
        <x:v>greenhouse gas emissions</x:v>
      </x:c>
      <x:c r="G131" s="25" t="str">
        <x:v>B</x:v>
      </x:c>
      <x:c r="H131" s="25" t="str"/>
      <x:c r="I131" s="24" t="str"/>
      <x:c r="J131" s="25" t="str"/>
      <x:c r="K131" s="25" t="str">
        <x:v>CONFIDENCE=NOT_EXPOSED;CARRY_FORWARD=Yes</x:v>
      </x:c>
      <x:c r="L131" s="24" t="str">
        <x:v>NOT_EXPOSED</x:v>
      </x:c>
      <x:c r="M131" s="25" t="str">
        <x:v>Yes</x:v>
      </x:c>
      <x:c r="N131" s="25" t="str">
        <x:v>RECONSTRUCTED_FROM_REPORT</x:v>
      </x:c>
      <x:c r="O131" s="25" t="str">
        <x:v>RETAIN</x:v>
      </x:c>
      <x:c r="P131" s="24" t="str">
        <x:v>Fear of Temperature_ Historical Lexical Discovery and Anchor Validation.pdf</x:v>
      </x:c>
      <x:c r="Q131" s="25" t="str">
        <x:v>RECONSTRUCTED_FROM_REPORT</x:v>
      </x:c>
      <x:c r="R131" s="27" t="str">
        <x:v>Original candidate ID and row fields reconstructed from the compact narrative PDF table; this is not the missing original structured record.</x:v>
      </x:c>
    </x:row>
    <x:row r="132" ht="19" customHeight="1">
      <x:c r="A132" s="23" t="str">
        <x:v>FT-SEED-R1-2015-B-03</x:v>
      </x:c>
      <x:c r="B132" s="25" t="str">
        <x:v>INITIAL_180</x:v>
      </x:c>
      <x:c r="C132" s="24" t="str">
        <x:v>2015-B-03</x:v>
      </x:c>
      <x:c r="D132" s="25" t="str">
        <x:v>23</x:v>
      </x:c>
      <x:c r="E132" s="24" t="str">
        <x:v>FT-A2015</x:v>
      </x:c>
      <x:c r="F132" s="24" t="str">
        <x:v>pre-industrial levels</x:v>
      </x:c>
      <x:c r="G132" s="25" t="str">
        <x:v>B</x:v>
      </x:c>
      <x:c r="H132" s="25" t="str"/>
      <x:c r="I132" s="24" t="str"/>
      <x:c r="J132" s="25" t="str"/>
      <x:c r="K132" s="25" t="str">
        <x:v>CONFIDENCE=NOT_EXPOSED;CARRY_FORWARD=Yes</x:v>
      </x:c>
      <x:c r="L132" s="24" t="str">
        <x:v>NOT_EXPOSED</x:v>
      </x:c>
      <x:c r="M132" s="25" t="str">
        <x:v>Yes</x:v>
      </x:c>
      <x:c r="N132" s="25" t="str">
        <x:v>RECONSTRUCTED_FROM_REPORT</x:v>
      </x:c>
      <x:c r="O132" s="25" t="str">
        <x:v>RETAIN</x:v>
      </x:c>
      <x:c r="P132" s="24" t="str">
        <x:v>Fear of Temperature_ Historical Lexical Discovery and Anchor Validation.pdf</x:v>
      </x:c>
      <x:c r="Q132" s="25" t="str">
        <x:v>RECONSTRUCTED_FROM_REPORT</x:v>
      </x:c>
      <x:c r="R132" s="27" t="str">
        <x:v>Original candidate ID and row fields reconstructed from the compact narrative PDF table; this is not the missing original structured record.</x:v>
      </x:c>
    </x:row>
    <x:row r="133" ht="19" customHeight="1">
      <x:c r="A133" s="23" t="str">
        <x:v>FT-SEED-R1-2015-B-04</x:v>
      </x:c>
      <x:c r="B133" s="25" t="str">
        <x:v>INITIAL_180</x:v>
      </x:c>
      <x:c r="C133" s="24" t="str">
        <x:v>2015-B-04</x:v>
      </x:c>
      <x:c r="D133" s="25" t="str">
        <x:v>23</x:v>
      </x:c>
      <x:c r="E133" s="24" t="str">
        <x:v>FT-A2015</x:v>
      </x:c>
      <x:c r="F133" s="24" t="str">
        <x:v>climate system</x:v>
      </x:c>
      <x:c r="G133" s="25" t="str">
        <x:v>B</x:v>
      </x:c>
      <x:c r="H133" s="25" t="str"/>
      <x:c r="I133" s="24" t="str"/>
      <x:c r="J133" s="25" t="str"/>
      <x:c r="K133" s="25" t="str">
        <x:v>CONFIDENCE=NOT_EXPOSED;CARRY_FORWARD=Yes</x:v>
      </x:c>
      <x:c r="L133" s="24" t="str">
        <x:v>NOT_EXPOSED</x:v>
      </x:c>
      <x:c r="M133" s="25" t="str">
        <x:v>Yes</x:v>
      </x:c>
      <x:c r="N133" s="25" t="str">
        <x:v>RECONSTRUCTED_FROM_REPORT</x:v>
      </x:c>
      <x:c r="O133" s="25" t="str">
        <x:v>RETAIN</x:v>
      </x:c>
      <x:c r="P133" s="24" t="str">
        <x:v>Fear of Temperature_ Historical Lexical Discovery and Anchor Validation.pdf</x:v>
      </x:c>
      <x:c r="Q133" s="25" t="str">
        <x:v>RECONSTRUCTED_FROM_REPORT</x:v>
      </x:c>
      <x:c r="R133" s="27" t="str">
        <x:v>Original candidate ID and row fields reconstructed from the compact narrative PDF table; this is not the missing original structured record.</x:v>
      </x:c>
    </x:row>
    <x:row r="134" ht="19" customHeight="1">
      <x:c r="A134" s="23" t="str">
        <x:v>FT-SEED-R1-2015-B-05</x:v>
      </x:c>
      <x:c r="B134" s="25" t="str">
        <x:v>INITIAL_180</x:v>
      </x:c>
      <x:c r="C134" s="24" t="str">
        <x:v>2015-B-05</x:v>
      </x:c>
      <x:c r="D134" s="25" t="str">
        <x:v>23</x:v>
      </x:c>
      <x:c r="E134" s="24" t="str">
        <x:v>FT-A2015</x:v>
      </x:c>
      <x:c r="F134" s="24" t="str">
        <x:v>anthropogenic emissions</x:v>
      </x:c>
      <x:c r="G134" s="25" t="str">
        <x:v>B</x:v>
      </x:c>
      <x:c r="H134" s="25" t="str"/>
      <x:c r="I134" s="24" t="str"/>
      <x:c r="J134" s="25" t="str"/>
      <x:c r="K134" s="25" t="str">
        <x:v>CONFIDENCE=NOT_EXPOSED;CARRY_FORWARD=Yes</x:v>
      </x:c>
      <x:c r="L134" s="24" t="str">
        <x:v>NOT_EXPOSED</x:v>
      </x:c>
      <x:c r="M134" s="25" t="str">
        <x:v>Yes</x:v>
      </x:c>
      <x:c r="N134" s="25" t="str">
        <x:v>RECONSTRUCTED_FROM_REPORT</x:v>
      </x:c>
      <x:c r="O134" s="25" t="str">
        <x:v>RETAIN</x:v>
      </x:c>
      <x:c r="P134" s="24" t="str">
        <x:v>Fear of Temperature_ Historical Lexical Discovery and Anchor Validation.pdf</x:v>
      </x:c>
      <x:c r="Q134" s="25" t="str">
        <x:v>RECONSTRUCTED_FROM_REPORT</x:v>
      </x:c>
      <x:c r="R134" s="27" t="str">
        <x:v>Original candidate ID and row fields reconstructed from the compact narrative PDF table; this is not the missing original structured record.</x:v>
      </x:c>
    </x:row>
    <x:row r="135" ht="19" customHeight="1">
      <x:c r="A135" s="23" t="str">
        <x:v>FT-SEED-R1-2015-B-06</x:v>
      </x:c>
      <x:c r="B135" s="25" t="str">
        <x:v>INITIAL_180</x:v>
      </x:c>
      <x:c r="C135" s="24" t="str">
        <x:v>2015-B-06</x:v>
      </x:c>
      <x:c r="D135" s="25" t="str">
        <x:v>23</x:v>
      </x:c>
      <x:c r="E135" s="24" t="str">
        <x:v>FT-A2015</x:v>
      </x:c>
      <x:c r="F135" s="24" t="str">
        <x:v>global response</x:v>
      </x:c>
      <x:c r="G135" s="25" t="str">
        <x:v>B</x:v>
      </x:c>
      <x:c r="H135" s="25" t="str"/>
      <x:c r="I135" s="24" t="str"/>
      <x:c r="J135" s="25" t="str"/>
      <x:c r="K135" s="25" t="str">
        <x:v>CONFIDENCE=NOT_EXPOSED;CARRY_FORWARD=Yes</x:v>
      </x:c>
      <x:c r="L135" s="24" t="str">
        <x:v>NOT_EXPOSED</x:v>
      </x:c>
      <x:c r="M135" s="25" t="str">
        <x:v>Yes</x:v>
      </x:c>
      <x:c r="N135" s="25" t="str">
        <x:v>RECONSTRUCTED_FROM_REPORT</x:v>
      </x:c>
      <x:c r="O135" s="25" t="str">
        <x:v>RETAIN</x:v>
      </x:c>
      <x:c r="P135" s="24" t="str">
        <x:v>Fear of Temperature_ Historical Lexical Discovery and Anchor Validation.pdf</x:v>
      </x:c>
      <x:c r="Q135" s="25" t="str">
        <x:v>RECONSTRUCTED_FROM_REPORT</x:v>
      </x:c>
      <x:c r="R135" s="27" t="str">
        <x:v>Original candidate ID and row fields reconstructed from the compact narrative PDF table; this is not the missing original structured record.</x:v>
      </x:c>
    </x:row>
    <x:row r="136" ht="19" customHeight="1">
      <x:c r="A136" s="23" t="str">
        <x:v>FT-SEED-R1-2015-B-07</x:v>
      </x:c>
      <x:c r="B136" s="25" t="str">
        <x:v>INITIAL_180</x:v>
      </x:c>
      <x:c r="C136" s="24" t="str">
        <x:v>2015-B-07</x:v>
      </x:c>
      <x:c r="D136" s="25" t="str">
        <x:v>23</x:v>
      </x:c>
      <x:c r="E136" s="24" t="str">
        <x:v>FT-A2015</x:v>
      </x:c>
      <x:c r="F136" s="24" t="str">
        <x:v>low GHG emissions</x:v>
      </x:c>
      <x:c r="G136" s="25" t="str">
        <x:v>B</x:v>
      </x:c>
      <x:c r="H136" s="25" t="str"/>
      <x:c r="I136" s="24" t="str"/>
      <x:c r="J136" s="25" t="str"/>
      <x:c r="K136" s="25" t="str">
        <x:v>CONFIDENCE=NOT_EXPOSED;CARRY_FORWARD=Yes</x:v>
      </x:c>
      <x:c r="L136" s="24" t="str">
        <x:v>NOT_EXPOSED</x:v>
      </x:c>
      <x:c r="M136" s="25" t="str">
        <x:v>Yes</x:v>
      </x:c>
      <x:c r="N136" s="25" t="str">
        <x:v>RECONSTRUCTED_FROM_REPORT</x:v>
      </x:c>
      <x:c r="O136" s="25" t="str">
        <x:v>RETAIN</x:v>
      </x:c>
      <x:c r="P136" s="24" t="str">
        <x:v>Fear of Temperature_ Historical Lexical Discovery and Anchor Validation.pdf</x:v>
      </x:c>
      <x:c r="Q136" s="25" t="str">
        <x:v>RECONSTRUCTED_FROM_REPORT</x:v>
      </x:c>
      <x:c r="R136" s="27" t="str">
        <x:v>Original candidate ID and row fields reconstructed from the compact narrative PDF table; this is not the missing original structured record.</x:v>
      </x:c>
    </x:row>
    <x:row r="137" ht="19" customHeight="1">
      <x:c r="A137" s="23" t="str">
        <x:v>FT-SEED-R1-2015-B-08</x:v>
      </x:c>
      <x:c r="B137" s="25" t="str">
        <x:v>INITIAL_180</x:v>
      </x:c>
      <x:c r="C137" s="24" t="str">
        <x:v>2015-B-08</x:v>
      </x:c>
      <x:c r="D137" s="25" t="str">
        <x:v>23</x:v>
      </x:c>
      <x:c r="E137" s="24" t="str">
        <x:v>FT-A2015</x:v>
      </x:c>
      <x:c r="F137" s="24" t="str">
        <x:v>changing climate</x:v>
      </x:c>
      <x:c r="G137" s="25" t="str">
        <x:v>B</x:v>
      </x:c>
      <x:c r="H137" s="25" t="str"/>
      <x:c r="I137" s="24" t="str"/>
      <x:c r="J137" s="25" t="str"/>
      <x:c r="K137" s="25" t="str">
        <x:v>CONFIDENCE=NOT_EXPOSED;CARRY_FORWARD=Yes</x:v>
      </x:c>
      <x:c r="L137" s="24" t="str">
        <x:v>NOT_EXPOSED</x:v>
      </x:c>
      <x:c r="M137" s="25" t="str">
        <x:v>Yes</x:v>
      </x:c>
      <x:c r="N137" s="25" t="str">
        <x:v>RECONSTRUCTED_FROM_REPORT</x:v>
      </x:c>
      <x:c r="O137" s="25" t="str">
        <x:v>RETAIN</x:v>
      </x:c>
      <x:c r="P137" s="24" t="str">
        <x:v>Fear of Temperature_ Historical Lexical Discovery and Anchor Validation.pdf</x:v>
      </x:c>
      <x:c r="Q137" s="25" t="str">
        <x:v>RECONSTRUCTED_FROM_REPORT</x:v>
      </x:c>
      <x:c r="R137" s="27" t="str">
        <x:v>Original candidate ID and row fields reconstructed from the compact narrative PDF table; this is not the missing original structured record.</x:v>
      </x:c>
    </x:row>
    <x:row r="138" ht="19" customHeight="1">
      <x:c r="A138" s="23" t="str">
        <x:v>FT-SEED-R1-2015-C-01</x:v>
      </x:c>
      <x:c r="B138" s="25" t="str">
        <x:v>INITIAL_180</x:v>
      </x:c>
      <x:c r="C138" s="24" t="str">
        <x:v>2015-C-01</x:v>
      </x:c>
      <x:c r="D138" s="25" t="str">
        <x:v>23</x:v>
      </x:c>
      <x:c r="E138" s="24" t="str">
        <x:v>FT-A2015</x:v>
      </x:c>
      <x:c r="F138" s="24" t="str">
        <x:v>concern</x:v>
      </x:c>
      <x:c r="G138" s="25" t="str">
        <x:v>C</x:v>
      </x:c>
      <x:c r="H138" s="25" t="str"/>
      <x:c r="I138" s="24" t="str"/>
      <x:c r="J138" s="25" t="str"/>
      <x:c r="K138" s="25" t="str">
        <x:v>CONFIDENCE=NOT_EXPOSED;CARRY_FORWARD=Conditional</x:v>
      </x:c>
      <x:c r="L138" s="24" t="str">
        <x:v>NOT_EXPOSED</x:v>
      </x:c>
      <x:c r="M138" s="25" t="str">
        <x:v>Conditional</x:v>
      </x:c>
      <x:c r="N138" s="25" t="str">
        <x:v>RECONSTRUCTED_FROM_REPORT</x:v>
      </x:c>
      <x:c r="O138" s="25" t="str">
        <x:v>UNRESOLVED</x:v>
      </x:c>
      <x:c r="P138" s="24" t="str">
        <x:v>Fear of Temperature_ Historical Lexical Discovery and Anchor Validation.pdf</x:v>
      </x:c>
      <x:c r="Q138" s="25" t="str">
        <x:v>RECONSTRUCTED_FROM_REPORT</x:v>
      </x:c>
      <x:c r="R138" s="27" t="str">
        <x:v>Original candidate ID and row fields reconstructed from the compact narrative PDF table; this is not the missing original structured record.</x:v>
      </x:c>
    </x:row>
    <x:row r="139" ht="19" customHeight="1">
      <x:c r="A139" s="23" t="str">
        <x:v>FT-SEED-R1-2015-C-02</x:v>
      </x:c>
      <x:c r="B139" s="25" t="str">
        <x:v>INITIAL_180</x:v>
      </x:c>
      <x:c r="C139" s="24" t="str">
        <x:v>2015-C-02</x:v>
      </x:c>
      <x:c r="D139" s="25" t="str">
        <x:v>23</x:v>
      </x:c>
      <x:c r="E139" s="24" t="str">
        <x:v>FT-A2015</x:v>
      </x:c>
      <x:c r="F139" s="24" t="str">
        <x:v>common concern of humankind</x:v>
      </x:c>
      <x:c r="G139" s="25" t="str">
        <x:v>C</x:v>
      </x:c>
      <x:c r="H139" s="25" t="str"/>
      <x:c r="I139" s="24" t="str"/>
      <x:c r="J139" s="25" t="str">
        <x:v>E1</x:v>
      </x:c>
      <x:c r="K139" s="25" t="str">
        <x:v>CONFIDENCE=NOT_EXPOSED;CARRY_FORWARD=Conditional</x:v>
      </x:c>
      <x:c r="L139" s="24" t="str">
        <x:v>NOT_EXPOSED</x:v>
      </x:c>
      <x:c r="M139" s="25" t="str">
        <x:v>Conditional</x:v>
      </x:c>
      <x:c r="N139" s="25" t="str">
        <x:v>RECONSTRUCTED_FROM_REPORT</x:v>
      </x:c>
      <x:c r="O139" s="25" t="str">
        <x:v>UNRESOLVED</x:v>
      </x:c>
      <x:c r="P139" s="24" t="str">
        <x:v>Fear of Temperature_ Historical Lexical Discovery and Anchor Validation.pdf</x:v>
      </x:c>
      <x:c r="Q139" s="25" t="str">
        <x:v>RECONSTRUCTED_FROM_REPORT</x:v>
      </x:c>
      <x:c r="R139" s="27" t="str">
        <x:v>Original candidate ID and row fields reconstructed from the compact narrative PDF table; this is not the missing original structured record.</x:v>
      </x:c>
    </x:row>
    <x:row r="140" ht="19" customHeight="1">
      <x:c r="A140" s="23" t="str">
        <x:v>FT-SEED-R1-2015-C-03</x:v>
      </x:c>
      <x:c r="B140" s="25" t="str">
        <x:v>INITIAL_180</x:v>
      </x:c>
      <x:c r="C140" s="24" t="str">
        <x:v>2015-C-03</x:v>
      </x:c>
      <x:c r="D140" s="25" t="str">
        <x:v>24</x:v>
      </x:c>
      <x:c r="E140" s="24" t="str">
        <x:v>FT-A2015</x:v>
      </x:c>
      <x:c r="F140" s="24" t="str">
        <x:v>urgency</x:v>
      </x:c>
      <x:c r="G140" s="25" t="str">
        <x:v>C</x:v>
      </x:c>
      <x:c r="H140" s="25" t="str"/>
      <x:c r="I140" s="24" t="str"/>
      <x:c r="J140" s="25" t="str"/>
      <x:c r="K140" s="25" t="str">
        <x:v>CONFIDENCE=NOT_EXPOSED;CARRY_FORWARD=No</x:v>
      </x:c>
      <x:c r="L140" s="24" t="str">
        <x:v>NOT_EXPOSED</x:v>
      </x:c>
      <x:c r="M140" s="25" t="str">
        <x:v>No</x:v>
      </x:c>
      <x:c r="N140" s="25" t="str">
        <x:v>RECONSTRUCTED_FROM_REPORT</x:v>
      </x:c>
      <x:c r="O140" s="25" t="str">
        <x:v>EXCLUDE</x:v>
      </x:c>
      <x:c r="P140" s="24" t="str">
        <x:v>Fear of Temperature_ Historical Lexical Discovery and Anchor Validation.pdf</x:v>
      </x:c>
      <x:c r="Q140" s="25" t="str">
        <x:v>RECONSTRUCTED_FROM_REPORT</x:v>
      </x:c>
      <x:c r="R140" s="27" t="str">
        <x:v>Original candidate ID and row fields reconstructed from the compact narrative PDF table; this is not the missing original structured record.</x:v>
      </x:c>
    </x:row>
    <x:row r="141" ht="19" customHeight="1">
      <x:c r="A141" s="23" t="str">
        <x:v>FT-SEED-R1-2015-C-04</x:v>
      </x:c>
      <x:c r="B141" s="25" t="str">
        <x:v>INITIAL_180</x:v>
      </x:c>
      <x:c r="C141" s="24" t="str">
        <x:v>2015-C-04</x:v>
      </x:c>
      <x:c r="D141" s="25" t="str">
        <x:v>24</x:v>
      </x:c>
      <x:c r="E141" s="24" t="str">
        <x:v>FT-A2015</x:v>
      </x:c>
      <x:c r="F141" s="24" t="str">
        <x:v>public awareness</x:v>
      </x:c>
      <x:c r="G141" s="25" t="str">
        <x:v>C</x:v>
      </x:c>
      <x:c r="H141" s="25" t="str"/>
      <x:c r="I141" s="24" t="str"/>
      <x:c r="J141" s="25" t="str"/>
      <x:c r="K141" s="25" t="str">
        <x:v>CONFIDENCE=NOT_EXPOSED;CARRY_FORWARD=No</x:v>
      </x:c>
      <x:c r="L141" s="24" t="str">
        <x:v>NOT_EXPOSED</x:v>
      </x:c>
      <x:c r="M141" s="25" t="str">
        <x:v>No</x:v>
      </x:c>
      <x:c r="N141" s="25" t="str">
        <x:v>RECONSTRUCTED_FROM_REPORT</x:v>
      </x:c>
      <x:c r="O141" s="25" t="str">
        <x:v>EXCLUDE</x:v>
      </x:c>
      <x:c r="P141" s="24" t="str">
        <x:v>Fear of Temperature_ Historical Lexical Discovery and Anchor Validation.pdf</x:v>
      </x:c>
      <x:c r="Q141" s="25" t="str">
        <x:v>RECONSTRUCTED_FROM_REPORT</x:v>
      </x:c>
      <x:c r="R141" s="27" t="str">
        <x:v>Original candidate ID and row fields reconstructed from the compact narrative PDF table; this is not the missing original structured record.</x:v>
      </x:c>
    </x:row>
    <x:row r="142" ht="19" customHeight="1">
      <x:c r="A142" s="23" t="str">
        <x:v>FT-SEED-R1-2015-C-05</x:v>
      </x:c>
      <x:c r="B142" s="25" t="str">
        <x:v>INITIAL_180</x:v>
      </x:c>
      <x:c r="C142" s="24" t="str">
        <x:v>2015-C-05</x:v>
      </x:c>
      <x:c r="D142" s="25" t="str">
        <x:v>24</x:v>
      </x:c>
      <x:c r="E142" s="24" t="str">
        <x:v>FT-A2015</x:v>
      </x:c>
      <x:c r="F142" s="24" t="str">
        <x:v>fear</x:v>
      </x:c>
      <x:c r="G142" s="25" t="str">
        <x:v>C</x:v>
      </x:c>
      <x:c r="H142" s="25" t="str"/>
      <x:c r="I142" s="24" t="str"/>
      <x:c r="J142" s="25" t="str"/>
      <x:c r="K142" s="25" t="str">
        <x:v>CONFIDENCE=NOT_EXPOSED;CARRY_FORWARD=No</x:v>
      </x:c>
      <x:c r="L142" s="24" t="str">
        <x:v>NOT_EXPOSED</x:v>
      </x:c>
      <x:c r="M142" s="25" t="str">
        <x:v>No</x:v>
      </x:c>
      <x:c r="N142" s="25" t="str">
        <x:v>RECONSTRUCTED_FROM_REPORT</x:v>
      </x:c>
      <x:c r="O142" s="25" t="str">
        <x:v>EXCLUDE</x:v>
      </x:c>
      <x:c r="P142" s="24" t="str">
        <x:v>Fear of Temperature_ Historical Lexical Discovery and Anchor Validation.pdf</x:v>
      </x:c>
      <x:c r="Q142" s="25" t="str">
        <x:v>RECONSTRUCTED_FROM_REPORT</x:v>
      </x:c>
      <x:c r="R142" s="27" t="str">
        <x:v>Original candidate ID and row fields reconstructed from the compact narrative PDF table; this is not the missing original structured record.</x:v>
      </x:c>
    </x:row>
    <x:row r="143" ht="19" customHeight="1">
      <x:c r="A143" s="23" t="str">
        <x:v>FT-SEED-R1-2015-C-06</x:v>
      </x:c>
      <x:c r="B143" s="25" t="str">
        <x:v>INITIAL_180</x:v>
      </x:c>
      <x:c r="C143" s="24" t="str">
        <x:v>2015-C-06</x:v>
      </x:c>
      <x:c r="D143" s="25" t="str">
        <x:v>24</x:v>
      </x:c>
      <x:c r="E143" s="24" t="str">
        <x:v>FT-A2015</x:v>
      </x:c>
      <x:c r="F143" s="24" t="str">
        <x:v>anxiety</x:v>
      </x:c>
      <x:c r="G143" s="25" t="str">
        <x:v>C</x:v>
      </x:c>
      <x:c r="H143" s="25" t="str"/>
      <x:c r="I143" s="24" t="str"/>
      <x:c r="J143" s="25" t="str"/>
      <x:c r="K143" s="25" t="str">
        <x:v>CONFIDENCE=NOT_EXPOSED;CARRY_FORWARD=No</x:v>
      </x:c>
      <x:c r="L143" s="24" t="str">
        <x:v>NOT_EXPOSED</x:v>
      </x:c>
      <x:c r="M143" s="25" t="str">
        <x:v>No</x:v>
      </x:c>
      <x:c r="N143" s="25" t="str">
        <x:v>RECONSTRUCTED_FROM_REPORT</x:v>
      </x:c>
      <x:c r="O143" s="25" t="str">
        <x:v>EXCLUDE</x:v>
      </x:c>
      <x:c r="P143" s="24" t="str">
        <x:v>Fear of Temperature_ Historical Lexical Discovery and Anchor Validation.pdf</x:v>
      </x:c>
      <x:c r="Q143" s="25" t="str">
        <x:v>RECONSTRUCTED_FROM_REPORT</x:v>
      </x:c>
      <x:c r="R143" s="27" t="str">
        <x:v>Original candidate ID and row fields reconstructed from the compact narrative PDF table; this is not the missing original structured record.</x:v>
      </x:c>
    </x:row>
    <x:row r="144" ht="19" customHeight="1">
      <x:c r="A144" s="23" t="str">
        <x:v>FT-SEED-R1-2015-C-07</x:v>
      </x:c>
      <x:c r="B144" s="25" t="str">
        <x:v>INITIAL_180</x:v>
      </x:c>
      <x:c r="C144" s="24" t="str">
        <x:v>2015-C-07</x:v>
      </x:c>
      <x:c r="D144" s="25" t="str">
        <x:v>24</x:v>
      </x:c>
      <x:c r="E144" s="24" t="str">
        <x:v>FT-A2015</x:v>
      </x:c>
      <x:c r="F144" s="24" t="str">
        <x:v>worry</x:v>
      </x:c>
      <x:c r="G144" s="25" t="str">
        <x:v>C</x:v>
      </x:c>
      <x:c r="H144" s="25" t="str"/>
      <x:c r="I144" s="24" t="str"/>
      <x:c r="J144" s="25" t="str"/>
      <x:c r="K144" s="25" t="str">
        <x:v>CONFIDENCE=NOT_EXPOSED;CARRY_FORWARD=No</x:v>
      </x:c>
      <x:c r="L144" s="24" t="str">
        <x:v>NOT_EXPOSED</x:v>
      </x:c>
      <x:c r="M144" s="25" t="str">
        <x:v>No</x:v>
      </x:c>
      <x:c r="N144" s="25" t="str">
        <x:v>RECONSTRUCTED_FROM_REPORT</x:v>
      </x:c>
      <x:c r="O144" s="25" t="str">
        <x:v>EXCLUDE</x:v>
      </x:c>
      <x:c r="P144" s="24" t="str">
        <x:v>Fear of Temperature_ Historical Lexical Discovery and Anchor Validation.pdf</x:v>
      </x:c>
      <x:c r="Q144" s="25" t="str">
        <x:v>RECONSTRUCTED_FROM_REPORT</x:v>
      </x:c>
      <x:c r="R144" s="27" t="str">
        <x:v>Original candidate ID and row fields reconstructed from the compact narrative PDF table; this is not the missing original structured record.</x:v>
      </x:c>
    </x:row>
    <x:row r="145" ht="19" customHeight="1">
      <x:c r="A145" s="23" t="str">
        <x:v>FT-SEED-R1-2015-D-01</x:v>
      </x:c>
      <x:c r="B145" s="25" t="str">
        <x:v>INITIAL_180</x:v>
      </x:c>
      <x:c r="C145" s="24" t="str">
        <x:v>2015-D-01</x:v>
      </x:c>
      <x:c r="D145" s="25" t="str">
        <x:v>24</x:v>
      </x:c>
      <x:c r="E145" s="24" t="str">
        <x:v>FT-A2015</x:v>
      </x:c>
      <x:c r="F145" s="24" t="str">
        <x:v>threat of climate change</x:v>
      </x:c>
      <x:c r="G145" s="25" t="str">
        <x:v>D</x:v>
      </x:c>
      <x:c r="H145" s="25" t="str"/>
      <x:c r="I145" s="24" t="str"/>
      <x:c r="J145" s="25" t="str"/>
      <x:c r="K145" s="25" t="str">
        <x:v>CONFIDENCE=NOT_EXPOSED;CARRY_FORWARD=Yes</x:v>
      </x:c>
      <x:c r="L145" s="24" t="str">
        <x:v>NOT_EXPOSED</x:v>
      </x:c>
      <x:c r="M145" s="25" t="str">
        <x:v>Yes</x:v>
      </x:c>
      <x:c r="N145" s="25" t="str">
        <x:v>RECONSTRUCTED_FROM_REPORT</x:v>
      </x:c>
      <x:c r="O145" s="25" t="str">
        <x:v>RETAIN</x:v>
      </x:c>
      <x:c r="P145" s="24" t="str">
        <x:v>Fear of Temperature_ Historical Lexical Discovery and Anchor Validation.pdf</x:v>
      </x:c>
      <x:c r="Q145" s="25" t="str">
        <x:v>RECONSTRUCTED_FROM_REPORT</x:v>
      </x:c>
      <x:c r="R145" s="27" t="str">
        <x:v>Original candidate ID and row fields reconstructed from the compact narrative PDF table; this is not the missing original structured record.</x:v>
      </x:c>
    </x:row>
    <x:row r="146" ht="19" customHeight="1">
      <x:c r="A146" s="23" t="str">
        <x:v>FT-SEED-R1-2015-D-02</x:v>
      </x:c>
      <x:c r="B146" s="25" t="str">
        <x:v>INITIAL_180</x:v>
      </x:c>
      <x:c r="C146" s="24" t="str">
        <x:v>2015-D-02</x:v>
      </x:c>
      <x:c r="D146" s="25" t="str">
        <x:v>24</x:v>
      </x:c>
      <x:c r="E146" s="24" t="str">
        <x:v>FT-A2015</x:v>
      </x:c>
      <x:c r="F146" s="24" t="str">
        <x:v>risk</x:v>
      </x:c>
      <x:c r="G146" s="25" t="str">
        <x:v>D</x:v>
      </x:c>
      <x:c r="H146" s="25" t="str"/>
      <x:c r="I146" s="24" t="str"/>
      <x:c r="J146" s="25" t="str"/>
      <x:c r="K146" s="25" t="str">
        <x:v>CONFIDENCE=NOT_EXPOSED;CARRY_FORWARD=Yes</x:v>
      </x:c>
      <x:c r="L146" s="24" t="str">
        <x:v>NOT_EXPOSED</x:v>
      </x:c>
      <x:c r="M146" s="25" t="str">
        <x:v>Yes</x:v>
      </x:c>
      <x:c r="N146" s="25" t="str">
        <x:v>RECONSTRUCTED_FROM_REPORT</x:v>
      </x:c>
      <x:c r="O146" s="25" t="str">
        <x:v>RETAIN</x:v>
      </x:c>
      <x:c r="P146" s="24" t="str">
        <x:v>Fear of Temperature_ Historical Lexical Discovery and Anchor Validation.pdf</x:v>
      </x:c>
      <x:c r="Q146" s="25" t="str">
        <x:v>RECONSTRUCTED_FROM_REPORT</x:v>
      </x:c>
      <x:c r="R146" s="27" t="str">
        <x:v>Original candidate ID and row fields reconstructed from the compact narrative PDF table; this is not the missing original structured record.</x:v>
      </x:c>
    </x:row>
    <x:row r="147" ht="19" customHeight="1">
      <x:c r="A147" s="23" t="str">
        <x:v>FT-SEED-R1-2015-D-03</x:v>
      </x:c>
      <x:c r="B147" s="25" t="str">
        <x:v>INITIAL_180</x:v>
      </x:c>
      <x:c r="C147" s="24" t="str">
        <x:v>2015-D-03</x:v>
      </x:c>
      <x:c r="D147" s="25" t="str">
        <x:v>24</x:v>
      </x:c>
      <x:c r="E147" s="24" t="str">
        <x:v>FT-A2015</x:v>
      </x:c>
      <x:c r="F147" s="24" t="str">
        <x:v>adverse effects</x:v>
      </x:c>
      <x:c r="G147" s="25" t="str">
        <x:v>D</x:v>
      </x:c>
      <x:c r="H147" s="25" t="str"/>
      <x:c r="I147" s="24" t="str"/>
      <x:c r="J147" s="25" t="str"/>
      <x:c r="K147" s="25" t="str">
        <x:v>CONFIDENCE=NOT_EXPOSED;CARRY_FORWARD=Yes</x:v>
      </x:c>
      <x:c r="L147" s="24" t="str">
        <x:v>NOT_EXPOSED</x:v>
      </x:c>
      <x:c r="M147" s="25" t="str">
        <x:v>Yes</x:v>
      </x:c>
      <x:c r="N147" s="25" t="str">
        <x:v>RECONSTRUCTED_FROM_REPORT</x:v>
      </x:c>
      <x:c r="O147" s="25" t="str">
        <x:v>RETAIN</x:v>
      </x:c>
      <x:c r="P147" s="24" t="str">
        <x:v>Fear of Temperature_ Historical Lexical Discovery and Anchor Validation.pdf</x:v>
      </x:c>
      <x:c r="Q147" s="25" t="str">
        <x:v>RECONSTRUCTED_FROM_REPORT</x:v>
      </x:c>
      <x:c r="R147" s="27" t="str">
        <x:v>Original candidate ID and row fields reconstructed from the compact narrative PDF table; this is not the missing original structured record.</x:v>
      </x:c>
    </x:row>
    <x:row r="148" ht="19" customHeight="1">
      <x:c r="A148" s="23" t="str">
        <x:v>FT-SEED-R1-2015-D-04</x:v>
      </x:c>
      <x:c r="B148" s="25" t="str">
        <x:v>INITIAL_180</x:v>
      </x:c>
      <x:c r="C148" s="24" t="str">
        <x:v>2015-D-04</x:v>
      </x:c>
      <x:c r="D148" s="25" t="str">
        <x:v>25</x:v>
      </x:c>
      <x:c r="E148" s="24" t="str">
        <x:v>FT-A2015</x:v>
      </x:c>
      <x:c r="F148" s="24" t="str">
        <x:v>loss and damage</x:v>
      </x:c>
      <x:c r="G148" s="25" t="str">
        <x:v>D</x:v>
      </x:c>
      <x:c r="H148" s="25" t="str"/>
      <x:c r="I148" s="24" t="str"/>
      <x:c r="J148" s="25" t="str"/>
      <x:c r="K148" s="25" t="str">
        <x:v>CONFIDENCE=NOT_EXPOSED;CARRY_FORWARD=Yes</x:v>
      </x:c>
      <x:c r="L148" s="24" t="str">
        <x:v>NOT_EXPOSED</x:v>
      </x:c>
      <x:c r="M148" s="25" t="str">
        <x:v>Yes</x:v>
      </x:c>
      <x:c r="N148" s="25" t="str">
        <x:v>RECONSTRUCTED_FROM_REPORT</x:v>
      </x:c>
      <x:c r="O148" s="25" t="str">
        <x:v>RETAIN</x:v>
      </x:c>
      <x:c r="P148" s="24" t="str">
        <x:v>Fear of Temperature_ Historical Lexical Discovery and Anchor Validation.pdf</x:v>
      </x:c>
      <x:c r="Q148" s="25" t="str">
        <x:v>RECONSTRUCTED_FROM_REPORT</x:v>
      </x:c>
      <x:c r="R148" s="27" t="str">
        <x:v>Original candidate ID and row fields reconstructed from the compact narrative PDF table; this is not the missing original structured record.</x:v>
      </x:c>
    </x:row>
    <x:row r="149" ht="19" customHeight="1">
      <x:c r="A149" s="23" t="str">
        <x:v>FT-SEED-R1-2015-D-05</x:v>
      </x:c>
      <x:c r="B149" s="25" t="str">
        <x:v>INITIAL_180</x:v>
      </x:c>
      <x:c r="C149" s="24" t="str">
        <x:v>2015-D-05</x:v>
      </x:c>
      <x:c r="D149" s="25" t="str">
        <x:v>25</x:v>
      </x:c>
      <x:c r="E149" s="24" t="str">
        <x:v>FT-A2015</x:v>
      </x:c>
      <x:c r="F149" s="24" t="str">
        <x:v>vulnerability</x:v>
      </x:c>
      <x:c r="G149" s="25" t="str">
        <x:v>D</x:v>
      </x:c>
      <x:c r="H149" s="25" t="str"/>
      <x:c r="I149" s="24" t="str"/>
      <x:c r="J149" s="25" t="str"/>
      <x:c r="K149" s="25" t="str">
        <x:v>CONFIDENCE=NOT_EXPOSED;CARRY_FORWARD=Conditional</x:v>
      </x:c>
      <x:c r="L149" s="24" t="str">
        <x:v>NOT_EXPOSED</x:v>
      </x:c>
      <x:c r="M149" s="25" t="str">
        <x:v>Conditional</x:v>
      </x:c>
      <x:c r="N149" s="25" t="str">
        <x:v>RECONSTRUCTED_FROM_REPORT</x:v>
      </x:c>
      <x:c r="O149" s="25" t="str">
        <x:v>UNRESOLVED</x:v>
      </x:c>
      <x:c r="P149" s="24" t="str">
        <x:v>Fear of Temperature_ Historical Lexical Discovery and Anchor Validation.pdf</x:v>
      </x:c>
      <x:c r="Q149" s="25" t="str">
        <x:v>RECONSTRUCTED_FROM_REPORT</x:v>
      </x:c>
      <x:c r="R149" s="27" t="str">
        <x:v>Original candidate ID and row fields reconstructed from the compact narrative PDF table; this is not the missing original structured record.</x:v>
      </x:c>
    </x:row>
    <x:row r="150" ht="19" customHeight="1">
      <x:c r="A150" s="23" t="str">
        <x:v>FT-SEED-R1-2015-D-06</x:v>
      </x:c>
      <x:c r="B150" s="25" t="str">
        <x:v>INITIAL_180</x:v>
      </x:c>
      <x:c r="C150" s="24" t="str">
        <x:v>2015-D-06</x:v>
      </x:c>
      <x:c r="D150" s="25" t="str">
        <x:v>25</x:v>
      </x:c>
      <x:c r="E150" s="24" t="str">
        <x:v>FT-A2015</x:v>
      </x:c>
      <x:c r="F150" s="24" t="str">
        <x:v>danger</x:v>
      </x:c>
      <x:c r="G150" s="25" t="str">
        <x:v>D</x:v>
      </x:c>
      <x:c r="H150" s="25" t="str"/>
      <x:c r="I150" s="24" t="str"/>
      <x:c r="J150" s="25" t="str"/>
      <x:c r="K150" s="25" t="str">
        <x:v>CONFIDENCE=NOT_EXPOSED;CARRY_FORWARD=Yes</x:v>
      </x:c>
      <x:c r="L150" s="24" t="str">
        <x:v>NOT_EXPOSED</x:v>
      </x:c>
      <x:c r="M150" s="25" t="str">
        <x:v>Yes</x:v>
      </x:c>
      <x:c r="N150" s="25" t="str">
        <x:v>RECONSTRUCTED_FROM_REPORT</x:v>
      </x:c>
      <x:c r="O150" s="25" t="str">
        <x:v>RETAIN</x:v>
      </x:c>
      <x:c r="P150" s="24" t="str">
        <x:v>Fear of Temperature_ Historical Lexical Discovery and Anchor Validation.pdf</x:v>
      </x:c>
      <x:c r="Q150" s="25" t="str">
        <x:v>RECONSTRUCTED_FROM_REPORT</x:v>
      </x:c>
      <x:c r="R150" s="27" t="str">
        <x:v>Original candidate ID and row fields reconstructed from the compact narrative PDF table; this is not the missing original structured record.</x:v>
      </x:c>
    </x:row>
    <x:row r="151" ht="19" customHeight="1">
      <x:c r="A151" s="23" t="str">
        <x:v>FT-SEED-R1-2015-D-07</x:v>
      </x:c>
      <x:c r="B151" s="25" t="str">
        <x:v>INITIAL_180</x:v>
      </x:c>
      <x:c r="C151" s="24" t="str">
        <x:v>2015-D-07</x:v>
      </x:c>
      <x:c r="D151" s="25" t="str">
        <x:v>25</x:v>
      </x:c>
      <x:c r="E151" s="24" t="str">
        <x:v>FT-A2015</x:v>
      </x:c>
      <x:c r="F151" s="24" t="str">
        <x:v>present threat</x:v>
      </x:c>
      <x:c r="G151" s="25" t="str">
        <x:v>D</x:v>
      </x:c>
      <x:c r="H151" s="25" t="str"/>
      <x:c r="I151" s="24" t="str"/>
      <x:c r="J151" s="25" t="str"/>
      <x:c r="K151" s="25" t="str">
        <x:v>CONFIDENCE=NOT_EXPOSED;CARRY_FORWARD=Yes</x:v>
      </x:c>
      <x:c r="L151" s="24" t="str">
        <x:v>NOT_EXPOSED</x:v>
      </x:c>
      <x:c r="M151" s="25" t="str">
        <x:v>Yes</x:v>
      </x:c>
      <x:c r="N151" s="25" t="str">
        <x:v>RECONSTRUCTED_FROM_REPORT</x:v>
      </x:c>
      <x:c r="O151" s="25" t="str">
        <x:v>RETAIN</x:v>
      </x:c>
      <x:c r="P151" s="24" t="str">
        <x:v>Fear of Temperature_ Historical Lexical Discovery and Anchor Validation.pdf</x:v>
      </x:c>
      <x:c r="Q151" s="25" t="str">
        <x:v>RECONSTRUCTED_FROM_REPORT</x:v>
      </x:c>
      <x:c r="R151" s="27" t="str">
        <x:v>Original candidate ID and row fields reconstructed from the compact narrative PDF table; this is not the missing original structured record.</x:v>
      </x:c>
    </x:row>
    <x:row r="152" ht="19" customHeight="1">
      <x:c r="A152" s="23" t="str">
        <x:v>FT-SEED-R1-2022-A-01</x:v>
      </x:c>
      <x:c r="B152" s="25" t="str">
        <x:v>INITIAL_180</x:v>
      </x:c>
      <x:c r="C152" s="24" t="str">
        <x:v>2022-A-01</x:v>
      </x:c>
      <x:c r="D152" s="25" t="str">
        <x:v>26</x:v>
      </x:c>
      <x:c r="E152" s="24" t="str">
        <x:v>FT-A2022</x:v>
      </x:c>
      <x:c r="F152" s="24" t="str">
        <x:v>global temperature</x:v>
      </x:c>
      <x:c r="G152" s="25" t="str">
        <x:v>A</x:v>
      </x:c>
      <x:c r="H152" s="25" t="str"/>
      <x:c r="I152" s="24" t="str"/>
      <x:c r="J152" s="25" t="str"/>
      <x:c r="K152" s="25" t="str">
        <x:v>CONFIDENCE=Strong;CARRY_FORWARD=Yes</x:v>
      </x:c>
      <x:c r="L152" s="24" t="str">
        <x:v>Strong</x:v>
      </x:c>
      <x:c r="M152" s="25" t="str">
        <x:v>Yes</x:v>
      </x:c>
      <x:c r="N152" s="25" t="str">
        <x:v>RECONSTRUCTED_FROM_REPORT</x:v>
      </x:c>
      <x:c r="O152" s="25" t="str">
        <x:v>RETAIN</x:v>
      </x:c>
      <x:c r="P152" s="24" t="str">
        <x:v>Fear of Temperature_ Historical Lexical Discovery and Anchor Validation.pdf</x:v>
      </x:c>
      <x:c r="Q152" s="25" t="str">
        <x:v>RECONSTRUCTED_FROM_REPORT</x:v>
      </x:c>
      <x:c r="R152" s="27" t="str">
        <x:v>Original candidate ID and row fields reconstructed from the compact narrative PDF table; this is not the missing original structured record.</x:v>
      </x:c>
    </x:row>
    <x:row r="153" ht="19" customHeight="1">
      <x:c r="A153" s="23" t="str">
        <x:v>FT-SEED-R1-2022-A-02</x:v>
      </x:c>
      <x:c r="B153" s="25" t="str">
        <x:v>INITIAL_180</x:v>
      </x:c>
      <x:c r="C153" s="24" t="str">
        <x:v>2022-A-02</x:v>
      </x:c>
      <x:c r="D153" s="25" t="str">
        <x:v>26</x:v>
      </x:c>
      <x:c r="E153" s="24" t="str">
        <x:v>FT-A2022</x:v>
      </x:c>
      <x:c r="F153" s="24" t="str">
        <x:v>global mean temperature</x:v>
      </x:c>
      <x:c r="G153" s="25" t="str">
        <x:v>A</x:v>
      </x:c>
      <x:c r="H153" s="25" t="str"/>
      <x:c r="I153" s="24" t="str"/>
      <x:c r="J153" s="25" t="str"/>
      <x:c r="K153" s="25" t="str">
        <x:v>CONFIDENCE=Strong;CARRY_FORWARD=Yes</x:v>
      </x:c>
      <x:c r="L153" s="24" t="str">
        <x:v>Strong</x:v>
      </x:c>
      <x:c r="M153" s="25" t="str">
        <x:v>Yes</x:v>
      </x:c>
      <x:c r="N153" s="25" t="str">
        <x:v>RECONSTRUCTED_FROM_REPORT</x:v>
      </x:c>
      <x:c r="O153" s="25" t="str">
        <x:v>RETAIN</x:v>
      </x:c>
      <x:c r="P153" s="24" t="str">
        <x:v>Fear of Temperature_ Historical Lexical Discovery and Anchor Validation.pdf</x:v>
      </x:c>
      <x:c r="Q153" s="25" t="str">
        <x:v>RECONSTRUCTED_FROM_REPORT</x:v>
      </x:c>
      <x:c r="R153" s="27" t="str">
        <x:v>Original candidate ID and row fields reconstructed from the compact narrative PDF table; this is not the missing original structured record.</x:v>
      </x:c>
    </x:row>
    <x:row r="154" ht="19" customHeight="1">
      <x:c r="A154" s="23" t="str">
        <x:v>FT-SEED-R1-2022-A-03</x:v>
      </x:c>
      <x:c r="B154" s="25" t="str">
        <x:v>INITIAL_180</x:v>
      </x:c>
      <x:c r="C154" s="24" t="str">
        <x:v>2022-A-03</x:v>
      </x:c>
      <x:c r="D154" s="25" t="str">
        <x:v>26</x:v>
      </x:c>
      <x:c r="E154" s="24" t="str">
        <x:v>FT-A2022</x:v>
      </x:c>
      <x:c r="F154" s="24" t="str">
        <x:v>rising temperatures</x:v>
      </x:c>
      <x:c r="G154" s="25" t="str">
        <x:v>A</x:v>
      </x:c>
      <x:c r="H154" s="25" t="str"/>
      <x:c r="I154" s="24" t="str"/>
      <x:c r="J154" s="25" t="str"/>
      <x:c r="K154" s="25" t="str">
        <x:v>CONFIDENCE=Moderate;CARRY_FORWARD=Yes</x:v>
      </x:c>
      <x:c r="L154" s="24" t="str">
        <x:v>Moderate</x:v>
      </x:c>
      <x:c r="M154" s="25" t="str">
        <x:v>Yes</x:v>
      </x:c>
      <x:c r="N154" s="25" t="str">
        <x:v>RECONSTRUCTED_FROM_REPORT</x:v>
      </x:c>
      <x:c r="O154" s="25" t="str">
        <x:v>RETAIN</x:v>
      </x:c>
      <x:c r="P154" s="24" t="str">
        <x:v>Fear of Temperature_ Historical Lexical Discovery and Anchor Validation.pdf</x:v>
      </x:c>
      <x:c r="Q154" s="25" t="str">
        <x:v>RECONSTRUCTED_FROM_REPORT</x:v>
      </x:c>
      <x:c r="R154" s="27" t="str">
        <x:v>Original candidate ID and row fields reconstructed from the compact narrative PDF table; this is not the missing original structured record.</x:v>
      </x:c>
    </x:row>
    <x:row r="155" ht="19" customHeight="1">
      <x:c r="A155" s="23" t="str">
        <x:v>FT-SEED-R1-2022-A-04</x:v>
      </x:c>
      <x:c r="B155" s="25" t="str">
        <x:v>INITIAL_180</x:v>
      </x:c>
      <x:c r="C155" s="24" t="str">
        <x:v>2022-A-04</x:v>
      </x:c>
      <x:c r="D155" s="25" t="str">
        <x:v>26</x:v>
      </x:c>
      <x:c r="E155" s="24" t="str">
        <x:v>FT-A2022</x:v>
      </x:c>
      <x:c r="F155" s="24" t="str">
        <x:v>warming</x:v>
      </x:c>
      <x:c r="G155" s="25" t="str">
        <x:v>A</x:v>
      </x:c>
      <x:c r="H155" s="25" t="str"/>
      <x:c r="I155" s="24" t="str"/>
      <x:c r="J155" s="25" t="str"/>
      <x:c r="K155" s="25" t="str">
        <x:v>CONFIDENCE=Strong;CARRY_FORWARD=Yes</x:v>
      </x:c>
      <x:c r="L155" s="24" t="str">
        <x:v>Strong</x:v>
      </x:c>
      <x:c r="M155" s="25" t="str">
        <x:v>Yes</x:v>
      </x:c>
      <x:c r="N155" s="25" t="str">
        <x:v>RECONSTRUCTED_FROM_REPORT</x:v>
      </x:c>
      <x:c r="O155" s="25" t="str">
        <x:v>RETAIN</x:v>
      </x:c>
      <x:c r="P155" s="24" t="str">
        <x:v>Fear of Temperature_ Historical Lexical Discovery and Anchor Validation.pdf</x:v>
      </x:c>
      <x:c r="Q155" s="25" t="str">
        <x:v>RECONSTRUCTED_FROM_REPORT</x:v>
      </x:c>
      <x:c r="R155" s="27" t="str">
        <x:v>Original candidate ID and row fields reconstructed from the compact narrative PDF table; this is not the missing original structured record.</x:v>
      </x:c>
    </x:row>
    <x:row r="156" ht="19" customHeight="1">
      <x:c r="A156" s="23" t="str">
        <x:v>FT-SEED-R1-2022-A-05</x:v>
      </x:c>
      <x:c r="B156" s="25" t="str">
        <x:v>INITIAL_180</x:v>
      </x:c>
      <x:c r="C156" s="24" t="str">
        <x:v>2022-A-05</x:v>
      </x:c>
      <x:c r="D156" s="25" t="str">
        <x:v>26</x:v>
      </x:c>
      <x:c r="E156" s="24" t="str">
        <x:v>FT-A2022</x:v>
      </x:c>
      <x:c r="F156" s="24" t="str">
        <x:v>global warming</x:v>
      </x:c>
      <x:c r="G156" s="25" t="str">
        <x:v>A</x:v>
      </x:c>
      <x:c r="H156" s="25" t="str"/>
      <x:c r="I156" s="24" t="str"/>
      <x:c r="J156" s="25" t="str"/>
      <x:c r="K156" s="25" t="str">
        <x:v>CONFIDENCE=Strong;CARRY_FORWARD=Yes</x:v>
      </x:c>
      <x:c r="L156" s="24" t="str">
        <x:v>Strong</x:v>
      </x:c>
      <x:c r="M156" s="25" t="str">
        <x:v>Yes</x:v>
      </x:c>
      <x:c r="N156" s="25" t="str">
        <x:v>RECONSTRUCTED_FROM_REPORT</x:v>
      </x:c>
      <x:c r="O156" s="25" t="str">
        <x:v>RETAIN</x:v>
      </x:c>
      <x:c r="P156" s="24" t="str">
        <x:v>Fear of Temperature_ Historical Lexical Discovery and Anchor Validation.pdf</x:v>
      </x:c>
      <x:c r="Q156" s="25" t="str">
        <x:v>RECONSTRUCTED_FROM_REPORT</x:v>
      </x:c>
      <x:c r="R156" s="27" t="str">
        <x:v>Original candidate ID and row fields reconstructed from the compact narrative PDF table; this is not the missing original structured record.</x:v>
      </x:c>
    </x:row>
    <x:row r="157" ht="19" customHeight="1">
      <x:c r="A157" s="23" t="str">
        <x:v>FT-SEED-R1-2022-A-06</x:v>
      </x:c>
      <x:c r="B157" s="25" t="str">
        <x:v>INITIAL_180</x:v>
      </x:c>
      <x:c r="C157" s="24" t="str">
        <x:v>2022-A-06</x:v>
      </x:c>
      <x:c r="D157" s="25" t="str">
        <x:v>26</x:v>
      </x:c>
      <x:c r="E157" s="24" t="str">
        <x:v>FT-A2022</x:v>
      </x:c>
      <x:c r="F157" s="24" t="str">
        <x:v>extreme heat</x:v>
      </x:c>
      <x:c r="G157" s="25" t="str">
        <x:v>A</x:v>
      </x:c>
      <x:c r="H157" s="25" t="str"/>
      <x:c r="I157" s="24" t="str"/>
      <x:c r="J157" s="25" t="str"/>
      <x:c r="K157" s="25" t="str">
        <x:v>CONFIDENCE=Strong;CARRY_FORWARD=Yes</x:v>
      </x:c>
      <x:c r="L157" s="24" t="str">
        <x:v>Strong</x:v>
      </x:c>
      <x:c r="M157" s="25" t="str">
        <x:v>Yes</x:v>
      </x:c>
      <x:c r="N157" s="25" t="str">
        <x:v>RECONSTRUCTED_FROM_REPORT</x:v>
      </x:c>
      <x:c r="O157" s="25" t="str">
        <x:v>RETAIN</x:v>
      </x:c>
      <x:c r="P157" s="24" t="str">
        <x:v>Fear of Temperature_ Historical Lexical Discovery and Anchor Validation.pdf</x:v>
      </x:c>
      <x:c r="Q157" s="25" t="str">
        <x:v>RECONSTRUCTED_FROM_REPORT</x:v>
      </x:c>
      <x:c r="R157" s="27" t="str">
        <x:v>Original candidate ID and row fields reconstructed from the compact narrative PDF table; this is not the missing original structured record.</x:v>
      </x:c>
    </x:row>
    <x:row r="158" ht="19" customHeight="1">
      <x:c r="A158" s="23" t="str">
        <x:v>FT-SEED-R1-2022-A-07</x:v>
      </x:c>
      <x:c r="B158" s="25" t="str">
        <x:v>INITIAL_180</x:v>
      </x:c>
      <x:c r="C158" s="24" t="str">
        <x:v>2022-A-07</x:v>
      </x:c>
      <x:c r="D158" s="25" t="str">
        <x:v>26</x:v>
      </x:c>
      <x:c r="E158" s="24" t="str">
        <x:v>FT-A2022</x:v>
      </x:c>
      <x:c r="F158" s="24" t="str">
        <x:v>extreme heatwaves</x:v>
      </x:c>
      <x:c r="G158" s="25" t="str">
        <x:v>A</x:v>
      </x:c>
      <x:c r="H158" s="25" t="str"/>
      <x:c r="I158" s="24" t="str"/>
      <x:c r="J158" s="25" t="str"/>
      <x:c r="K158" s="25" t="str">
        <x:v>CONFIDENCE=Strong;CARRY_FORWARD=Yes</x:v>
      </x:c>
      <x:c r="L158" s="24" t="str">
        <x:v>Strong</x:v>
      </x:c>
      <x:c r="M158" s="25" t="str">
        <x:v>Yes</x:v>
      </x:c>
      <x:c r="N158" s="25" t="str">
        <x:v>RECONSTRUCTED_FROM_REPORT</x:v>
      </x:c>
      <x:c r="O158" s="25" t="str">
        <x:v>RETAIN</x:v>
      </x:c>
      <x:c r="P158" s="24" t="str">
        <x:v>Fear of Temperature_ Historical Lexical Discovery and Anchor Validation.pdf</x:v>
      </x:c>
      <x:c r="Q158" s="25" t="str">
        <x:v>RECONSTRUCTED_FROM_REPORT</x:v>
      </x:c>
      <x:c r="R158" s="27" t="str">
        <x:v>Original candidate ID and row fields reconstructed from the compact narrative PDF table; this is not the missing original structured record.</x:v>
      </x:c>
    </x:row>
    <x:row r="159" ht="19" customHeight="1">
      <x:c r="A159" s="23" t="str">
        <x:v>FT-SEED-R1-2022-A-08</x:v>
      </x:c>
      <x:c r="B159" s="25" t="str">
        <x:v>INITIAL_180</x:v>
      </x:c>
      <x:c r="C159" s="24" t="str">
        <x:v>2022-A-08</x:v>
      </x:c>
      <x:c r="D159" s="25" t="str">
        <x:v>27</x:v>
      </x:c>
      <x:c r="E159" s="24" t="str">
        <x:v>FT-A2022</x:v>
      </x:c>
      <x:c r="F159" s="24" t="str">
        <x:v>ocean heat</x:v>
      </x:c>
      <x:c r="G159" s="25" t="str">
        <x:v>A</x:v>
      </x:c>
      <x:c r="H159" s="25" t="str"/>
      <x:c r="I159" s="24" t="str"/>
      <x:c r="J159" s="25" t="str"/>
      <x:c r="K159" s="25" t="str">
        <x:v>CONFIDENCE=Strong;CARRY_FORWARD=Yes</x:v>
      </x:c>
      <x:c r="L159" s="24" t="str">
        <x:v>Strong</x:v>
      </x:c>
      <x:c r="M159" s="25" t="str">
        <x:v>Yes</x:v>
      </x:c>
      <x:c r="N159" s="25" t="str">
        <x:v>RECONSTRUCTED_FROM_REPORT</x:v>
      </x:c>
      <x:c r="O159" s="25" t="str">
        <x:v>RETAIN</x:v>
      </x:c>
      <x:c r="P159" s="24" t="str">
        <x:v>Fear of Temperature_ Historical Lexical Discovery and Anchor Validation.pdf</x:v>
      </x:c>
      <x:c r="Q159" s="25" t="str">
        <x:v>RECONSTRUCTED_FROM_REPORT</x:v>
      </x:c>
      <x:c r="R159" s="27" t="str">
        <x:v>Original candidate ID and row fields reconstructed from the compact narrative PDF table; this is not the missing original structured record.</x:v>
      </x:c>
    </x:row>
    <x:row r="160" ht="19" customHeight="1">
      <x:c r="A160" s="23" t="str">
        <x:v>FT-SEED-R1-2022-B-01</x:v>
      </x:c>
      <x:c r="B160" s="25" t="str">
        <x:v>INITIAL_180</x:v>
      </x:c>
      <x:c r="C160" s="24" t="str">
        <x:v>2022-B-01</x:v>
      </x:c>
      <x:c r="D160" s="25" t="str">
        <x:v>27</x:v>
      </x:c>
      <x:c r="E160" s="24" t="str">
        <x:v>FT-A2022</x:v>
      </x:c>
      <x:c r="F160" s="24" t="str">
        <x:v>climate change</x:v>
      </x:c>
      <x:c r="G160" s="25" t="str">
        <x:v>B</x:v>
      </x:c>
      <x:c r="H160" s="25" t="str"/>
      <x:c r="I160" s="24" t="str"/>
      <x:c r="J160" s="25" t="str"/>
      <x:c r="K160" s="25" t="str">
        <x:v>CONFIDENCE=Strong;CARRY_FORWARD=Yes</x:v>
      </x:c>
      <x:c r="L160" s="24" t="str">
        <x:v>Strong</x:v>
      </x:c>
      <x:c r="M160" s="25" t="str">
        <x:v>Yes</x:v>
      </x:c>
      <x:c r="N160" s="25" t="str">
        <x:v>RECONSTRUCTED_FROM_REPORT</x:v>
      </x:c>
      <x:c r="O160" s="25" t="str">
        <x:v>RETAIN</x:v>
      </x:c>
      <x:c r="P160" s="24" t="str">
        <x:v>Fear of Temperature_ Historical Lexical Discovery and Anchor Validation.pdf</x:v>
      </x:c>
      <x:c r="Q160" s="25" t="str">
        <x:v>RECONSTRUCTED_FROM_REPORT</x:v>
      </x:c>
      <x:c r="R160" s="27" t="str">
        <x:v>Original candidate ID and row fields reconstructed from the compact narrative PDF table; this is not the missing original structured record.</x:v>
      </x:c>
    </x:row>
    <x:row r="161" ht="19" customHeight="1">
      <x:c r="A161" s="23" t="str">
        <x:v>FT-SEED-R1-2022-B-02</x:v>
      </x:c>
      <x:c r="B161" s="25" t="str">
        <x:v>INITIAL_180</x:v>
      </x:c>
      <x:c r="C161" s="24" t="str">
        <x:v>2022-B-02</x:v>
      </x:c>
      <x:c r="D161" s="25" t="str">
        <x:v>27</x:v>
      </x:c>
      <x:c r="E161" s="24" t="str">
        <x:v>FT-A2022</x:v>
      </x:c>
      <x:c r="F161" s="24" t="str">
        <x:v>human- induced climate change</x:v>
      </x:c>
      <x:c r="G161" s="25" t="str">
        <x:v>B</x:v>
      </x:c>
      <x:c r="H161" s="25" t="str"/>
      <x:c r="I161" s="24" t="str"/>
      <x:c r="J161" s="25" t="str"/>
      <x:c r="K161" s="25" t="str">
        <x:v>CONFIDENCE=Strong;CARRY_FORWARD=Yes</x:v>
      </x:c>
      <x:c r="L161" s="24" t="str">
        <x:v>Strong</x:v>
      </x:c>
      <x:c r="M161" s="25" t="str">
        <x:v>Yes</x:v>
      </x:c>
      <x:c r="N161" s="25" t="str">
        <x:v>RECONSTRUCTED_FROM_REPORT</x:v>
      </x:c>
      <x:c r="O161" s="25" t="str">
        <x:v>RETAIN</x:v>
      </x:c>
      <x:c r="P161" s="24" t="str">
        <x:v>Fear of Temperature_ Historical Lexical Discovery and Anchor Validation.pdf</x:v>
      </x:c>
      <x:c r="Q161" s="25" t="str">
        <x:v>RECONSTRUCTED_FROM_REPORT</x:v>
      </x:c>
      <x:c r="R161" s="27" t="str">
        <x:v>Original candidate ID and row fields reconstructed from the compact narrative PDF table; this is not the missing original structured record.</x:v>
      </x:c>
    </x:row>
    <x:row r="162" ht="19" customHeight="1">
      <x:c r="A162" s="23" t="str">
        <x:v>FT-SEED-R1-2022-B-03</x:v>
      </x:c>
      <x:c r="B162" s="25" t="str">
        <x:v>INITIAL_180</x:v>
      </x:c>
      <x:c r="C162" s="24" t="str">
        <x:v>2022-B-03</x:v>
      </x:c>
      <x:c r="D162" s="25" t="str">
        <x:v>27</x:v>
      </x:c>
      <x:c r="E162" s="24" t="str">
        <x:v>FT-A2022</x:v>
      </x:c>
      <x:c r="F162" s="24" t="str">
        <x:v>climate system</x:v>
      </x:c>
      <x:c r="G162" s="25" t="str">
        <x:v>B</x:v>
      </x:c>
      <x:c r="H162" s="25" t="str"/>
      <x:c r="I162" s="24" t="str"/>
      <x:c r="J162" s="25" t="str"/>
      <x:c r="K162" s="25" t="str">
        <x:v>CONFIDENCE=Strong;CARRY_FORWARD=Yes</x:v>
      </x:c>
      <x:c r="L162" s="24" t="str">
        <x:v>Strong</x:v>
      </x:c>
      <x:c r="M162" s="25" t="str">
        <x:v>Yes</x:v>
      </x:c>
      <x:c r="N162" s="25" t="str">
        <x:v>RECONSTRUCTED_FROM_REPORT</x:v>
      </x:c>
      <x:c r="O162" s="25" t="str">
        <x:v>RETAIN</x:v>
      </x:c>
      <x:c r="P162" s="24" t="str">
        <x:v>Fear of Temperature_ Historical Lexical Discovery and Anchor Validation.pdf</x:v>
      </x:c>
      <x:c r="Q162" s="25" t="str">
        <x:v>RECONSTRUCTED_FROM_REPORT</x:v>
      </x:c>
      <x:c r="R162" s="27" t="str">
        <x:v>Original candidate ID and row fields reconstructed from the compact narrative PDF table; this is not the missing original structured record.</x:v>
      </x:c>
    </x:row>
    <x:row r="163" ht="19" customHeight="1">
      <x:c r="A163" s="23" t="str">
        <x:v>FT-SEED-R1-2022-B-04</x:v>
      </x:c>
      <x:c r="B163" s="25" t="str">
        <x:v>INITIAL_180</x:v>
      </x:c>
      <x:c r="C163" s="24" t="str">
        <x:v>2022-B-04</x:v>
      </x:c>
      <x:c r="D163" s="25" t="str">
        <x:v>27</x:v>
      </x:c>
      <x:c r="E163" s="24" t="str">
        <x:v>FT-A2022</x:v>
      </x:c>
      <x:c r="F163" s="24" t="str">
        <x:v>greenhouse gases</x:v>
      </x:c>
      <x:c r="G163" s="25" t="str">
        <x:v>B</x:v>
      </x:c>
      <x:c r="H163" s="25" t="str"/>
      <x:c r="I163" s="24" t="str"/>
      <x:c r="J163" s="25" t="str"/>
      <x:c r="K163" s="25" t="str">
        <x:v>CONFIDENCE=Strong;CARRY_FORWARD=Yes</x:v>
      </x:c>
      <x:c r="L163" s="24" t="str">
        <x:v>Strong</x:v>
      </x:c>
      <x:c r="M163" s="25" t="str">
        <x:v>Yes</x:v>
      </x:c>
      <x:c r="N163" s="25" t="str">
        <x:v>RECONSTRUCTED_FROM_REPORT</x:v>
      </x:c>
      <x:c r="O163" s="25" t="str">
        <x:v>RETAIN</x:v>
      </x:c>
      <x:c r="P163" s="24" t="str">
        <x:v>Fear of Temperature_ Historical Lexical Discovery and Anchor Validation.pdf</x:v>
      </x:c>
      <x:c r="Q163" s="25" t="str">
        <x:v>RECONSTRUCTED_FROM_REPORT</x:v>
      </x:c>
      <x:c r="R163" s="27" t="str">
        <x:v>Original candidate ID and row fields reconstructed from the compact narrative PDF table; this is not the missing original structured record.</x:v>
      </x:c>
    </x:row>
    <x:row r="164" ht="19" customHeight="1">
      <x:c r="A164" s="23" t="str">
        <x:v>FT-SEED-R1-2022-B-05</x:v>
      </x:c>
      <x:c r="B164" s="25" t="str">
        <x:v>INITIAL_180</x:v>
      </x:c>
      <x:c r="C164" s="24" t="str">
        <x:v>2022-B-05</x:v>
      </x:c>
      <x:c r="D164" s="25" t="str">
        <x:v>27</x:v>
      </x:c>
      <x:c r="E164" s="24" t="str">
        <x:v>FT-A2022</x:v>
      </x:c>
      <x:c r="F164" s="24" t="str">
        <x:v>heat- trapping greenhouse gases</x:v>
      </x:c>
      <x:c r="G164" s="25" t="str">
        <x:v>B</x:v>
      </x:c>
      <x:c r="H164" s="25" t="str"/>
      <x:c r="I164" s="24" t="str"/>
      <x:c r="J164" s="25" t="str"/>
      <x:c r="K164" s="25" t="str">
        <x:v>CONFIDENCE=Strong;CARRY_FORWARD=Yes</x:v>
      </x:c>
      <x:c r="L164" s="24" t="str">
        <x:v>Strong</x:v>
      </x:c>
      <x:c r="M164" s="25" t="str">
        <x:v>Yes</x:v>
      </x:c>
      <x:c r="N164" s="25" t="str">
        <x:v>RECONSTRUCTED_FROM_REPORT</x:v>
      </x:c>
      <x:c r="O164" s="25" t="str">
        <x:v>RETAIN</x:v>
      </x:c>
      <x:c r="P164" s="24" t="str">
        <x:v>Fear of Temperature_ Historical Lexical Discovery and Anchor Validation.pdf</x:v>
      </x:c>
      <x:c r="Q164" s="25" t="str">
        <x:v>RECONSTRUCTED_FROM_REPORT</x:v>
      </x:c>
      <x:c r="R164" s="27" t="str">
        <x:v>Original candidate ID and row fields reconstructed from the compact narrative PDF table; this is not the missing original structured record.</x:v>
      </x:c>
    </x:row>
    <x:row r="165" ht="19" customHeight="1">
      <x:c r="A165" s="23" t="str">
        <x:v>FT-SEED-R1-2022-B-06</x:v>
      </x:c>
      <x:c r="B165" s="25" t="str">
        <x:v>INITIAL_180</x:v>
      </x:c>
      <x:c r="C165" s="24" t="str">
        <x:v>2022-B-06</x:v>
      </x:c>
      <x:c r="D165" s="25" t="str">
        <x:v>27</x:v>
      </x:c>
      <x:c r="E165" s="24" t="str">
        <x:v>FT-A2022</x:v>
      </x:c>
      <x:c r="F165" s="24" t="str">
        <x:v>climate- related</x:v>
      </x:c>
      <x:c r="G165" s="25" t="str">
        <x:v>B</x:v>
      </x:c>
      <x:c r="H165" s="25" t="str"/>
      <x:c r="I165" s="24" t="str"/>
      <x:c r="J165" s="25" t="str"/>
      <x:c r="K165" s="25" t="str">
        <x:v>CONFIDENCE=Moderate;CARRY_FORWARD=Conditional</x:v>
      </x:c>
      <x:c r="L165" s="24" t="str">
        <x:v>Moderate</x:v>
      </x:c>
      <x:c r="M165" s="25" t="str">
        <x:v>Conditional</x:v>
      </x:c>
      <x:c r="N165" s="25" t="str">
        <x:v>RECONSTRUCTED_FROM_REPORT</x:v>
      </x:c>
      <x:c r="O165" s="25" t="str">
        <x:v>UNRESOLVED</x:v>
      </x:c>
      <x:c r="P165" s="24" t="str">
        <x:v>Fear of Temperature_ Historical Lexical Discovery and Anchor Validation.pdf</x:v>
      </x:c>
      <x:c r="Q165" s="25" t="str">
        <x:v>RECONSTRUCTED_FROM_REPORT</x:v>
      </x:c>
      <x:c r="R165" s="27" t="str">
        <x:v>Original candidate ID and row fields reconstructed from the compact narrative PDF table; this is not the missing original structured record.</x:v>
      </x:c>
    </x:row>
    <x:row r="166" ht="19" customHeight="1">
      <x:c r="A166" s="23" t="str">
        <x:v>FT-SEED-R1-2022-B-07</x:v>
      </x:c>
      <x:c r="B166" s="25" t="str">
        <x:v>INITIAL_180</x:v>
      </x:c>
      <x:c r="C166" s="24" t="str">
        <x:v>2022-B-07</x:v>
      </x:c>
      <x:c r="D166" s="25" t="str">
        <x:v>27</x:v>
      </x:c>
      <x:c r="E166" s="24" t="str">
        <x:v>FT-A2022</x:v>
      </x:c>
      <x:c r="F166" s="24" t="str">
        <x:v>global climate</x:v>
      </x:c>
      <x:c r="G166" s="25" t="str">
        <x:v>B</x:v>
      </x:c>
      <x:c r="H166" s="25" t="str"/>
      <x:c r="I166" s="24" t="str"/>
      <x:c r="J166" s="25" t="str"/>
      <x:c r="K166" s="25" t="str">
        <x:v>CONFIDENCE=Strong;CARRY_FORWARD=Yes</x:v>
      </x:c>
      <x:c r="L166" s="24" t="str">
        <x:v>Strong</x:v>
      </x:c>
      <x:c r="M166" s="25" t="str">
        <x:v>Yes</x:v>
      </x:c>
      <x:c r="N166" s="25" t="str">
        <x:v>RECONSTRUCTED_FROM_REPORT</x:v>
      </x:c>
      <x:c r="O166" s="25" t="str">
        <x:v>RETAIN</x:v>
      </x:c>
      <x:c r="P166" s="24" t="str">
        <x:v>Fear of Temperature_ Historical Lexical Discovery and Anchor Validation.pdf</x:v>
      </x:c>
      <x:c r="Q166" s="25" t="str">
        <x:v>RECONSTRUCTED_FROM_REPORT</x:v>
      </x:c>
      <x:c r="R166" s="27" t="str">
        <x:v>Original candidate ID and row fields reconstructed from the compact narrative PDF table; this is not the missing original structured record.</x:v>
      </x:c>
    </x:row>
    <x:row r="167" ht="19" customHeight="1">
      <x:c r="A167" s="23" t="str">
        <x:v>FT-SEED-R1-2022-B-08</x:v>
      </x:c>
      <x:c r="B167" s="25" t="str">
        <x:v>INITIAL_180</x:v>
      </x:c>
      <x:c r="C167" s="24" t="str">
        <x:v>2022-B-08</x:v>
      </x:c>
      <x:c r="D167" s="25" t="str">
        <x:v>27</x:v>
      </x:c>
      <x:c r="E167" s="24" t="str">
        <x:v>FT-A2022</x:v>
      </x:c>
      <x:c r="F167" s="24" t="str">
        <x:v>changing climate</x:v>
      </x:c>
      <x:c r="G167" s="25" t="str">
        <x:v>B</x:v>
      </x:c>
      <x:c r="H167" s="25" t="str"/>
      <x:c r="I167" s="24" t="str"/>
      <x:c r="J167" s="25" t="str"/>
      <x:c r="K167" s="25" t="str">
        <x:v>CONFIDENCE=Strong;CARRY_FORWARD=Yes</x:v>
      </x:c>
      <x:c r="L167" s="24" t="str">
        <x:v>Strong</x:v>
      </x:c>
      <x:c r="M167" s="25" t="str">
        <x:v>Yes</x:v>
      </x:c>
      <x:c r="N167" s="25" t="str">
        <x:v>RECONSTRUCTED_FROM_REPORT</x:v>
      </x:c>
      <x:c r="O167" s="25" t="str">
        <x:v>RETAIN</x:v>
      </x:c>
      <x:c r="P167" s="24" t="str">
        <x:v>Fear of Temperature_ Historical Lexical Discovery and Anchor Validation.pdf</x:v>
      </x:c>
      <x:c r="Q167" s="25" t="str">
        <x:v>RECONSTRUCTED_FROM_REPORT</x:v>
      </x:c>
      <x:c r="R167" s="27" t="str">
        <x:v>Original candidate ID and row fields reconstructed from the compact narrative PDF table; this is not the missing original structured record.</x:v>
      </x:c>
    </x:row>
    <x:row r="168" ht="19" customHeight="1">
      <x:c r="A168" s="23" t="str">
        <x:v>FT-SEED-R1-2022-C-01</x:v>
      </x:c>
      <x:c r="B168" s="25" t="str">
        <x:v>INITIAL_180</x:v>
      </x:c>
      <x:c r="C168" s="24" t="str">
        <x:v>2022-C-01</x:v>
      </x:c>
      <x:c r="D168" s="25" t="str">
        <x:v>27</x:v>
      </x:c>
      <x:c r="E168" s="24" t="str">
        <x:v>FT-A2022</x:v>
      </x:c>
      <x:c r="F168" s="24" t="str">
        <x:v>climate anxiety</x:v>
      </x:c>
      <x:c r="G168" s="25" t="str">
        <x:v>C</x:v>
      </x:c>
      <x:c r="H168" s="25" t="str"/>
      <x:c r="I168" s="24" t="str"/>
      <x:c r="J168" s="25" t="str">
        <x:v>E4</x:v>
      </x:c>
      <x:c r="K168" s="25" t="str">
        <x:v>CONFIDENCE=Strong;CARRY_FORWARD=Yes</x:v>
      </x:c>
      <x:c r="L168" s="24" t="str">
        <x:v>Strong</x:v>
      </x:c>
      <x:c r="M168" s="25" t="str">
        <x:v>Yes</x:v>
      </x:c>
      <x:c r="N168" s="25" t="str">
        <x:v>RECONSTRUCTED_FROM_REPORT</x:v>
      </x:c>
      <x:c r="O168" s="25" t="str">
        <x:v>RETAIN</x:v>
      </x:c>
      <x:c r="P168" s="24" t="str">
        <x:v>Fear of Temperature_ Historical Lexical Discovery and Anchor Validation.pdf</x:v>
      </x:c>
      <x:c r="Q168" s="25" t="str">
        <x:v>RECONSTRUCTED_FROM_REPORT</x:v>
      </x:c>
      <x:c r="R168" s="27" t="str">
        <x:v>Original candidate ID and row fields reconstructed from the compact narrative PDF table; this is not the missing original structured record.</x:v>
      </x:c>
    </x:row>
    <x:row r="169" ht="19" customHeight="1">
      <x:c r="A169" s="23" t="str">
        <x:v>FT-SEED-R1-2022-C-02</x:v>
      </x:c>
      <x:c r="B169" s="25" t="str">
        <x:v>INITIAL_180</x:v>
      </x:c>
      <x:c r="C169" s="24" t="str">
        <x:v>2022-C-02</x:v>
      </x:c>
      <x:c r="D169" s="25" t="str">
        <x:v>27</x:v>
      </x:c>
      <x:c r="E169" s="24" t="str">
        <x:v>FT-A2022</x:v>
      </x:c>
      <x:c r="F169" s="24" t="str">
        <x:v>eco-anxiety</x:v>
      </x:c>
      <x:c r="G169" s="25" t="str">
        <x:v>C</x:v>
      </x:c>
      <x:c r="H169" s="25" t="str"/>
      <x:c r="I169" s="24" t="str"/>
      <x:c r="J169" s="25" t="str"/>
      <x:c r="K169" s="25" t="str">
        <x:v>CONFIDENCE=Strong;CARRY_FORWARD=Yes</x:v>
      </x:c>
      <x:c r="L169" s="24" t="str">
        <x:v>Strong</x:v>
      </x:c>
      <x:c r="M169" s="25" t="str">
        <x:v>Yes</x:v>
      </x:c>
      <x:c r="N169" s="25" t="str">
        <x:v>RECONSTRUCTED_FROM_REPORT</x:v>
      </x:c>
      <x:c r="O169" s="25" t="str">
        <x:v>RETAIN</x:v>
      </x:c>
      <x:c r="P169" s="24" t="str">
        <x:v>Fear of Temperature_ Historical Lexical Discovery and Anchor Validation.pdf</x:v>
      </x:c>
      <x:c r="Q169" s="25" t="str">
        <x:v>RECONSTRUCTED_FROM_REPORT</x:v>
      </x:c>
      <x:c r="R169" s="27" t="str">
        <x:v>Original candidate ID and row fields reconstructed from the compact narrative PDF table; this is not the missing original structured record.</x:v>
      </x:c>
    </x:row>
    <x:row r="170" ht="19" customHeight="1">
      <x:c r="A170" s="23" t="str">
        <x:v>FT-SEED-R1-2022-C-03</x:v>
      </x:c>
      <x:c r="B170" s="25" t="str">
        <x:v>INITIAL_180</x:v>
      </x:c>
      <x:c r="C170" s="24" t="str">
        <x:v>2022-C-03</x:v>
      </x:c>
      <x:c r="D170" s="25" t="str">
        <x:v>28</x:v>
      </x:c>
      <x:c r="E170" s="24" t="str">
        <x:v>FT-A2022</x:v>
      </x:c>
      <x:c r="F170" s="24" t="str">
        <x:v>worried about climate change</x:v>
      </x:c>
      <x:c r="G170" s="25" t="str">
        <x:v>C</x:v>
      </x:c>
      <x:c r="H170" s="25" t="str"/>
      <x:c r="I170" s="24" t="str"/>
      <x:c r="J170" s="25" t="str"/>
      <x:c r="K170" s="25" t="str">
        <x:v>CONFIDENCE=Strong;CARRY_FORWARD=Yes</x:v>
      </x:c>
      <x:c r="L170" s="24" t="str">
        <x:v>Strong</x:v>
      </x:c>
      <x:c r="M170" s="25" t="str">
        <x:v>Yes</x:v>
      </x:c>
      <x:c r="N170" s="25" t="str">
        <x:v>RECONSTRUCTED_FROM_REPORT</x:v>
      </x:c>
      <x:c r="O170" s="25" t="str">
        <x:v>RETAIN</x:v>
      </x:c>
      <x:c r="P170" s="24" t="str">
        <x:v>Fear of Temperature_ Historical Lexical Discovery and Anchor Validation.pdf</x:v>
      </x:c>
      <x:c r="Q170" s="25" t="str">
        <x:v>RECONSTRUCTED_FROM_REPORT</x:v>
      </x:c>
      <x:c r="R170" s="27" t="str">
        <x:v>Original candidate ID and row fields reconstructed from the compact narrative PDF table; this is not the missing original structured record.</x:v>
      </x:c>
    </x:row>
    <x:row r="171" ht="19" customHeight="1">
      <x:c r="A171" s="23" t="str">
        <x:v>FT-SEED-R1-2022-C-04</x:v>
      </x:c>
      <x:c r="B171" s="25" t="str">
        <x:v>INITIAL_180</x:v>
      </x:c>
      <x:c r="C171" s="24" t="str">
        <x:v>2022-C-04</x:v>
      </x:c>
      <x:c r="D171" s="25" t="str">
        <x:v>28</x:v>
      </x:c>
      <x:c r="E171" s="24" t="str">
        <x:v>FT-A2022</x:v>
      </x:c>
      <x:c r="F171" s="24" t="str">
        <x:v>worry</x:v>
      </x:c>
      <x:c r="G171" s="25" t="str">
        <x:v>C</x:v>
      </x:c>
      <x:c r="H171" s="25" t="str"/>
      <x:c r="I171" s="24" t="str"/>
      <x:c r="J171" s="25" t="str"/>
      <x:c r="K171" s="25" t="str">
        <x:v>CONFIDENCE=Strong;CARRY_FORWARD=Yes</x:v>
      </x:c>
      <x:c r="L171" s="24" t="str">
        <x:v>Strong</x:v>
      </x:c>
      <x:c r="M171" s="25" t="str">
        <x:v>Yes</x:v>
      </x:c>
      <x:c r="N171" s="25" t="str">
        <x:v>RECONSTRUCTED_FROM_REPORT</x:v>
      </x:c>
      <x:c r="O171" s="25" t="str">
        <x:v>RETAIN</x:v>
      </x:c>
      <x:c r="P171" s="24" t="str">
        <x:v>Fear of Temperature_ Historical Lexical Discovery and Anchor Validation.pdf</x:v>
      </x:c>
      <x:c r="Q171" s="25" t="str">
        <x:v>RECONSTRUCTED_FROM_REPORT</x:v>
      </x:c>
      <x:c r="R171" s="27" t="str">
        <x:v>Original candidate ID and row fields reconstructed from the compact narrative PDF table; this is not the missing original structured record.</x:v>
      </x:c>
    </x:row>
    <x:row r="172" ht="19" customHeight="1">
      <x:c r="A172" s="23" t="str">
        <x:v>FT-SEED-R1-2022-C-05</x:v>
      </x:c>
      <x:c r="B172" s="25" t="str">
        <x:v>INITIAL_180</x:v>
      </x:c>
      <x:c r="C172" s="24" t="str">
        <x:v>2022-C-05</x:v>
      </x:c>
      <x:c r="D172" s="25" t="str">
        <x:v>28</x:v>
      </x:c>
      <x:c r="E172" s="24" t="str">
        <x:v>FT-A2022</x:v>
      </x:c>
      <x:c r="F172" s="24" t="str">
        <x:v>psychological distress</x:v>
      </x:c>
      <x:c r="G172" s="25" t="str">
        <x:v>C</x:v>
      </x:c>
      <x:c r="H172" s="25" t="str"/>
      <x:c r="I172" s="24" t="str"/>
      <x:c r="J172" s="25" t="str"/>
      <x:c r="K172" s="25" t="str">
        <x:v>CONFIDENCE=Strong;CARRY_FORWARD=Yes</x:v>
      </x:c>
      <x:c r="L172" s="24" t="str">
        <x:v>Strong</x:v>
      </x:c>
      <x:c r="M172" s="25" t="str">
        <x:v>Yes</x:v>
      </x:c>
      <x:c r="N172" s="25" t="str">
        <x:v>RECONSTRUCTED_FROM_REPORT</x:v>
      </x:c>
      <x:c r="O172" s="25" t="str">
        <x:v>RETAIN</x:v>
      </x:c>
      <x:c r="P172" s="24" t="str">
        <x:v>Fear of Temperature_ Historical Lexical Discovery and Anchor Validation.pdf</x:v>
      </x:c>
      <x:c r="Q172" s="25" t="str">
        <x:v>RECONSTRUCTED_FROM_REPORT</x:v>
      </x:c>
      <x:c r="R172" s="27" t="str">
        <x:v>Original candidate ID and row fields reconstructed from the compact narrative PDF table; this is not the missing original structured record.</x:v>
      </x:c>
    </x:row>
    <x:row r="173" ht="19" customHeight="1">
      <x:c r="A173" s="23" t="str">
        <x:v>FT-SEED-R1-2022-C-06</x:v>
      </x:c>
      <x:c r="B173" s="25" t="str">
        <x:v>INITIAL_180</x:v>
      </x:c>
      <x:c r="C173" s="24" t="str">
        <x:v>2022-C-06</x:v>
      </x:c>
      <x:c r="D173" s="25" t="str">
        <x:v>28</x:v>
      </x:c>
      <x:c r="E173" s="24" t="str">
        <x:v>FT-A2022</x:v>
      </x:c>
      <x:c r="F173" s="24" t="str">
        <x:v>afraid</x:v>
      </x:c>
      <x:c r="G173" s="25" t="str">
        <x:v>C</x:v>
      </x:c>
      <x:c r="H173" s="25" t="str"/>
      <x:c r="I173" s="24" t="str"/>
      <x:c r="J173" s="25" t="str"/>
      <x:c r="K173" s="25" t="str">
        <x:v>CONFIDENCE=Strong;CARRY_FORWARD=Yes</x:v>
      </x:c>
      <x:c r="L173" s="24" t="str">
        <x:v>Strong</x:v>
      </x:c>
      <x:c r="M173" s="25" t="str">
        <x:v>Yes</x:v>
      </x:c>
      <x:c r="N173" s="25" t="str">
        <x:v>RECONSTRUCTED_FROM_REPORT</x:v>
      </x:c>
      <x:c r="O173" s="25" t="str">
        <x:v>RETAIN</x:v>
      </x:c>
      <x:c r="P173" s="24" t="str">
        <x:v>Fear of Temperature_ Historical Lexical Discovery and Anchor Validation.pdf</x:v>
      </x:c>
      <x:c r="Q173" s="25" t="str">
        <x:v>RECONSTRUCTED_FROM_REPORT</x:v>
      </x:c>
      <x:c r="R173" s="27" t="str">
        <x:v>Original candidate ID and row fields reconstructed from the compact narrative PDF table; this is not the missing original structured record.</x:v>
      </x:c>
    </x:row>
    <x:row r="174" ht="19" customHeight="1">
      <x:c r="A174" s="23" t="str">
        <x:v>FT-SEED-R1-2022-C-07</x:v>
      </x:c>
      <x:c r="B174" s="25" t="str">
        <x:v>INITIAL_180</x:v>
      </x:c>
      <x:c r="C174" s="24" t="str">
        <x:v>2022-C-07</x:v>
      </x:c>
      <x:c r="D174" s="25" t="str">
        <x:v>28</x:v>
      </x:c>
      <x:c r="E174" s="24" t="str">
        <x:v>FT-A2022</x:v>
      </x:c>
      <x:c r="F174" s="24" t="str">
        <x:v>hopelessness</x:v>
      </x:c>
      <x:c r="G174" s="25" t="str">
        <x:v>C</x:v>
      </x:c>
      <x:c r="H174" s="25" t="str"/>
      <x:c r="I174" s="24" t="str"/>
      <x:c r="J174" s="25" t="str"/>
      <x:c r="K174" s="25" t="str">
        <x:v>CONFIDENCE=Moderate;CARRY_FORWARD=Yes</x:v>
      </x:c>
      <x:c r="L174" s="24" t="str">
        <x:v>Moderate</x:v>
      </x:c>
      <x:c r="M174" s="25" t="str">
        <x:v>Yes</x:v>
      </x:c>
      <x:c r="N174" s="25" t="str">
        <x:v>RECONSTRUCTED_FROM_REPORT</x:v>
      </x:c>
      <x:c r="O174" s="25" t="str">
        <x:v>RETAIN</x:v>
      </x:c>
      <x:c r="P174" s="24" t="str">
        <x:v>Fear of Temperature_ Historical Lexical Discovery and Anchor Validation.pdf</x:v>
      </x:c>
      <x:c r="Q174" s="25" t="str">
        <x:v>RECONSTRUCTED_FROM_REPORT</x:v>
      </x:c>
      <x:c r="R174" s="27" t="str">
        <x:v>Original candidate ID and row fields reconstructed from the compact narrative PDF table; this is not the missing original structured record.</x:v>
      </x:c>
    </x:row>
    <x:row r="175" ht="19" customHeight="1">
      <x:c r="A175" s="23" t="str">
        <x:v>FT-SEED-R1-2022-D-01</x:v>
      </x:c>
      <x:c r="B175" s="25" t="str">
        <x:v>INITIAL_180</x:v>
      </x:c>
      <x:c r="C175" s="24" t="str">
        <x:v>2022-D-01</x:v>
      </x:c>
      <x:c r="D175" s="25" t="str">
        <x:v>28</x:v>
      </x:c>
      <x:c r="E175" s="24" t="str">
        <x:v>FT-A2022</x:v>
      </x:c>
      <x:c r="F175" s="24" t="str">
        <x:v>risk</x:v>
      </x:c>
      <x:c r="G175" s="25" t="str">
        <x:v>D</x:v>
      </x:c>
      <x:c r="H175" s="25" t="str"/>
      <x:c r="I175" s="24" t="str"/>
      <x:c r="J175" s="25" t="str"/>
      <x:c r="K175" s="25" t="str">
        <x:v>CONFIDENCE=Strong;CARRY_FORWARD=Yes</x:v>
      </x:c>
      <x:c r="L175" s="24" t="str">
        <x:v>Strong</x:v>
      </x:c>
      <x:c r="M175" s="25" t="str">
        <x:v>Yes</x:v>
      </x:c>
      <x:c r="N175" s="25" t="str">
        <x:v>RECONSTRUCTED_FROM_REPORT</x:v>
      </x:c>
      <x:c r="O175" s="25" t="str">
        <x:v>RETAIN</x:v>
      </x:c>
      <x:c r="P175" s="24" t="str">
        <x:v>Fear of Temperature_ Historical Lexical Discovery and Anchor Validation.pdf</x:v>
      </x:c>
      <x:c r="Q175" s="25" t="str">
        <x:v>RECONSTRUCTED_FROM_REPORT</x:v>
      </x:c>
      <x:c r="R175" s="27" t="str">
        <x:v>Original candidate ID and row fields reconstructed from the compact narrative PDF table; this is not the missing original structured record.</x:v>
      </x:c>
    </x:row>
    <x:row r="176" ht="19" customHeight="1">
      <x:c r="A176" s="23" t="str">
        <x:v>FT-SEED-R1-2022-D-02</x:v>
      </x:c>
      <x:c r="B176" s="25" t="str">
        <x:v>INITIAL_180</x:v>
      </x:c>
      <x:c r="C176" s="24" t="str">
        <x:v>2022-D-02</x:v>
      </x:c>
      <x:c r="D176" s="25" t="str">
        <x:v>28</x:v>
      </x:c>
      <x:c r="E176" s="24" t="str">
        <x:v>FT-A2022</x:v>
      </x:c>
      <x:c r="F176" s="24" t="str">
        <x:v>climate- related risks</x:v>
      </x:c>
      <x:c r="G176" s="25" t="str">
        <x:v>D</x:v>
      </x:c>
      <x:c r="H176" s="25" t="str"/>
      <x:c r="I176" s="24" t="str"/>
      <x:c r="J176" s="25" t="str"/>
      <x:c r="K176" s="25" t="str">
        <x:v>CONFIDENCE=Strong;CARRY_FORWARD=Yes</x:v>
      </x:c>
      <x:c r="L176" s="24" t="str">
        <x:v>Strong</x:v>
      </x:c>
      <x:c r="M176" s="25" t="str">
        <x:v>Yes</x:v>
      </x:c>
      <x:c r="N176" s="25" t="str">
        <x:v>RECONSTRUCTED_FROM_REPORT</x:v>
      </x:c>
      <x:c r="O176" s="25" t="str">
        <x:v>RETAIN</x:v>
      </x:c>
      <x:c r="P176" s="24" t="str">
        <x:v>Fear of Temperature_ Historical Lexical Discovery and Anchor Validation.pdf</x:v>
      </x:c>
      <x:c r="Q176" s="25" t="str">
        <x:v>RECONSTRUCTED_FROM_REPORT</x:v>
      </x:c>
      <x:c r="R176" s="27" t="str">
        <x:v>Original candidate ID and row fields reconstructed from the compact narrative PDF table; this is not the missing original structured record.</x:v>
      </x:c>
    </x:row>
    <x:row r="177" ht="19" customHeight="1">
      <x:c r="A177" s="23" t="str">
        <x:v>FT-SEED-R1-2022-D-03</x:v>
      </x:c>
      <x:c r="B177" s="25" t="str">
        <x:v>INITIAL_180</x:v>
      </x:c>
      <x:c r="C177" s="24" t="str">
        <x:v>2022-D-03</x:v>
      </x:c>
      <x:c r="D177" s="25" t="str">
        <x:v>28</x:v>
      </x:c>
      <x:c r="E177" s="24" t="str">
        <x:v>FT-A2022</x:v>
      </x:c>
      <x:c r="F177" s="24" t="str">
        <x:v>threat</x:v>
      </x:c>
      <x:c r="G177" s="25" t="str">
        <x:v>D</x:v>
      </x:c>
      <x:c r="H177" s="25" t="str"/>
      <x:c r="I177" s="24" t="str"/>
      <x:c r="J177" s="25" t="str"/>
      <x:c r="K177" s="25" t="str">
        <x:v>CONFIDENCE=Strong;CARRY_FORWARD=Yes</x:v>
      </x:c>
      <x:c r="L177" s="24" t="str">
        <x:v>Strong</x:v>
      </x:c>
      <x:c r="M177" s="25" t="str">
        <x:v>Yes</x:v>
      </x:c>
      <x:c r="N177" s="25" t="str">
        <x:v>RECONSTRUCTED_FROM_REPORT</x:v>
      </x:c>
      <x:c r="O177" s="25" t="str">
        <x:v>RETAIN</x:v>
      </x:c>
      <x:c r="P177" s="24" t="str">
        <x:v>Fear of Temperature_ Historical Lexical Discovery and Anchor Validation.pdf</x:v>
      </x:c>
      <x:c r="Q177" s="25" t="str">
        <x:v>RECONSTRUCTED_FROM_REPORT</x:v>
      </x:c>
      <x:c r="R177" s="27" t="str">
        <x:v>Original candidate ID and row fields reconstructed from the compact narrative PDF table; this is not the missing original structured record.</x:v>
      </x:c>
    </x:row>
    <x:row r="178" ht="19" customHeight="1">
      <x:c r="A178" s="23" t="str">
        <x:v>FT-SEED-R1-2022-D-04</x:v>
      </x:c>
      <x:c r="B178" s="25" t="str">
        <x:v>INITIAL_180</x:v>
      </x:c>
      <x:c r="C178" s="24" t="str">
        <x:v>2022-D-04</x:v>
      </x:c>
      <x:c r="D178" s="25" t="str">
        <x:v>29</x:v>
      </x:c>
      <x:c r="E178" s="24" t="str">
        <x:v>FT-A2022</x:v>
      </x:c>
      <x:c r="F178" s="24" t="str">
        <x:v>climate crisis</x:v>
      </x:c>
      <x:c r="G178" s="25" t="str">
        <x:v>D</x:v>
      </x:c>
      <x:c r="H178" s="25" t="str"/>
      <x:c r="I178" s="24" t="str"/>
      <x:c r="J178" s="25" t="str"/>
      <x:c r="K178" s="25" t="str">
        <x:v>CONFIDENCE=Strong;CARRY_FORWARD=Yes</x:v>
      </x:c>
      <x:c r="L178" s="24" t="str">
        <x:v>Strong</x:v>
      </x:c>
      <x:c r="M178" s="25" t="str">
        <x:v>Yes</x:v>
      </x:c>
      <x:c r="N178" s="25" t="str">
        <x:v>RECONSTRUCTED_FROM_REPORT</x:v>
      </x:c>
      <x:c r="O178" s="25" t="str">
        <x:v>RETAIN</x:v>
      </x:c>
      <x:c r="P178" s="24" t="str">
        <x:v>Fear of Temperature_ Historical Lexical Discovery and Anchor Validation.pdf</x:v>
      </x:c>
      <x:c r="Q178" s="25" t="str">
        <x:v>RECONSTRUCTED_FROM_REPORT</x:v>
      </x:c>
      <x:c r="R178" s="27" t="str">
        <x:v>Original candidate ID and row fields reconstructed from the compact narrative PDF table; this is not the missing original structured record.</x:v>
      </x:c>
    </x:row>
    <x:row r="179" ht="19" customHeight="1">
      <x:c r="A179" s="23" t="str">
        <x:v>FT-SEED-R1-2022-D-05</x:v>
      </x:c>
      <x:c r="B179" s="25" t="str">
        <x:v>INITIAL_180</x:v>
      </x:c>
      <x:c r="C179" s="24" t="str">
        <x:v>2022-D-05</x:v>
      </x:c>
      <x:c r="D179" s="25" t="str">
        <x:v>29</x:v>
      </x:c>
      <x:c r="E179" s="24" t="str">
        <x:v>FT-A2022</x:v>
      </x:c>
      <x:c r="F179" s="24" t="str">
        <x:v>climate emergency</x:v>
      </x:c>
      <x:c r="G179" s="25" t="str">
        <x:v>D</x:v>
      </x:c>
      <x:c r="H179" s="25" t="str"/>
      <x:c r="I179" s="24" t="str"/>
      <x:c r="J179" s="25" t="str"/>
      <x:c r="K179" s="25" t="str">
        <x:v>CONFIDENCE=Strong;CARRY_FORWARD=Yes</x:v>
      </x:c>
      <x:c r="L179" s="24" t="str">
        <x:v>Strong</x:v>
      </x:c>
      <x:c r="M179" s="25" t="str">
        <x:v>Yes</x:v>
      </x:c>
      <x:c r="N179" s="25" t="str">
        <x:v>RECONSTRUCTED_FROM_REPORT</x:v>
      </x:c>
      <x:c r="O179" s="25" t="str">
        <x:v>RETAIN</x:v>
      </x:c>
      <x:c r="P179" s="24" t="str">
        <x:v>Fear of Temperature_ Historical Lexical Discovery and Anchor Validation.pdf</x:v>
      </x:c>
      <x:c r="Q179" s="25" t="str">
        <x:v>RECONSTRUCTED_FROM_REPORT</x:v>
      </x:c>
      <x:c r="R179" s="27" t="str">
        <x:v>Original candidate ID and row fields reconstructed from the compact narrative PDF table; this is not the missing original structured record.</x:v>
      </x:c>
    </x:row>
    <x:row r="180" ht="19" customHeight="1">
      <x:c r="A180" s="23" t="str">
        <x:v>FT-SEED-R1-2022-D-06</x:v>
      </x:c>
      <x:c r="B180" s="25" t="str">
        <x:v>INITIAL_180</x:v>
      </x:c>
      <x:c r="C180" s="24" t="str">
        <x:v>2022-D-06</x:v>
      </x:c>
      <x:c r="D180" s="25" t="str">
        <x:v>29</x:v>
      </x:c>
      <x:c r="E180" s="24" t="str">
        <x:v>FT-A2022</x:v>
      </x:c>
      <x:c r="F180" s="24" t="str">
        <x:v>climate catastrophe</x:v>
      </x:c>
      <x:c r="G180" s="25" t="str">
        <x:v>D</x:v>
      </x:c>
      <x:c r="H180" s="25" t="str"/>
      <x:c r="I180" s="24" t="str"/>
      <x:c r="J180" s="25" t="str"/>
      <x:c r="K180" s="25" t="str">
        <x:v>CONFIDENCE=Moderate;CARRY_FORWARD=Conditional</x:v>
      </x:c>
      <x:c r="L180" s="24" t="str">
        <x:v>Moderate</x:v>
      </x:c>
      <x:c r="M180" s="25" t="str">
        <x:v>Conditional</x:v>
      </x:c>
      <x:c r="N180" s="25" t="str">
        <x:v>RECONSTRUCTED_FROM_REPORT</x:v>
      </x:c>
      <x:c r="O180" s="25" t="str">
        <x:v>UNRESOLVED</x:v>
      </x:c>
      <x:c r="P180" s="24" t="str">
        <x:v>Fear of Temperature_ Historical Lexical Discovery and Anchor Validation.pdf</x:v>
      </x:c>
      <x:c r="Q180" s="25" t="str">
        <x:v>RECONSTRUCTED_FROM_REPORT</x:v>
      </x:c>
      <x:c r="R180" s="27" t="str">
        <x:v>Original candidate ID and row fields reconstructed from the compact narrative PDF table; this is not the missing original structured record.</x:v>
      </x:c>
    </x:row>
    <x:row r="181" ht="19" customHeight="1">
      <x:c r="A181" s="23" t="str">
        <x:v>FT-SEED-R1-2022-D-07</x:v>
      </x:c>
      <x:c r="B181" s="25" t="str">
        <x:v>INITIAL_180</x:v>
      </x:c>
      <x:c r="C181" s="24" t="str">
        <x:v>2022-D-07</x:v>
      </x:c>
      <x:c r="D181" s="25" t="str">
        <x:v>29</x:v>
      </x:c>
      <x:c r="E181" s="24" t="str">
        <x:v>FT-A2022</x:v>
      </x:c>
      <x:c r="F181" s="24" t="str">
        <x:v>devastating</x:v>
      </x:c>
      <x:c r="G181" s="25" t="str">
        <x:v>D</x:v>
      </x:c>
      <x:c r="H181" s="25" t="str"/>
      <x:c r="I181" s="24" t="str"/>
      <x:c r="J181" s="25" t="str"/>
      <x:c r="K181" s="25" t="str">
        <x:v>CONFIDENCE=Strong;CARRY_FORWARD=Conditional</x:v>
      </x:c>
      <x:c r="L181" s="24" t="str">
        <x:v>Strong</x:v>
      </x:c>
      <x:c r="M181" s="25" t="str">
        <x:v>Conditional</x:v>
      </x:c>
      <x:c r="N181" s="25" t="str">
        <x:v>RECONSTRUCTED_FROM_REPORT</x:v>
      </x:c>
      <x:c r="O181" s="25" t="str">
        <x:v>UNRESOLVED</x:v>
      </x:c>
      <x:c r="P181" s="24" t="str">
        <x:v>Fear of Temperature_ Historical Lexical Discovery and Anchor Validation.pdf</x:v>
      </x:c>
      <x:c r="Q181" s="25" t="str">
        <x:v>RECONSTRUCTED_FROM_REPORT</x:v>
      </x:c>
      <x:c r="R181" s="27" t="str">
        <x:v>Original candidate ID and row fields reconstructed from the compact narrative PDF table; this is not the missing original structured record.</x:v>
      </x:c>
    </x:row>
    <x:row r="182" ht="19" customHeight="1">
      <x:c r="A182" s="23" t="str">
        <x:v>FT-SEED-R1B-P-1842-01</x:v>
      </x:c>
      <x:c r="B182" s="25" t="str">
        <x:v>PRIORITY_180</x:v>
      </x:c>
      <x:c r="C182" s="24" t="str"/>
      <x:c r="D182" s="25" t="str">
        <x:v>6</x:v>
      </x:c>
      <x:c r="E182" s="24" t="str">
        <x:v>FT-A1842</x:v>
      </x:c>
      <x:c r="F182" s="24" t="str">
        <x:v>temperature</x:v>
      </x:c>
      <x:c r="G182" s="25" t="str">
        <x:v>A</x:v>
      </x:c>
      <x:c r="H182" s="25" t="str">
        <x:v>V1</x:v>
      </x:c>
      <x:c r="I182" s="24" t="str">
        <x:v>S1842-RS-COLABA</x:v>
      </x:c>
      <x:c r="J182" s="25" t="str"/>
      <x:c r="K182" s="25" t="str">
        <x:v>PRIORITY_RANK=1;ORIGINAL_ROW_CONFIDENCE_NOT_EXPOSED</x:v>
      </x:c>
      <x:c r="L182" s="24" t="str">
        <x:v>NOT_EXPOSED</x:v>
      </x:c>
      <x:c r="M182" s="25" t="str">
        <x:v>PRIORITY_RANK_01</x:v>
      </x:c>
      <x:c r="N182" s="25" t="str">
        <x:v>RECONSTRUCTED_FROM_REPORT</x:v>
      </x:c>
      <x:c r="O182" s="25" t="str">
        <x:v>UNRESOLVED</x:v>
      </x:c>
      <x:c r="P182" s="24" t="str">
        <x:v>Fear of Temperature_ Stratified Lexical Expansion, Voice Mapping, and Semantic-Relational Pre-Valida.pdf</x:v>
      </x:c>
      <x:c r="Q182" s="25" t="str">
        <x:v>RECONSTRUCTED_FROM_REPORT</x:v>
      </x:c>
      <x:c r="R182" s="27" t="str">
        <x:v>New surrogate project ID assigned from the compact report table; never an original later-stage structured candidate ID.</x:v>
      </x:c>
    </x:row>
    <x:row r="183" ht="19" customHeight="1">
      <x:c r="A183" s="23" t="str">
        <x:v>FT-SEED-R1B-P-1842-02</x:v>
      </x:c>
      <x:c r="B183" s="25" t="str">
        <x:v>PRIORITY_180</x:v>
      </x:c>
      <x:c r="C183" s="24" t="str"/>
      <x:c r="D183" s="25" t="str">
        <x:v>6</x:v>
      </x:c>
      <x:c r="E183" s="24" t="str">
        <x:v>FT-A1842</x:v>
      </x:c>
      <x:c r="F183" s="24" t="str">
        <x:v>mean temperature</x:v>
      </x:c>
      <x:c r="G183" s="25" t="str">
        <x:v>A</x:v>
      </x:c>
      <x:c r="H183" s="25" t="str">
        <x:v>V1</x:v>
      </x:c>
      <x:c r="I183" s="24" t="str">
        <x:v>S1842-ROSS</x:v>
      </x:c>
      <x:c r="J183" s="25" t="str"/>
      <x:c r="K183" s="25" t="str">
        <x:v>PRIORITY_RANK=2;ORIGINAL_ROW_CONFIDENCE_NOT_EXPOSED</x:v>
      </x:c>
      <x:c r="L183" s="24" t="str">
        <x:v>NOT_EXPOSED</x:v>
      </x:c>
      <x:c r="M183" s="25" t="str">
        <x:v>PRIORITY_RANK_02</x:v>
      </x:c>
      <x:c r="N183" s="25" t="str">
        <x:v>RECONSTRUCTED_FROM_REPORT</x:v>
      </x:c>
      <x:c r="O183" s="25" t="str">
        <x:v>UNRESOLVED</x:v>
      </x:c>
      <x:c r="P183" s="24" t="str">
        <x:v>Fear of Temperature_ Stratified Lexical Expansion, Voice Mapping, and Semantic-Relational Pre-Valida.pdf</x:v>
      </x:c>
      <x:c r="Q183" s="25" t="str">
        <x:v>RECONSTRUCTED_FROM_REPORT</x:v>
      </x:c>
      <x:c r="R183" s="27" t="str">
        <x:v>New surrogate project ID assigned from the compact report table; never an original later-stage structured candidate ID.</x:v>
      </x:c>
    </x:row>
    <x:row r="184" ht="19" customHeight="1">
      <x:c r="A184" s="23" t="str">
        <x:v>FT-SEED-R1B-P-1842-03</x:v>
      </x:c>
      <x:c r="B184" s="25" t="str">
        <x:v>PRIORITY_180</x:v>
      </x:c>
      <x:c r="C184" s="24" t="str"/>
      <x:c r="D184" s="25" t="str">
        <x:v>6</x:v>
      </x:c>
      <x:c r="E184" s="24" t="str">
        <x:v>FT-A1842</x:v>
      </x:c>
      <x:c r="F184" s="24" t="str">
        <x:v>temperature of the air in shade</x:v>
      </x:c>
      <x:c r="G184" s="25" t="str">
        <x:v>A</x:v>
      </x:c>
      <x:c r="H184" s="25" t="str">
        <x:v>V1</x:v>
      </x:c>
      <x:c r="I184" s="24" t="str">
        <x:v>S1842-ROSS</x:v>
      </x:c>
      <x:c r="J184" s="25" t="str"/>
      <x:c r="K184" s="25" t="str">
        <x:v>PRIORITY_RANK=3;ORIGINAL_ROW_CONFIDENCE_NOT_EXPOSED</x:v>
      </x:c>
      <x:c r="L184" s="24" t="str">
        <x:v>NOT_EXPOSED</x:v>
      </x:c>
      <x:c r="M184" s="25" t="str">
        <x:v>PRIORITY_RANK_03</x:v>
      </x:c>
      <x:c r="N184" s="25" t="str">
        <x:v>RECONSTRUCTED_FROM_REPORT</x:v>
      </x:c>
      <x:c r="O184" s="25" t="str">
        <x:v>UNRESOLVED</x:v>
      </x:c>
      <x:c r="P184" s="24" t="str">
        <x:v>Fear of Temperature_ Stratified Lexical Expansion, Voice Mapping, and Semantic-Relational Pre-Valida.pdf</x:v>
      </x:c>
      <x:c r="Q184" s="25" t="str">
        <x:v>RECONSTRUCTED_FROM_REPORT</x:v>
      </x:c>
      <x:c r="R184" s="27" t="str">
        <x:v>New surrogate project ID assigned from the compact report table; never an original later-stage structured candidate ID.</x:v>
      </x:c>
    </x:row>
    <x:row r="185" ht="19" customHeight="1">
      <x:c r="A185" s="23" t="str">
        <x:v>FT-SEED-R1B-P-1842-04</x:v>
      </x:c>
      <x:c r="B185" s="25" t="str">
        <x:v>PRIORITY_180</x:v>
      </x:c>
      <x:c r="C185" s="24" t="str"/>
      <x:c r="D185" s="25" t="str">
        <x:v>6</x:v>
      </x:c>
      <x:c r="E185" s="24" t="str">
        <x:v>FT-A1842</x:v>
      </x:c>
      <x:c r="F185" s="24" t="str">
        <x:v>maximum temperature</x:v>
      </x:c>
      <x:c r="G185" s="25" t="str">
        <x:v>A</x:v>
      </x:c>
      <x:c r="H185" s="25" t="str">
        <x:v>V1</x:v>
      </x:c>
      <x:c r="I185" s="24" t="str">
        <x:v>S1842-ROSS</x:v>
      </x:c>
      <x:c r="J185" s="25" t="str"/>
      <x:c r="K185" s="25" t="str">
        <x:v>PRIORITY_RANK=4;ORIGINAL_ROW_CONFIDENCE_NOT_EXPOSED</x:v>
      </x:c>
      <x:c r="L185" s="24" t="str">
        <x:v>NOT_EXPOSED</x:v>
      </x:c>
      <x:c r="M185" s="25" t="str">
        <x:v>PRIORITY_RANK_04</x:v>
      </x:c>
      <x:c r="N185" s="25" t="str">
        <x:v>RECONSTRUCTED_FROM_REPORT</x:v>
      </x:c>
      <x:c r="O185" s="25" t="str">
        <x:v>UNRESOLVED</x:v>
      </x:c>
      <x:c r="P185" s="24" t="str">
        <x:v>Fear of Temperature_ Stratified Lexical Expansion, Voice Mapping, and Semantic-Relational Pre-Valida.pdf</x:v>
      </x:c>
      <x:c r="Q185" s="25" t="str">
        <x:v>RECONSTRUCTED_FROM_REPORT</x:v>
      </x:c>
      <x:c r="R185" s="27" t="str">
        <x:v>New surrogate project ID assigned from the compact report table; never an original later-stage structured candidate ID.</x:v>
      </x:c>
    </x:row>
    <x:row r="186" ht="19" customHeight="1">
      <x:c r="A186" s="23" t="str">
        <x:v>FT-SEED-R1B-P-1842-05</x:v>
      </x:c>
      <x:c r="B186" s="25" t="str">
        <x:v>PRIORITY_180</x:v>
      </x:c>
      <x:c r="C186" s="24" t="str"/>
      <x:c r="D186" s="25" t="str">
        <x:v>6</x:v>
      </x:c>
      <x:c r="E186" s="24" t="str">
        <x:v>FT-A1842</x:v>
      </x:c>
      <x:c r="F186" s="24" t="str">
        <x:v>minimum temperature</x:v>
      </x:c>
      <x:c r="G186" s="25" t="str">
        <x:v>A</x:v>
      </x:c>
      <x:c r="H186" s="25" t="str">
        <x:v>V1</x:v>
      </x:c>
      <x:c r="I186" s="24" t="str">
        <x:v>S1842-ROSS</x:v>
      </x:c>
      <x:c r="J186" s="25" t="str"/>
      <x:c r="K186" s="25" t="str">
        <x:v>PRIORITY_RANK=5;ORIGINAL_ROW_CONFIDENCE_NOT_EXPOSED</x:v>
      </x:c>
      <x:c r="L186" s="24" t="str">
        <x:v>NOT_EXPOSED</x:v>
      </x:c>
      <x:c r="M186" s="25" t="str">
        <x:v>PRIORITY_RANK_05</x:v>
      </x:c>
      <x:c r="N186" s="25" t="str">
        <x:v>RECONSTRUCTED_FROM_REPORT</x:v>
      </x:c>
      <x:c r="O186" s="25" t="str">
        <x:v>UNRESOLVED</x:v>
      </x:c>
      <x:c r="P186" s="24" t="str">
        <x:v>Fear of Temperature_ Stratified Lexical Expansion, Voice Mapping, and Semantic-Relational Pre-Valida.pdf</x:v>
      </x:c>
      <x:c r="Q186" s="25" t="str">
        <x:v>RECONSTRUCTED_FROM_REPORT</x:v>
      </x:c>
      <x:c r="R186" s="27" t="str">
        <x:v>New surrogate project ID assigned from the compact report table; never an original later-stage structured candidate ID.</x:v>
      </x:c>
    </x:row>
    <x:row r="187" ht="19" customHeight="1">
      <x:c r="A187" s="23" t="str">
        <x:v>FT-SEED-R1B-P-1842-06</x:v>
      </x:c>
      <x:c r="B187" s="25" t="str">
        <x:v>PRIORITY_180</x:v>
      </x:c>
      <x:c r="C187" s="24" t="str"/>
      <x:c r="D187" s="25" t="str">
        <x:v>6</x:v>
      </x:c>
      <x:c r="E187" s="24" t="str">
        <x:v>FT-A1842</x:v>
      </x:c>
      <x:c r="F187" s="24" t="str">
        <x:v>mean temperature of sea at surface</x:v>
      </x:c>
      <x:c r="G187" s="25" t="str">
        <x:v>A</x:v>
      </x:c>
      <x:c r="H187" s="25" t="str">
        <x:v>V1</x:v>
      </x:c>
      <x:c r="I187" s="24" t="str">
        <x:v>S1842-ROSS</x:v>
      </x:c>
      <x:c r="J187" s="25" t="str"/>
      <x:c r="K187" s="25" t="str">
        <x:v>PRIORITY_RANK=6;ORIGINAL_ROW_CONFIDENCE_NOT_EXPOSED</x:v>
      </x:c>
      <x:c r="L187" s="24" t="str">
        <x:v>NOT_EXPOSED</x:v>
      </x:c>
      <x:c r="M187" s="25" t="str">
        <x:v>PRIORITY_RANK_06</x:v>
      </x:c>
      <x:c r="N187" s="25" t="str">
        <x:v>RECONSTRUCTED_FROM_REPORT</x:v>
      </x:c>
      <x:c r="O187" s="25" t="str">
        <x:v>UNRESOLVED</x:v>
      </x:c>
      <x:c r="P187" s="24" t="str">
        <x:v>Fear of Temperature_ Stratified Lexical Expansion, Voice Mapping, and Semantic-Relational Pre-Valida.pdf</x:v>
      </x:c>
      <x:c r="Q187" s="25" t="str">
        <x:v>RECONSTRUCTED_FROM_REPORT</x:v>
      </x:c>
      <x:c r="R187" s="27" t="str">
        <x:v>New surrogate project ID assigned from the compact report table; never an original later-stage structured candidate ID.</x:v>
      </x:c>
    </x:row>
    <x:row r="188" ht="19" customHeight="1">
      <x:c r="A188" s="23" t="str">
        <x:v>FT-SEED-R1B-P-1842-07</x:v>
      </x:c>
      <x:c r="B188" s="25" t="str">
        <x:v>PRIORITY_180</x:v>
      </x:c>
      <x:c r="C188" s="24" t="str"/>
      <x:c r="D188" s="25" t="str">
        <x:v>6</x:v>
      </x:c>
      <x:c r="E188" s="24" t="str">
        <x:v>FT-A1842</x:v>
      </x:c>
      <x:c r="F188" s="24" t="str">
        <x:v>dew point</x:v>
      </x:c>
      <x:c r="G188" s="25" t="str">
        <x:v>A</x:v>
      </x:c>
      <x:c r="H188" s="25" t="str">
        <x:v>V1</x:v>
      </x:c>
      <x:c r="I188" s="24" t="str">
        <x:v>S1842-LEICHHARDT-N</x:v>
      </x:c>
      <x:c r="J188" s="25" t="str"/>
      <x:c r="K188" s="25" t="str">
        <x:v>PRIORITY_RANK=7;ORIGINAL_ROW_CONFIDENCE_NOT_EXPOSED</x:v>
      </x:c>
      <x:c r="L188" s="24" t="str">
        <x:v>NOT_EXPOSED</x:v>
      </x:c>
      <x:c r="M188" s="25" t="str">
        <x:v>PRIORITY_RANK_07</x:v>
      </x:c>
      <x:c r="N188" s="25" t="str">
        <x:v>RECONSTRUCTED_FROM_REPORT</x:v>
      </x:c>
      <x:c r="O188" s="25" t="str">
        <x:v>UNRESOLVED</x:v>
      </x:c>
      <x:c r="P188" s="24" t="str">
        <x:v>Fear of Temperature_ Stratified Lexical Expansion, Voice Mapping, and Semantic-Relational Pre-Valida.pdf</x:v>
      </x:c>
      <x:c r="Q188" s="25" t="str">
        <x:v>RECONSTRUCTED_FROM_REPORT</x:v>
      </x:c>
      <x:c r="R188" s="27" t="str">
        <x:v>New surrogate project ID assigned from the compact report table; never an original later-stage structured candidate ID.</x:v>
      </x:c>
    </x:row>
    <x:row r="189" ht="19" customHeight="1">
      <x:c r="A189" s="23" t="str">
        <x:v>FT-SEED-R1B-P-1842-11</x:v>
      </x:c>
      <x:c r="B189" s="25" t="str">
        <x:v>PRIORITY_180</x:v>
      </x:c>
      <x:c r="C189" s="24" t="str"/>
      <x:c r="D189" s="25" t="str">
        <x:v>6</x:v>
      </x:c>
      <x:c r="E189" s="24" t="str">
        <x:v>FT-A1842</x:v>
      </x:c>
      <x:c r="F189" s="24" t="str">
        <x:v>wet bulb thermometer</x:v>
      </x:c>
      <x:c r="G189" s="25" t="str">
        <x:v>A</x:v>
      </x:c>
      <x:c r="H189" s="25" t="str">
        <x:v>V1</x:v>
      </x:c>
      <x:c r="I189" s="24" t="str">
        <x:v>S1842-RS-COLABA</x:v>
      </x:c>
      <x:c r="J189" s="25" t="str"/>
      <x:c r="K189" s="25" t="str">
        <x:v>PRIORITY_RANK=11;ORIGINAL_ROW_CONFIDENCE_NOT_EXPOSED</x:v>
      </x:c>
      <x:c r="L189" s="24" t="str">
        <x:v>NOT_EXPOSED</x:v>
      </x:c>
      <x:c r="M189" s="25" t="str">
        <x:v>PRIORITY_RANK_11</x:v>
      </x:c>
      <x:c r="N189" s="25" t="str">
        <x:v>RECONSTRUCTED_FROM_REPORT</x:v>
      </x:c>
      <x:c r="O189" s="25" t="str">
        <x:v>UNRESOLVED</x:v>
      </x:c>
      <x:c r="P189" s="24" t="str">
        <x:v>Fear of Temperature_ Stratified Lexical Expansion, Voice Mapping, and Semantic-Relational Pre-Valida.pdf</x:v>
      </x:c>
      <x:c r="Q189" s="25" t="str">
        <x:v>RECONSTRUCTED_FROM_REPORT</x:v>
      </x:c>
      <x:c r="R189" s="27" t="str">
        <x:v>New surrogate project ID assigned from the compact report table; never an original later-stage structured candidate ID.</x:v>
      </x:c>
    </x:row>
    <x:row r="190" ht="19" customHeight="1">
      <x:c r="A190" s="23" t="str">
        <x:v>FT-SEED-R1B-P-1842-12</x:v>
      </x:c>
      <x:c r="B190" s="25" t="str">
        <x:v>PRIORITY_180</x:v>
      </x:c>
      <x:c r="C190" s="24" t="str"/>
      <x:c r="D190" s="25" t="str">
        <x:v>6</x:v>
      </x:c>
      <x:c r="E190" s="24" t="str">
        <x:v>FT-A1842</x:v>
      </x:c>
      <x:c r="F190" s="24" t="str">
        <x:v>meteorological observations</x:v>
      </x:c>
      <x:c r="G190" s="25" t="str">
        <x:v>B</x:v>
      </x:c>
      <x:c r="H190" s="25" t="str">
        <x:v>V1</x:v>
      </x:c>
      <x:c r="I190" s="24" t="str">
        <x:v>S1842-RS-COLABA</x:v>
      </x:c>
      <x:c r="J190" s="25" t="str"/>
      <x:c r="K190" s="25" t="str">
        <x:v>PRIORITY_RANK=12;ORIGINAL_ROW_CONFIDENCE_NOT_EXPOSED</x:v>
      </x:c>
      <x:c r="L190" s="24" t="str">
        <x:v>NOT_EXPOSED</x:v>
      </x:c>
      <x:c r="M190" s="25" t="str">
        <x:v>PRIORITY_RANK_12</x:v>
      </x:c>
      <x:c r="N190" s="25" t="str">
        <x:v>RECONSTRUCTED_FROM_REPORT</x:v>
      </x:c>
      <x:c r="O190" s="25" t="str">
        <x:v>UNRESOLVED</x:v>
      </x:c>
      <x:c r="P190" s="24" t="str">
        <x:v>Fear of Temperature_ Stratified Lexical Expansion, Voice Mapping, and Semantic-Relational Pre-Valida.pdf</x:v>
      </x:c>
      <x:c r="Q190" s="25" t="str">
        <x:v>RECONSTRUCTED_FROM_REPORT</x:v>
      </x:c>
      <x:c r="R190" s="27" t="str">
        <x:v>New surrogate project ID assigned from the compact report table; never an original later-stage structured candidate ID.</x:v>
      </x:c>
    </x:row>
    <x:row r="191" ht="19" customHeight="1">
      <x:c r="A191" s="23" t="str">
        <x:v>FT-SEED-R1B-P-1842-13</x:v>
      </x:c>
      <x:c r="B191" s="25" t="str">
        <x:v>PRIORITY_180</x:v>
      </x:c>
      <x:c r="C191" s="24" t="str"/>
      <x:c r="D191" s="25" t="str">
        <x:v>6</x:v>
      </x:c>
      <x:c r="E191" s="24" t="str">
        <x:v>FT-A1842</x:v>
      </x:c>
      <x:c r="F191" s="24" t="str">
        <x:v>meteorological journal</x:v>
      </x:c>
      <x:c r="G191" s="25" t="str">
        <x:v>B</x:v>
      </x:c>
      <x:c r="H191" s="25" t="str">
        <x:v>V1</x:v>
      </x:c>
      <x:c r="I191" s="24" t="str">
        <x:v>S1842-ROSS</x:v>
      </x:c>
      <x:c r="J191" s="25" t="str"/>
      <x:c r="K191" s="25" t="str">
        <x:v>PRIORITY_RANK=13;ORIGINAL_ROW_CONFIDENCE_NOT_EXPOSED</x:v>
      </x:c>
      <x:c r="L191" s="24" t="str">
        <x:v>NOT_EXPOSED</x:v>
      </x:c>
      <x:c r="M191" s="25" t="str">
        <x:v>PRIORITY_RANK_13</x:v>
      </x:c>
      <x:c r="N191" s="25" t="str">
        <x:v>RECONSTRUCTED_FROM_REPORT</x:v>
      </x:c>
      <x:c r="O191" s="25" t="str">
        <x:v>UNRESOLVED</x:v>
      </x:c>
      <x:c r="P191" s="24" t="str">
        <x:v>Fear of Temperature_ Stratified Lexical Expansion, Voice Mapping, and Semantic-Relational Pre-Valida.pdf</x:v>
      </x:c>
      <x:c r="Q191" s="25" t="str">
        <x:v>RECONSTRUCTED_FROM_REPORT</x:v>
      </x:c>
      <x:c r="R191" s="27" t="str">
        <x:v>New surrogate project ID assigned from the compact report table; never an original later-stage structured candidate ID.</x:v>
      </x:c>
    </x:row>
    <x:row r="192" ht="19" customHeight="1">
      <x:c r="A192" s="23" t="str">
        <x:v>FT-SEED-R1B-P-1842-14</x:v>
      </x:c>
      <x:c r="B192" s="25" t="str">
        <x:v>PRIORITY_180</x:v>
      </x:c>
      <x:c r="C192" s="24" t="str"/>
      <x:c r="D192" s="25" t="str">
        <x:v>6</x:v>
      </x:c>
      <x:c r="E192" s="24" t="str">
        <x:v>FT-A1842</x:v>
      </x:c>
      <x:c r="F192" s="24" t="str">
        <x:v>weather</x:v>
      </x:c>
      <x:c r="G192" s="25" t="str">
        <x:v>B</x:v>
      </x:c>
      <x:c r="H192" s="25" t="str">
        <x:v>V1</x:v>
      </x:c>
      <x:c r="I192" s="24" t="str">
        <x:v>S1842-LEICHHARDT-L</x:v>
      </x:c>
      <x:c r="J192" s="25" t="str"/>
      <x:c r="K192" s="25" t="str">
        <x:v>PRIORITY_RANK=14;ORIGINAL_ROW_CONFIDENCE_NOT_EXPOSED</x:v>
      </x:c>
      <x:c r="L192" s="24" t="str">
        <x:v>NOT_EXPOSED</x:v>
      </x:c>
      <x:c r="M192" s="25" t="str">
        <x:v>PRIORITY_RANK_14</x:v>
      </x:c>
      <x:c r="N192" s="25" t="str">
        <x:v>RECONSTRUCTED_FROM_REPORT</x:v>
      </x:c>
      <x:c r="O192" s="25" t="str">
        <x:v>UNRESOLVED</x:v>
      </x:c>
      <x:c r="P192" s="24" t="str">
        <x:v>Fear of Temperature_ Stratified Lexical Expansion, Voice Mapping, and Semantic-Relational Pre-Valida.pdf</x:v>
      </x:c>
      <x:c r="Q192" s="25" t="str">
        <x:v>RECONSTRUCTED_FROM_REPORT</x:v>
      </x:c>
      <x:c r="R192" s="27" t="str">
        <x:v>New surrogate project ID assigned from the compact report table; never an original later-stage structured candidate ID.</x:v>
      </x:c>
    </x:row>
    <x:row r="193" ht="19" customHeight="1">
      <x:c r="A193" s="23" t="str">
        <x:v>FT-SEED-R1B-P-1842-15</x:v>
      </x:c>
      <x:c r="B193" s="25" t="str">
        <x:v>PRIORITY_180</x:v>
      </x:c>
      <x:c r="C193" s="24" t="str"/>
      <x:c r="D193" s="25" t="str">
        <x:v>6</x:v>
      </x:c>
      <x:c r="E193" s="24" t="str">
        <x:v>FT-A1842</x:v>
      </x:c>
      <x:c r="F193" s="24" t="str">
        <x:v>climate</x:v>
      </x:c>
      <x:c r="G193" s="25" t="str">
        <x:v>B</x:v>
      </x:c>
      <x:c r="H193" s="25" t="str">
        <x:v>V1</x:v>
      </x:c>
      <x:c r="I193" s="24" t="str">
        <x:v>S1842-LEICHHARDT-L</x:v>
      </x:c>
      <x:c r="J193" s="25" t="str"/>
      <x:c r="K193" s="25" t="str">
        <x:v>PRIORITY_RANK=15;ORIGINAL_ROW_CONFIDENCE_NOT_EXPOSED</x:v>
      </x:c>
      <x:c r="L193" s="24" t="str">
        <x:v>NOT_EXPOSED</x:v>
      </x:c>
      <x:c r="M193" s="25" t="str">
        <x:v>PRIORITY_RANK_15</x:v>
      </x:c>
      <x:c r="N193" s="25" t="str">
        <x:v>RECONSTRUCTED_FROM_REPORT</x:v>
      </x:c>
      <x:c r="O193" s="25" t="str">
        <x:v>UNRESOLVED</x:v>
      </x:c>
      <x:c r="P193" s="24" t="str">
        <x:v>Fear of Temperature_ Stratified Lexical Expansion, Voice Mapping, and Semantic-Relational Pre-Valida.pdf</x:v>
      </x:c>
      <x:c r="Q193" s="25" t="str">
        <x:v>RECONSTRUCTED_FROM_REPORT</x:v>
      </x:c>
      <x:c r="R193" s="27" t="str">
        <x:v>New surrogate project ID assigned from the compact report table; never an original later-stage structured candidate ID.</x:v>
      </x:c>
    </x:row>
    <x:row r="194" ht="19" customHeight="1">
      <x:c r="A194" s="23" t="str">
        <x:v>FT-SEED-R1B-P-1842-16</x:v>
      </x:c>
      <x:c r="B194" s="25" t="str">
        <x:v>PRIORITY_180</x:v>
      </x:c>
      <x:c r="C194" s="24" t="str"/>
      <x:c r="D194" s="25" t="str">
        <x:v>6</x:v>
      </x:c>
      <x:c r="E194" s="24" t="str">
        <x:v>FT-A1842</x:v>
      </x:c>
      <x:c r="F194" s="24" t="str">
        <x:v>sun's heat</x:v>
      </x:c>
      <x:c r="G194" s="25" t="str">
        <x:v>A</x:v>
      </x:c>
      <x:c r="H194" s="25" t="str">
        <x:v>V1</x:v>
      </x:c>
      <x:c r="I194" s="24" t="str">
        <x:v>S1842-ROSS</x:v>
      </x:c>
      <x:c r="J194" s="25" t="str"/>
      <x:c r="K194" s="25" t="str">
        <x:v>PRIORITY_RANK=16;ORIGINAL_ROW_CONFIDENCE_NOT_EXPOSED</x:v>
      </x:c>
      <x:c r="L194" s="24" t="str">
        <x:v>NOT_EXPOSED</x:v>
      </x:c>
      <x:c r="M194" s="25" t="str">
        <x:v>PRIORITY_RANK_16</x:v>
      </x:c>
      <x:c r="N194" s="25" t="str">
        <x:v>RECONSTRUCTED_FROM_REPORT</x:v>
      </x:c>
      <x:c r="O194" s="25" t="str">
        <x:v>UNRESOLVED</x:v>
      </x:c>
      <x:c r="P194" s="24" t="str">
        <x:v>Fear of Temperature_ Stratified Lexical Expansion, Voice Mapping, and Semantic-Relational Pre-Valida.pdf</x:v>
      </x:c>
      <x:c r="Q194" s="25" t="str">
        <x:v>RECONSTRUCTED_FROM_REPORT</x:v>
      </x:c>
      <x:c r="R194" s="27" t="str">
        <x:v>New surrogate project ID assigned from the compact report table; never an original later-stage structured candidate ID.</x:v>
      </x:c>
    </x:row>
    <x:row r="195" ht="19" customHeight="1">
      <x:c r="A195" s="23" t="str">
        <x:v>FT-SEED-R1B-P-1842-17</x:v>
      </x:c>
      <x:c r="B195" s="25" t="str">
        <x:v>PRIORITY_180</x:v>
      </x:c>
      <x:c r="C195" s="24" t="str"/>
      <x:c r="D195" s="25" t="str">
        <x:v>6</x:v>
      </x:c>
      <x:c r="E195" s="24" t="str">
        <x:v>FT-A1842</x:v>
      </x:c>
      <x:c r="F195" s="24" t="str">
        <x:v>radiation of the heat</x:v>
      </x:c>
      <x:c r="G195" s="25" t="str">
        <x:v>B</x:v>
      </x:c>
      <x:c r="H195" s="25" t="str">
        <x:v>V1</x:v>
      </x:c>
      <x:c r="I195" s="24" t="str">
        <x:v>S1842-ROSS</x:v>
      </x:c>
      <x:c r="J195" s="25" t="str"/>
      <x:c r="K195" s="25" t="str">
        <x:v>PRIORITY_RANK=17;ORIGINAL_ROW_CONFIDENCE_NOT_EXPOSED</x:v>
      </x:c>
      <x:c r="L195" s="24" t="str">
        <x:v>NOT_EXPOSED</x:v>
      </x:c>
      <x:c r="M195" s="25" t="str">
        <x:v>PRIORITY_RANK_17</x:v>
      </x:c>
      <x:c r="N195" s="25" t="str">
        <x:v>RECONSTRUCTED_FROM_REPORT</x:v>
      </x:c>
      <x:c r="O195" s="25" t="str">
        <x:v>UNRESOLVED</x:v>
      </x:c>
      <x:c r="P195" s="24" t="str">
        <x:v>Fear of Temperature_ Stratified Lexical Expansion, Voice Mapping, and Semantic-Relational Pre-Valida.pdf</x:v>
      </x:c>
      <x:c r="Q195" s="25" t="str">
        <x:v>RECONSTRUCTED_FROM_REPORT</x:v>
      </x:c>
      <x:c r="R195" s="27" t="str">
        <x:v>New surrogate project ID assigned from the compact report table; never an original later-stage structured candidate ID.</x:v>
      </x:c>
    </x:row>
    <x:row r="196" ht="19" customHeight="1">
      <x:c r="A196" s="23" t="str">
        <x:v>FT-SEED-R1B-P-1842-21</x:v>
      </x:c>
      <x:c r="B196" s="25" t="str">
        <x:v>PRIORITY_180</x:v>
      </x:c>
      <x:c r="C196" s="24" t="str"/>
      <x:c r="D196" s="25" t="str">
        <x:v>6</x:v>
      </x:c>
      <x:c r="E196" s="24" t="str">
        <x:v>FT-A1842</x:v>
      </x:c>
      <x:c r="F196" s="24" t="str">
        <x:v>heat of the irons</x:v>
      </x:c>
      <x:c r="G196" s="25" t="str">
        <x:v>A</x:v>
      </x:c>
      <x:c r="H196" s="25" t="str">
        <x:v>V5</x:v>
      </x:c>
      <x:c r="I196" s="24" t="str">
        <x:v>S1842-CHADWICK</x:v>
      </x:c>
      <x:c r="J196" s="25" t="str"/>
      <x:c r="K196" s="25" t="str">
        <x:v>PRIORITY_RANK=21;ORIGINAL_ROW_CONFIDENCE_NOT_EXPOSED</x:v>
      </x:c>
      <x:c r="L196" s="24" t="str">
        <x:v>NOT_EXPOSED</x:v>
      </x:c>
      <x:c r="M196" s="25" t="str">
        <x:v>PRIORITY_RANK_21</x:v>
      </x:c>
      <x:c r="N196" s="25" t="str">
        <x:v>RECONSTRUCTED_FROM_REPORT</x:v>
      </x:c>
      <x:c r="O196" s="25" t="str">
        <x:v>UNRESOLVED</x:v>
      </x:c>
      <x:c r="P196" s="24" t="str">
        <x:v>Fear of Temperature_ Stratified Lexical Expansion, Voice Mapping, and Semantic-Relational Pre-Valida.pdf</x:v>
      </x:c>
      <x:c r="Q196" s="25" t="str">
        <x:v>RECONSTRUCTED_FROM_REPORT</x:v>
      </x:c>
      <x:c r="R196" s="27" t="str">
        <x:v>New surrogate project ID assigned from the compact report table; never an original later-stage structured candidate ID.</x:v>
      </x:c>
    </x:row>
    <x:row r="197" ht="19" customHeight="1">
      <x:c r="A197" s="23" t="str">
        <x:v>FT-SEED-R1B-P-1842-22</x:v>
      </x:c>
      <x:c r="B197" s="25" t="str">
        <x:v>PRIORITY_180</x:v>
      </x:c>
      <x:c r="C197" s="24" t="str"/>
      <x:c r="D197" s="25" t="str">
        <x:v>6</x:v>
      </x:c>
      <x:c r="E197" s="24" t="str">
        <x:v>FT-A1842</x:v>
      </x:c>
      <x:c r="F197" s="24" t="str">
        <x:v>most suffocating</x:v>
      </x:c>
      <x:c r="G197" s="25" t="str">
        <x:v>D</x:v>
      </x:c>
      <x:c r="H197" s="25" t="str">
        <x:v>V5</x:v>
      </x:c>
      <x:c r="I197" s="24" t="str">
        <x:v>S1842-CHADWICK</x:v>
      </x:c>
      <x:c r="J197" s="25" t="str"/>
      <x:c r="K197" s="25" t="str">
        <x:v>PRIORITY_RANK=22;ORIGINAL_ROW_CONFIDENCE_NOT_EXPOSED</x:v>
      </x:c>
      <x:c r="L197" s="24" t="str">
        <x:v>NOT_EXPOSED</x:v>
      </x:c>
      <x:c r="M197" s="25" t="str">
        <x:v>PRIORITY_RANK_22</x:v>
      </x:c>
      <x:c r="N197" s="25" t="str">
        <x:v>RECONSTRUCTED_FROM_REPORT</x:v>
      </x:c>
      <x:c r="O197" s="25" t="str">
        <x:v>UNRESOLVED</x:v>
      </x:c>
      <x:c r="P197" s="24" t="str">
        <x:v>Fear of Temperature_ Stratified Lexical Expansion, Voice Mapping, and Semantic-Relational Pre-Valida.pdf</x:v>
      </x:c>
      <x:c r="Q197" s="25" t="str">
        <x:v>RECONSTRUCTED_FROM_REPORT</x:v>
      </x:c>
      <x:c r="R197" s="27" t="str">
        <x:v>New surrogate project ID assigned from the compact report table; never an original later-stage structured candidate ID.</x:v>
      </x:c>
    </x:row>
    <x:row r="198" ht="19" customHeight="1">
      <x:c r="A198" s="23" t="str">
        <x:v>FT-SEED-R1B-P-1842-23</x:v>
      </x:c>
      <x:c r="B198" s="25" t="str">
        <x:v>PRIORITY_180</x:v>
      </x:c>
      <x:c r="C198" s="24" t="str"/>
      <x:c r="D198" s="25" t="str">
        <x:v>6</x:v>
      </x:c>
      <x:c r="E198" s="24" t="str">
        <x:v>FT-A1842</x:v>
      </x:c>
      <x:c r="F198" s="24" t="str">
        <x:v>faint away</x:v>
      </x:c>
      <x:c r="G198" s="25" t="str">
        <x:v>D</x:v>
      </x:c>
      <x:c r="H198" s="25" t="str">
        <x:v>V5</x:v>
      </x:c>
      <x:c r="I198" s="24" t="str">
        <x:v>S1842-CHADWICK</x:v>
      </x:c>
      <x:c r="J198" s="25" t="str"/>
      <x:c r="K198" s="25" t="str">
        <x:v>PRIORITY_RANK=23;ORIGINAL_ROW_CONFIDENCE_NOT_EXPOSED</x:v>
      </x:c>
      <x:c r="L198" s="24" t="str">
        <x:v>NOT_EXPOSED</x:v>
      </x:c>
      <x:c r="M198" s="25" t="str">
        <x:v>PRIORITY_RANK_23</x:v>
      </x:c>
      <x:c r="N198" s="25" t="str">
        <x:v>RECONSTRUCTED_FROM_REPORT</x:v>
      </x:c>
      <x:c r="O198" s="25" t="str">
        <x:v>UNRESOLVED</x:v>
      </x:c>
      <x:c r="P198" s="24" t="str">
        <x:v>Fear of Temperature_ Stratified Lexical Expansion, Voice Mapping, and Semantic-Relational Pre-Valida.pdf</x:v>
      </x:c>
      <x:c r="Q198" s="25" t="str">
        <x:v>RECONSTRUCTED_FROM_REPORT</x:v>
      </x:c>
      <x:c r="R198" s="27" t="str">
        <x:v>New surrogate project ID assigned from the compact report table; never an original later-stage structured candidate ID.</x:v>
      </x:c>
    </x:row>
    <x:row r="199" ht="19" customHeight="1">
      <x:c r="A199" s="23" t="str">
        <x:v>FT-SEED-R1B-P-1842-24</x:v>
      </x:c>
      <x:c r="B199" s="25" t="str">
        <x:v>PRIORITY_180</x:v>
      </x:c>
      <x:c r="C199" s="24" t="str"/>
      <x:c r="D199" s="25" t="str">
        <x:v>6</x:v>
      </x:c>
      <x:c r="E199" s="24" t="str">
        <x:v>FT-A1842</x:v>
      </x:c>
      <x:c r="F199" s="24" t="str">
        <x:v>perspiration</x:v>
      </x:c>
      <x:c r="G199" s="25" t="str">
        <x:v>D</x:v>
      </x:c>
      <x:c r="H199" s="25" t="str">
        <x:v>V5</x:v>
      </x:c>
      <x:c r="I199" s="24" t="str">
        <x:v>S1842-CHADWICK</x:v>
      </x:c>
      <x:c r="J199" s="25" t="str"/>
      <x:c r="K199" s="25" t="str">
        <x:v>PRIORITY_RANK=24;ORIGINAL_ROW_CONFIDENCE_NOT_EXPOSED</x:v>
      </x:c>
      <x:c r="L199" s="24" t="str">
        <x:v>NOT_EXPOSED</x:v>
      </x:c>
      <x:c r="M199" s="25" t="str">
        <x:v>PRIORITY_RANK_24</x:v>
      </x:c>
      <x:c r="N199" s="25" t="str">
        <x:v>RECONSTRUCTED_FROM_REPORT</x:v>
      </x:c>
      <x:c r="O199" s="25" t="str">
        <x:v>UNRESOLVED</x:v>
      </x:c>
      <x:c r="P199" s="24" t="str">
        <x:v>Fear of Temperature_ Stratified Lexical Expansion, Voice Mapping, and Semantic-Relational Pre-Valida.pdf</x:v>
      </x:c>
      <x:c r="Q199" s="25" t="str">
        <x:v>RECONSTRUCTED_FROM_REPORT</x:v>
      </x:c>
      <x:c r="R199" s="27" t="str">
        <x:v>New surrogate project ID assigned from the compact report table; never an original later-stage structured candidate ID.</x:v>
      </x:c>
    </x:row>
    <x:row r="200" ht="19" customHeight="1">
      <x:c r="A200" s="23" t="str">
        <x:v>FT-SEED-R1B-P-1842-25</x:v>
      </x:c>
      <x:c r="B200" s="25" t="str">
        <x:v>PRIORITY_180</x:v>
      </x:c>
      <x:c r="C200" s="24" t="str"/>
      <x:c r="D200" s="25" t="str">
        <x:v>6</x:v>
      </x:c>
      <x:c r="E200" s="24" t="str">
        <x:v>FT-A1842</x:v>
      </x:c>
      <x:c r="F200" s="24" t="str">
        <x:v>depressing effect</x:v>
      </x:c>
      <x:c r="G200" s="25" t="str">
        <x:v>C</x:v>
      </x:c>
      <x:c r="H200" s="25" t="str">
        <x:v>V5</x:v>
      </x:c>
      <x:c r="I200" s="24" t="str">
        <x:v>S1842-CHADWICK</x:v>
      </x:c>
      <x:c r="J200" s="25" t="str">
        <x:v>E3</x:v>
      </x:c>
      <x:c r="K200" s="25" t="str">
        <x:v>PRIORITY_RANK=25;ORIGINAL_ROW_CONFIDENCE_NOT_EXPOSED</x:v>
      </x:c>
      <x:c r="L200" s="24" t="str">
        <x:v>NOT_EXPOSED</x:v>
      </x:c>
      <x:c r="M200" s="25" t="str">
        <x:v>PRIORITY_RANK_25</x:v>
      </x:c>
      <x:c r="N200" s="25" t="str">
        <x:v>RECONSTRUCTED_FROM_REPORT</x:v>
      </x:c>
      <x:c r="O200" s="25" t="str">
        <x:v>UNRESOLVED</x:v>
      </x:c>
      <x:c r="P200" s="24" t="str">
        <x:v>Fear of Temperature_ Stratified Lexical Expansion, Voice Mapping, and Semantic-Relational Pre-Valida.pdf</x:v>
      </x:c>
      <x:c r="Q200" s="25" t="str">
        <x:v>RECONSTRUCTED_FROM_REPORT</x:v>
      </x:c>
      <x:c r="R200" s="27" t="str">
        <x:v>New surrogate project ID assigned from the compact report table; never an original later-stage structured candidate ID.</x:v>
      </x:c>
    </x:row>
    <x:row r="201" ht="19" customHeight="1">
      <x:c r="A201" s="23" t="str">
        <x:v>FT-SEED-R1B-P-1842-26</x:v>
      </x:c>
      <x:c r="B201" s="25" t="str">
        <x:v>PRIORITY_180</x:v>
      </x:c>
      <x:c r="C201" s="24" t="str"/>
      <x:c r="D201" s="25" t="str">
        <x:v>6</x:v>
      </x:c>
      <x:c r="E201" s="24" t="str">
        <x:v>FT-A1842</x:v>
      </x:c>
      <x:c r="F201" s="24" t="str">
        <x:v>complain of the heat</x:v>
      </x:c>
      <x:c r="G201" s="25" t="str">
        <x:v>C</x:v>
      </x:c>
      <x:c r="H201" s="25" t="str">
        <x:v>V5</x:v>
      </x:c>
      <x:c r="I201" s="24" t="str">
        <x:v>S1842-CHADWICK</x:v>
      </x:c>
      <x:c r="J201" s="25" t="str"/>
      <x:c r="K201" s="25" t="str">
        <x:v>PRIORITY_RANK=26;ORIGINAL_ROW_CONFIDENCE_NOT_EXPOSED</x:v>
      </x:c>
      <x:c r="L201" s="24" t="str">
        <x:v>NOT_EXPOSED</x:v>
      </x:c>
      <x:c r="M201" s="25" t="str">
        <x:v>PRIORITY_RANK_26</x:v>
      </x:c>
      <x:c r="N201" s="25" t="str">
        <x:v>RECONSTRUCTED_FROM_REPORT</x:v>
      </x:c>
      <x:c r="O201" s="25" t="str">
        <x:v>UNRESOLVED</x:v>
      </x:c>
      <x:c r="P201" s="24" t="str">
        <x:v>Fear of Temperature_ Stratified Lexical Expansion, Voice Mapping, and Semantic-Relational Pre-Valida.pdf</x:v>
      </x:c>
      <x:c r="Q201" s="25" t="str">
        <x:v>RECONSTRUCTED_FROM_REPORT</x:v>
      </x:c>
      <x:c r="R201" s="27" t="str">
        <x:v>New surrogate project ID assigned from the compact report table; never an original later-stage structured candidate ID.</x:v>
      </x:c>
    </x:row>
    <x:row r="202" ht="19" customHeight="1">
      <x:c r="A202" s="23" t="str">
        <x:v>FT-SEED-R1B-P-1842-27</x:v>
      </x:c>
      <x:c r="B202" s="25" t="str">
        <x:v>PRIORITY_180</x:v>
      </x:c>
      <x:c r="C202" s="24" t="str"/>
      <x:c r="D202" s="25" t="str">
        <x:v>6</x:v>
      </x:c>
      <x:c r="E202" s="24" t="str">
        <x:v>FT-A1842</x:v>
      </x:c>
      <x:c r="F202" s="24" t="str">
        <x:v>premature heat of the weather</x:v>
      </x:c>
      <x:c r="G202" s="25" t="str">
        <x:v>A</x:v>
      </x:c>
      <x:c r="H202" s="25" t="str">
        <x:v>V5</x:v>
      </x:c>
      <x:c r="I202" s="24" t="str">
        <x:v>S1842-DICKENS</x:v>
      </x:c>
      <x:c r="J202" s="25" t="str"/>
      <x:c r="K202" s="25" t="str">
        <x:v>PRIORITY_RANK=27;ORIGINAL_ROW_CONFIDENCE_NOT_EXPOSED</x:v>
      </x:c>
      <x:c r="L202" s="24" t="str">
        <x:v>NOT_EXPOSED</x:v>
      </x:c>
      <x:c r="M202" s="25" t="str">
        <x:v>PRIORITY_RANK_27</x:v>
      </x:c>
      <x:c r="N202" s="25" t="str">
        <x:v>RECONSTRUCTED_FROM_REPORT</x:v>
      </x:c>
      <x:c r="O202" s="25" t="str">
        <x:v>UNRESOLVED</x:v>
      </x:c>
      <x:c r="P202" s="24" t="str">
        <x:v>Fear of Temperature_ Stratified Lexical Expansion, Voice Mapping, and Semantic-Relational Pre-Valida.pdf</x:v>
      </x:c>
      <x:c r="Q202" s="25" t="str">
        <x:v>RECONSTRUCTED_FROM_REPORT</x:v>
      </x:c>
      <x:c r="R202" s="27" t="str">
        <x:v>New surrogate project ID assigned from the compact report table; never an original later-stage structured candidate ID.</x:v>
      </x:c>
    </x:row>
    <x:row r="203" ht="19" customHeight="1">
      <x:c r="A203" s="23" t="str">
        <x:v>FT-SEED-R1B-P-1842-08</x:v>
      </x:c>
      <x:c r="B203" s="25" t="str">
        <x:v>PRIORITY_180</x:v>
      </x:c>
      <x:c r="C203" s="24" t="str"/>
      <x:c r="D203" s="25" t="str">
        <x:v>7</x:v>
      </x:c>
      <x:c r="E203" s="24" t="str">
        <x:v>FT-A1842</x:v>
      </x:c>
      <x:c r="F203" s="24" t="str">
        <x:v>standard thermometer</x:v>
      </x:c>
      <x:c r="G203" s="25" t="str">
        <x:v>A</x:v>
      </x:c>
      <x:c r="H203" s="25" t="str">
        <x:v>V1</x:v>
      </x:c>
      <x:c r="I203" s="24" t="str">
        <x:v>S1842-RS-COLABA</x:v>
      </x:c>
      <x:c r="J203" s="25" t="str"/>
      <x:c r="K203" s="25" t="str">
        <x:v>PRIORITY_RANK=8;ORIGINAL_ROW_CONFIDENCE_NOT_EXPOSED</x:v>
      </x:c>
      <x:c r="L203" s="24" t="str">
        <x:v>NOT_EXPOSED</x:v>
      </x:c>
      <x:c r="M203" s="25" t="str">
        <x:v>PRIORITY_RANK_08</x:v>
      </x:c>
      <x:c r="N203" s="25" t="str">
        <x:v>RECONSTRUCTED_FROM_REPORT</x:v>
      </x:c>
      <x:c r="O203" s="25" t="str">
        <x:v>UNRESOLVED</x:v>
      </x:c>
      <x:c r="P203" s="24" t="str">
        <x:v>Fear of Temperature_ Stratified Lexical Expansion, Voice Mapping, and Semantic-Relational Pre-Valida.pdf</x:v>
      </x:c>
      <x:c r="Q203" s="25" t="str">
        <x:v>RECONSTRUCTED_FROM_REPORT</x:v>
      </x:c>
      <x:c r="R203" s="27" t="str">
        <x:v>New surrogate project ID assigned from the compact report table; never an original later-stage structured candidate ID.</x:v>
      </x:c>
    </x:row>
    <x:row r="204" ht="19" customHeight="1">
      <x:c r="A204" s="23" t="str">
        <x:v>FT-SEED-R1B-P-1842-09</x:v>
      </x:c>
      <x:c r="B204" s="25" t="str">
        <x:v>PRIORITY_180</x:v>
      </x:c>
      <x:c r="C204" s="24" t="str"/>
      <x:c r="D204" s="25" t="str">
        <x:v>7</x:v>
      </x:c>
      <x:c r="E204" s="24" t="str">
        <x:v>FT-A1842</x:v>
      </x:c>
      <x:c r="F204" s="24" t="str">
        <x:v>attached thermometer</x:v>
      </x:c>
      <x:c r="G204" s="25" t="str">
        <x:v>A</x:v>
      </x:c>
      <x:c r="H204" s="25" t="str">
        <x:v>V1</x:v>
      </x:c>
      <x:c r="I204" s="24" t="str">
        <x:v>S1842-RS-COLABA</x:v>
      </x:c>
      <x:c r="J204" s="25" t="str"/>
      <x:c r="K204" s="25" t="str">
        <x:v>PRIORITY_RANK=9;ORIGINAL_ROW_CONFIDENCE_NOT_EXPOSED</x:v>
      </x:c>
      <x:c r="L204" s="24" t="str">
        <x:v>NOT_EXPOSED</x:v>
      </x:c>
      <x:c r="M204" s="25" t="str">
        <x:v>PRIORITY_RANK_09</x:v>
      </x:c>
      <x:c r="N204" s="25" t="str">
        <x:v>RECONSTRUCTED_FROM_REPORT</x:v>
      </x:c>
      <x:c r="O204" s="25" t="str">
        <x:v>UNRESOLVED</x:v>
      </x:c>
      <x:c r="P204" s="24" t="str">
        <x:v>Fear of Temperature_ Stratified Lexical Expansion, Voice Mapping, and Semantic-Relational Pre-Valida.pdf</x:v>
      </x:c>
      <x:c r="Q204" s="25" t="str">
        <x:v>RECONSTRUCTED_FROM_REPORT</x:v>
      </x:c>
      <x:c r="R204" s="27" t="str">
        <x:v>New surrogate project ID assigned from the compact report table; never an original later-stage structured candidate ID.</x:v>
      </x:c>
    </x:row>
    <x:row r="205" ht="19" customHeight="1">
      <x:c r="A205" s="23" t="str">
        <x:v>FT-SEED-R1B-P-1842-10</x:v>
      </x:c>
      <x:c r="B205" s="25" t="str">
        <x:v>PRIORITY_180</x:v>
      </x:c>
      <x:c r="C205" s="24" t="str"/>
      <x:c r="D205" s="25" t="str">
        <x:v>7</x:v>
      </x:c>
      <x:c r="E205" s="24" t="str">
        <x:v>FT-A1842</x:v>
      </x:c>
      <x:c r="F205" s="24" t="str">
        <x:v>dry bulb thermometer</x:v>
      </x:c>
      <x:c r="G205" s="25" t="str">
        <x:v>A</x:v>
      </x:c>
      <x:c r="H205" s="25" t="str">
        <x:v>V1</x:v>
      </x:c>
      <x:c r="I205" s="24" t="str">
        <x:v>S1842-RS-COLABA</x:v>
      </x:c>
      <x:c r="J205" s="25" t="str"/>
      <x:c r="K205" s="25" t="str">
        <x:v>PRIORITY_RANK=10;ORIGINAL_ROW_CONFIDENCE_NOT_EXPOSED</x:v>
      </x:c>
      <x:c r="L205" s="24" t="str">
        <x:v>NOT_EXPOSED</x:v>
      </x:c>
      <x:c r="M205" s="25" t="str">
        <x:v>PRIORITY_RANK_10</x:v>
      </x:c>
      <x:c r="N205" s="25" t="str">
        <x:v>RECONSTRUCTED_FROM_REPORT</x:v>
      </x:c>
      <x:c r="O205" s="25" t="str">
        <x:v>UNRESOLVED</x:v>
      </x:c>
      <x:c r="P205" s="24" t="str">
        <x:v>Fear of Temperature_ Stratified Lexical Expansion, Voice Mapping, and Semantic-Relational Pre-Valida.pdf</x:v>
      </x:c>
      <x:c r="Q205" s="25" t="str">
        <x:v>RECONSTRUCTED_FROM_REPORT</x:v>
      </x:c>
      <x:c r="R205" s="27" t="str">
        <x:v>New surrogate project ID assigned from the compact report table; never an original later-stage structured candidate ID.</x:v>
      </x:c>
    </x:row>
    <x:row r="206" ht="19" customHeight="1">
      <x:c r="A206" s="23" t="str">
        <x:v>FT-SEED-R1B-P-1842-18</x:v>
      </x:c>
      <x:c r="B206" s="25" t="str">
        <x:v>PRIORITY_180</x:v>
      </x:c>
      <x:c r="C206" s="24" t="str"/>
      <x:c r="D206" s="25" t="str">
        <x:v>7</x:v>
      </x:c>
      <x:c r="E206" s="24" t="str">
        <x:v>FT-A1842</x:v>
      </x:c>
      <x:c r="F206" s="24" t="str">
        <x:v>changes of temperature</x:v>
      </x:c>
      <x:c r="G206" s="25" t="str">
        <x:v>A</x:v>
      </x:c>
      <x:c r="H206" s="25" t="str">
        <x:v>V2</x:v>
      </x:c>
      <x:c r="I206" s="24" t="str">
        <x:v>S1842-CHADWICK</x:v>
      </x:c>
      <x:c r="J206" s="25" t="str"/>
      <x:c r="K206" s="25" t="str">
        <x:v>PRIORITY_RANK=18;ORIGINAL_ROW_CONFIDENCE_NOT_EXPOSED</x:v>
      </x:c>
      <x:c r="L206" s="24" t="str">
        <x:v>NOT_EXPOSED</x:v>
      </x:c>
      <x:c r="M206" s="25" t="str">
        <x:v>PRIORITY_RANK_18</x:v>
      </x:c>
      <x:c r="N206" s="25" t="str">
        <x:v>RECONSTRUCTED_FROM_REPORT</x:v>
      </x:c>
      <x:c r="O206" s="25" t="str">
        <x:v>UNRESOLVED</x:v>
      </x:c>
      <x:c r="P206" s="24" t="str">
        <x:v>Fear of Temperature_ Stratified Lexical Expansion, Voice Mapping, and Semantic-Relational Pre-Valida.pdf</x:v>
      </x:c>
      <x:c r="Q206" s="25" t="str">
        <x:v>RECONSTRUCTED_FROM_REPORT</x:v>
      </x:c>
      <x:c r="R206" s="27" t="str">
        <x:v>New surrogate project ID assigned from the compact report table; never an original later-stage structured candidate ID.</x:v>
      </x:c>
    </x:row>
    <x:row r="207" ht="19" customHeight="1">
      <x:c r="A207" s="23" t="str">
        <x:v>FT-SEED-R1B-P-1842-19</x:v>
      </x:c>
      <x:c r="B207" s="25" t="str">
        <x:v>PRIORITY_180</x:v>
      </x:c>
      <x:c r="C207" s="24" t="str"/>
      <x:c r="D207" s="25" t="str">
        <x:v>7</x:v>
      </x:c>
      <x:c r="E207" s="24" t="str">
        <x:v>FT-A1842</x:v>
      </x:c>
      <x:c r="F207" s="24" t="str">
        <x:v>excessive heat</x:v>
      </x:c>
      <x:c r="G207" s="25" t="str">
        <x:v>D</x:v>
      </x:c>
      <x:c r="H207" s="25" t="str">
        <x:v>V5</x:v>
      </x:c>
      <x:c r="I207" s="24" t="str">
        <x:v>S1842-CHADWICK</x:v>
      </x:c>
      <x:c r="J207" s="25" t="str"/>
      <x:c r="K207" s="25" t="str">
        <x:v>PRIORITY_RANK=19;ORIGINAL_ROW_CONFIDENCE_NOT_EXPOSED</x:v>
      </x:c>
      <x:c r="L207" s="24" t="str">
        <x:v>NOT_EXPOSED</x:v>
      </x:c>
      <x:c r="M207" s="25" t="str">
        <x:v>PRIORITY_RANK_19</x:v>
      </x:c>
      <x:c r="N207" s="25" t="str">
        <x:v>RECONSTRUCTED_FROM_REPORT</x:v>
      </x:c>
      <x:c r="O207" s="25" t="str">
        <x:v>UNRESOLVED</x:v>
      </x:c>
      <x:c r="P207" s="24" t="str">
        <x:v>Fear of Temperature_ Stratified Lexical Expansion, Voice Mapping, and Semantic-Relational Pre-Valida.pdf</x:v>
      </x:c>
      <x:c r="Q207" s="25" t="str">
        <x:v>RECONSTRUCTED_FROM_REPORT</x:v>
      </x:c>
      <x:c r="R207" s="27" t="str">
        <x:v>New surrogate project ID assigned from the compact report table; never an original later-stage structured candidate ID.</x:v>
      </x:c>
    </x:row>
    <x:row r="208" ht="19" customHeight="1">
      <x:c r="A208" s="23" t="str">
        <x:v>FT-SEED-R1B-P-1842-20</x:v>
      </x:c>
      <x:c r="B208" s="25" t="str">
        <x:v>PRIORITY_180</x:v>
      </x:c>
      <x:c r="C208" s="24" t="str"/>
      <x:c r="D208" s="25" t="str">
        <x:v>7</x:v>
      </x:c>
      <x:c r="E208" s="24" t="str">
        <x:v>FT-A1842</x:v>
      </x:c>
      <x:c r="F208" s="24" t="str">
        <x:v>heat of the men</x:v>
      </x:c>
      <x:c r="G208" s="25" t="str">
        <x:v>A</x:v>
      </x:c>
      <x:c r="H208" s="25" t="str">
        <x:v>V5</x:v>
      </x:c>
      <x:c r="I208" s="24" t="str">
        <x:v>S1842-CHADWICK</x:v>
      </x:c>
      <x:c r="J208" s="25" t="str"/>
      <x:c r="K208" s="25" t="str">
        <x:v>PRIORITY_RANK=20;ORIGINAL_ROW_CONFIDENCE_NOT_EXPOSED</x:v>
      </x:c>
      <x:c r="L208" s="24" t="str">
        <x:v>NOT_EXPOSED</x:v>
      </x:c>
      <x:c r="M208" s="25" t="str">
        <x:v>PRIORITY_RANK_20</x:v>
      </x:c>
      <x:c r="N208" s="25" t="str">
        <x:v>RECONSTRUCTED_FROM_REPORT</x:v>
      </x:c>
      <x:c r="O208" s="25" t="str">
        <x:v>UNRESOLVED</x:v>
      </x:c>
      <x:c r="P208" s="24" t="str">
        <x:v>Fear of Temperature_ Stratified Lexical Expansion, Voice Mapping, and Semantic-Relational Pre-Valida.pdf</x:v>
      </x:c>
      <x:c r="Q208" s="25" t="str">
        <x:v>RECONSTRUCTED_FROM_REPORT</x:v>
      </x:c>
      <x:c r="R208" s="27" t="str">
        <x:v>New surrogate project ID assigned from the compact report table; never an original later-stage structured candidate ID.</x:v>
      </x:c>
    </x:row>
    <x:row r="209" ht="19" customHeight="1">
      <x:c r="A209" s="23" t="str">
        <x:v>FT-SEED-R1B-P-1842-28</x:v>
      </x:c>
      <x:c r="B209" s="25" t="str">
        <x:v>PRIORITY_180</x:v>
      </x:c>
      <x:c r="C209" s="24" t="str"/>
      <x:c r="D209" s="25" t="str">
        <x:v>7</x:v>
      </x:c>
      <x:c r="E209" s="24" t="str">
        <x:v>FT-A1842</x:v>
      </x:c>
      <x:c r="F209" s="24" t="str">
        <x:v>suffered more from cold than from heat</x:v>
      </x:c>
      <x:c r="G209" s="25" t="str">
        <x:v>D</x:v>
      </x:c>
      <x:c r="H209" s="25" t="str">
        <x:v>V1</x:v>
      </x:c>
      <x:c r="I209" s="24" t="str">
        <x:v>S1842-LEICHHARDT-L</x:v>
      </x:c>
      <x:c r="J209" s="25" t="str"/>
      <x:c r="K209" s="25" t="str">
        <x:v>PRIORITY_RANK=28;ORIGINAL_ROW_CONFIDENCE_NOT_EXPOSED</x:v>
      </x:c>
      <x:c r="L209" s="24" t="str">
        <x:v>NOT_EXPOSED</x:v>
      </x:c>
      <x:c r="M209" s="25" t="str">
        <x:v>PRIORITY_RANK_28</x:v>
      </x:c>
      <x:c r="N209" s="25" t="str">
        <x:v>RECONSTRUCTED_FROM_REPORT</x:v>
      </x:c>
      <x:c r="O209" s="25" t="str">
        <x:v>UNRESOLVED</x:v>
      </x:c>
      <x:c r="P209" s="24" t="str">
        <x:v>Fear of Temperature_ Stratified Lexical Expansion, Voice Mapping, and Semantic-Relational Pre-Valida.pdf</x:v>
      </x:c>
      <x:c r="Q209" s="25" t="str">
        <x:v>RECONSTRUCTED_FROM_REPORT</x:v>
      </x:c>
      <x:c r="R209" s="27" t="str">
        <x:v>New surrogate project ID assigned from the compact report table; never an original later-stage structured candidate ID.</x:v>
      </x:c>
    </x:row>
    <x:row r="210" ht="19" customHeight="1">
      <x:c r="A210" s="23" t="str">
        <x:v>FT-SEED-R1B-P-1842-29</x:v>
      </x:c>
      <x:c r="B210" s="25" t="str">
        <x:v>PRIORITY_180</x:v>
      </x:c>
      <x:c r="C210" s="24" t="str"/>
      <x:c r="D210" s="25" t="str">
        <x:v>7</x:v>
      </x:c>
      <x:c r="E210" s="24" t="str">
        <x:v>FT-A1842</x:v>
      </x:c>
      <x:c r="F210" s="24" t="str">
        <x:v>sickness and mortality</x:v>
      </x:c>
      <x:c r="G210" s="25" t="str">
        <x:v>D</x:v>
      </x:c>
      <x:c r="H210" s="25" t="str">
        <x:v>V2</x:v>
      </x:c>
      <x:c r="I210" s="24" t="str">
        <x:v>S1842-CHADWICK</x:v>
      </x:c>
      <x:c r="J210" s="25" t="str"/>
      <x:c r="K210" s="25" t="str">
        <x:v>PRIORITY_RANK=29;ORIGINAL_ROW_CONFIDENCE_NOT_EXPOSED</x:v>
      </x:c>
      <x:c r="L210" s="24" t="str">
        <x:v>NOT_EXPOSED</x:v>
      </x:c>
      <x:c r="M210" s="25" t="str">
        <x:v>PRIORITY_RANK_29</x:v>
      </x:c>
      <x:c r="N210" s="25" t="str">
        <x:v>RECONSTRUCTED_FROM_REPORT</x:v>
      </x:c>
      <x:c r="O210" s="25" t="str">
        <x:v>UNRESOLVED</x:v>
      </x:c>
      <x:c r="P210" s="24" t="str">
        <x:v>Fear of Temperature_ Stratified Lexical Expansion, Voice Mapping, and Semantic-Relational Pre-Valida.pdf</x:v>
      </x:c>
      <x:c r="Q210" s="25" t="str">
        <x:v>RECONSTRUCTED_FROM_REPORT</x:v>
      </x:c>
      <x:c r="R210" s="27" t="str">
        <x:v>New surrogate project ID assigned from the compact report table; never an original later-stage structured candidate ID.</x:v>
      </x:c>
    </x:row>
    <x:row r="211" ht="19" customHeight="1">
      <x:c r="A211" s="23" t="str">
        <x:v>FT-SEED-R1B-P-1842-30</x:v>
      </x:c>
      <x:c r="B211" s="25" t="str">
        <x:v>PRIORITY_180</x:v>
      </x:c>
      <x:c r="C211" s="24" t="str"/>
      <x:c r="D211" s="25" t="str">
        <x:v>7</x:v>
      </x:c>
      <x:c r="E211" s="24" t="str">
        <x:v>FT-A1842</x:v>
      </x:c>
      <x:c r="F211" s="24" t="str">
        <x:v>alarm to the public</x:v>
      </x:c>
      <x:c r="G211" s="25" t="str">
        <x:v>C</x:v>
      </x:c>
      <x:c r="H211" s="25" t="str">
        <x:v>V3</x:v>
      </x:c>
      <x:c r="I211" s="24" t="str">
        <x:v>S1842-TIMES</x:v>
      </x:c>
      <x:c r="J211" s="25" t="str"/>
      <x:c r="K211" s="25" t="str">
        <x:v>PRIORITY_RANK=30;ORIGINAL_ROW_CONFIDENCE_NOT_EXPOSED</x:v>
      </x:c>
      <x:c r="L211" s="24" t="str">
        <x:v>NOT_EXPOSED</x:v>
      </x:c>
      <x:c r="M211" s="25" t="str">
        <x:v>PRIORITY_RANK_30</x:v>
      </x:c>
      <x:c r="N211" s="25" t="str">
        <x:v>RECONSTRUCTED_FROM_REPORT</x:v>
      </x:c>
      <x:c r="O211" s="25" t="str">
        <x:v>UNRESOLVED</x:v>
      </x:c>
      <x:c r="P211" s="24" t="str">
        <x:v>Fear of Temperature_ Stratified Lexical Expansion, Voice Mapping, and Semantic-Relational Pre-Valida.pdf</x:v>
      </x:c>
      <x:c r="Q211" s="25" t="str">
        <x:v>RECONSTRUCTED_FROM_REPORT</x:v>
      </x:c>
      <x:c r="R211" s="27" t="str">
        <x:v>New surrogate project ID assigned from the compact report table; never an original later-stage structured candidate ID.</x:v>
      </x:c>
    </x:row>
    <x:row r="212" ht="19" customHeight="1">
      <x:c r="A212" s="23" t="str">
        <x:v>FT-SEED-R1B-P-1938-01</x:v>
      </x:c>
      <x:c r="B212" s="25" t="str">
        <x:v>PRIORITY_180</x:v>
      </x:c>
      <x:c r="C212" s="24" t="str"/>
      <x:c r="D212" s="25" t="str">
        <x:v>7</x:v>
      </x:c>
      <x:c r="E212" s="24" t="str">
        <x:v>FT-A1938</x:v>
      </x:c>
      <x:c r="F212" s="24" t="str">
        <x:v>artificial production of carbon dioxide</x:v>
      </x:c>
      <x:c r="G212" s="25" t="str">
        <x:v>B</x:v>
      </x:c>
      <x:c r="H212" s="25" t="str">
        <x:v>V1</x:v>
      </x:c>
      <x:c r="I212" s="24" t="str">
        <x:v>S1938-CALLENDAR</x:v>
      </x:c>
      <x:c r="J212" s="25" t="str"/>
      <x:c r="K212" s="25" t="str">
        <x:v>PRIORITY_RANK=1;ORIGINAL_ROW_CONFIDENCE_NOT_EXPOSED</x:v>
      </x:c>
      <x:c r="L212" s="24" t="str">
        <x:v>NOT_EXPOSED</x:v>
      </x:c>
      <x:c r="M212" s="25" t="str">
        <x:v>PRIORITY_RANK_01</x:v>
      </x:c>
      <x:c r="N212" s="25" t="str">
        <x:v>RECONSTRUCTED_FROM_REPORT</x:v>
      </x:c>
      <x:c r="O212" s="25" t="str">
        <x:v>UNRESOLVED</x:v>
      </x:c>
      <x:c r="P212" s="24" t="str">
        <x:v>Fear of Temperature_ Stratified Lexical Expansion, Voice Mapping, and Semantic-Relational Pre-Valida.pdf</x:v>
      </x:c>
      <x:c r="Q212" s="25" t="str">
        <x:v>RECONSTRUCTED_FROM_REPORT</x:v>
      </x:c>
      <x:c r="R212" s="27" t="str">
        <x:v>New surrogate project ID assigned from the compact report table; never an original later-stage structured candidate ID.</x:v>
      </x:c>
    </x:row>
    <x:row r="213" ht="19" customHeight="1">
      <x:c r="A213" s="23" t="str">
        <x:v>FT-SEED-R1B-P-1938-02</x:v>
      </x:c>
      <x:c r="B213" s="25" t="str">
        <x:v>PRIORITY_180</x:v>
      </x:c>
      <x:c r="C213" s="24" t="str"/>
      <x:c r="D213" s="25" t="str">
        <x:v>7</x:v>
      </x:c>
      <x:c r="E213" s="24" t="str">
        <x:v>FT-A1938</x:v>
      </x:c>
      <x:c r="F213" s="24" t="str">
        <x:v>carbon dioxide</x:v>
      </x:c>
      <x:c r="G213" s="25" t="str">
        <x:v>B</x:v>
      </x:c>
      <x:c r="H213" s="25" t="str">
        <x:v>V1</x:v>
      </x:c>
      <x:c r="I213" s="24" t="str">
        <x:v>S1938-CALLENDAR</x:v>
      </x:c>
      <x:c r="J213" s="25" t="str"/>
      <x:c r="K213" s="25" t="str">
        <x:v>PRIORITY_RANK=2;ORIGINAL_ROW_CONFIDENCE_NOT_EXPOSED</x:v>
      </x:c>
      <x:c r="L213" s="24" t="str">
        <x:v>NOT_EXPOSED</x:v>
      </x:c>
      <x:c r="M213" s="25" t="str">
        <x:v>PRIORITY_RANK_02</x:v>
      </x:c>
      <x:c r="N213" s="25" t="str">
        <x:v>RECONSTRUCTED_FROM_REPORT</x:v>
      </x:c>
      <x:c r="O213" s="25" t="str">
        <x:v>UNRESOLVED</x:v>
      </x:c>
      <x:c r="P213" s="24" t="str">
        <x:v>Fear of Temperature_ Stratified Lexical Expansion, Voice Mapping, and Semantic-Relational Pre-Valida.pdf</x:v>
      </x:c>
      <x:c r="Q213" s="25" t="str">
        <x:v>RECONSTRUCTED_FROM_REPORT</x:v>
      </x:c>
      <x:c r="R213" s="27" t="str">
        <x:v>New surrogate project ID assigned from the compact report table; never an original later-stage structured candidate ID.</x:v>
      </x:c>
    </x:row>
    <x:row r="214" ht="19" customHeight="1">
      <x:c r="A214" s="23" t="str">
        <x:v>FT-SEED-R1B-P-1938-11</x:v>
      </x:c>
      <x:c r="B214" s="25" t="str">
        <x:v>PRIORITY_180</x:v>
      </x:c>
      <x:c r="C214" s="24" t="str"/>
      <x:c r="D214" s="25" t="str">
        <x:v>7</x:v>
      </x:c>
      <x:c r="E214" s="24" t="str">
        <x:v>FT-A1938</x:v>
      </x:c>
      <x:c r="F214" s="24" t="str">
        <x:v>temperature observations</x:v>
      </x:c>
      <x:c r="G214" s="25" t="str">
        <x:v>A</x:v>
      </x:c>
      <x:c r="H214" s="25" t="str">
        <x:v>V1</x:v>
      </x:c>
      <x:c r="I214" s="24" t="str">
        <x:v>S1938-CALLENDAR</x:v>
      </x:c>
      <x:c r="J214" s="25" t="str"/>
      <x:c r="K214" s="25" t="str">
        <x:v>PRIORITY_RANK=11;ORIGINAL_ROW_CONFIDENCE_NOT_EXPOSED</x:v>
      </x:c>
      <x:c r="L214" s="24" t="str">
        <x:v>NOT_EXPOSED</x:v>
      </x:c>
      <x:c r="M214" s="25" t="str">
        <x:v>PRIORITY_RANK_11</x:v>
      </x:c>
      <x:c r="N214" s="25" t="str">
        <x:v>RECONSTRUCTED_FROM_REPORT</x:v>
      </x:c>
      <x:c r="O214" s="25" t="str">
        <x:v>UNRESOLVED</x:v>
      </x:c>
      <x:c r="P214" s="24" t="str">
        <x:v>Fear of Temperature_ Stratified Lexical Expansion, Voice Mapping, and Semantic-Relational Pre-Valida.pdf</x:v>
      </x:c>
      <x:c r="Q214" s="25" t="str">
        <x:v>RECONSTRUCTED_FROM_REPORT</x:v>
      </x:c>
      <x:c r="R214" s="27" t="str">
        <x:v>New surrogate project ID assigned from the compact report table; never an original later-stage structured candidate ID.</x:v>
      </x:c>
    </x:row>
    <x:row r="215" ht="19" customHeight="1">
      <x:c r="A215" s="23" t="str">
        <x:v>FT-SEED-R1B-P-1938-12</x:v>
      </x:c>
      <x:c r="B215" s="25" t="str">
        <x:v>PRIORITY_180</x:v>
      </x:c>
      <x:c r="C215" s="24" t="str"/>
      <x:c r="D215" s="25" t="str">
        <x:v>7</x:v>
      </x:c>
      <x:c r="E215" s="24" t="str">
        <x:v>FT-A1938</x:v>
      </x:c>
      <x:c r="F215" s="24" t="str">
        <x:v>meteorological stations</x:v>
      </x:c>
      <x:c r="G215" s="25" t="str">
        <x:v>B</x:v>
      </x:c>
      <x:c r="H215" s="25" t="str">
        <x:v>V1</x:v>
      </x:c>
      <x:c r="I215" s="24" t="str">
        <x:v>S1938-CALLENDAR</x:v>
      </x:c>
      <x:c r="J215" s="25" t="str"/>
      <x:c r="K215" s="25" t="str">
        <x:v>PRIORITY_RANK=12;ORIGINAL_ROW_CONFIDENCE_NOT_EXPOSED</x:v>
      </x:c>
      <x:c r="L215" s="24" t="str">
        <x:v>NOT_EXPOSED</x:v>
      </x:c>
      <x:c r="M215" s="25" t="str">
        <x:v>PRIORITY_RANK_12</x:v>
      </x:c>
      <x:c r="N215" s="25" t="str">
        <x:v>RECONSTRUCTED_FROM_REPORT</x:v>
      </x:c>
      <x:c r="O215" s="25" t="str">
        <x:v>UNRESOLVED</x:v>
      </x:c>
      <x:c r="P215" s="24" t="str">
        <x:v>Fear of Temperature_ Stratified Lexical Expansion, Voice Mapping, and Semantic-Relational Pre-Valida.pdf</x:v>
      </x:c>
      <x:c r="Q215" s="25" t="str">
        <x:v>RECONSTRUCTED_FROM_REPORT</x:v>
      </x:c>
      <x:c r="R215" s="27" t="str">
        <x:v>New surrogate project ID assigned from the compact report table; never an original later-stage structured candidate ID.</x:v>
      </x:c>
    </x:row>
    <x:row r="216" ht="19" customHeight="1">
      <x:c r="A216" s="23" t="str">
        <x:v>FT-SEED-R1B-P-1938-21</x:v>
      </x:c>
      <x:c r="B216" s="25" t="str">
        <x:v>PRIORITY_180</x:v>
      </x:c>
      <x:c r="C216" s="24" t="str"/>
      <x:c r="D216" s="25" t="str">
        <x:v>7</x:v>
      </x:c>
      <x:c r="E216" s="24" t="str">
        <x:v>FT-A1938</x:v>
      </x:c>
      <x:c r="F216" s="24" t="str">
        <x:v>heat wave</x:v>
      </x:c>
      <x:c r="G216" s="25" t="str">
        <x:v>A</x:v>
      </x:c>
      <x:c r="H216" s="25" t="str">
        <x:v>V3</x:v>
      </x:c>
      <x:c r="I216" s="24" t="str">
        <x:v>S1938-COURIER</x:v>
      </x:c>
      <x:c r="J216" s="25" t="str"/>
      <x:c r="K216" s="25" t="str">
        <x:v>PRIORITY_RANK=21;ORIGINAL_ROW_CONFIDENCE_NOT_EXPOSED</x:v>
      </x:c>
      <x:c r="L216" s="24" t="str">
        <x:v>NOT_EXPOSED</x:v>
      </x:c>
      <x:c r="M216" s="25" t="str">
        <x:v>PRIORITY_RANK_21</x:v>
      </x:c>
      <x:c r="N216" s="25" t="str">
        <x:v>RECONSTRUCTED_FROM_REPORT</x:v>
      </x:c>
      <x:c r="O216" s="25" t="str">
        <x:v>UNRESOLVED</x:v>
      </x:c>
      <x:c r="P216" s="24" t="str">
        <x:v>Fear of Temperature_ Stratified Lexical Expansion, Voice Mapping, and Semantic-Relational Pre-Valida.pdf</x:v>
      </x:c>
      <x:c r="Q216" s="25" t="str">
        <x:v>RECONSTRUCTED_FROM_REPORT</x:v>
      </x:c>
      <x:c r="R216" s="27" t="str">
        <x:v>New surrogate project ID assigned from the compact report table; never an original later-stage structured candidate ID.</x:v>
      </x:c>
    </x:row>
    <x:row r="217" ht="19" customHeight="1">
      <x:c r="A217" s="23" t="str">
        <x:v>FT-SEED-R1B-P-1938-22</x:v>
      </x:c>
      <x:c r="B217" s="25" t="str">
        <x:v>PRIORITY_180</x:v>
      </x:c>
      <x:c r="C217" s="24" t="str"/>
      <x:c r="D217" s="25" t="str">
        <x:v>7</x:v>
      </x:c>
      <x:c r="E217" s="24" t="str">
        <x:v>FT-A1938</x:v>
      </x:c>
      <x:c r="F217" s="24" t="str">
        <x:v>40-degree temperatures</x:v>
      </x:c>
      <x:c r="G217" s="25" t="str">
        <x:v>A</x:v>
      </x:c>
      <x:c r="H217" s="25" t="str">
        <x:v>V3</x:v>
      </x:c>
      <x:c r="I217" s="24" t="str">
        <x:v>S1938-COURIER</x:v>
      </x:c>
      <x:c r="J217" s="25" t="str"/>
      <x:c r="K217" s="25" t="str">
        <x:v>PRIORITY_RANK=22;ORIGINAL_ROW_CONFIDENCE_NOT_EXPOSED</x:v>
      </x:c>
      <x:c r="L217" s="24" t="str">
        <x:v>NOT_EXPOSED</x:v>
      </x:c>
      <x:c r="M217" s="25" t="str">
        <x:v>PRIORITY_RANK_22</x:v>
      </x:c>
      <x:c r="N217" s="25" t="str">
        <x:v>RECONSTRUCTED_FROM_REPORT</x:v>
      </x:c>
      <x:c r="O217" s="25" t="str">
        <x:v>UNRESOLVED</x:v>
      </x:c>
      <x:c r="P217" s="24" t="str">
        <x:v>Fear of Temperature_ Stratified Lexical Expansion, Voice Mapping, and Semantic-Relational Pre-Valida.pdf</x:v>
      </x:c>
      <x:c r="Q217" s="25" t="str">
        <x:v>RECONSTRUCTED_FROM_REPORT</x:v>
      </x:c>
      <x:c r="R217" s="27" t="str">
        <x:v>New surrogate project ID assigned from the compact report table; never an original later-stage structured candidate ID.</x:v>
      </x:c>
    </x:row>
    <x:row r="218" ht="19" customHeight="1">
      <x:c r="A218" s="23" t="str">
        <x:v>FT-SEED-R1B-P-1938-03</x:v>
      </x:c>
      <x:c r="B218" s="25" t="str">
        <x:v>PRIORITY_180</x:v>
      </x:c>
      <x:c r="C218" s="24" t="str"/>
      <x:c r="D218" s="25" t="str">
        <x:v>8</x:v>
      </x:c>
      <x:c r="E218" s="24" t="str">
        <x:v>FT-A1938</x:v>
      </x:c>
      <x:c r="F218" s="24" t="str">
        <x:v>fuel combustion</x:v>
      </x:c>
      <x:c r="G218" s="25" t="str">
        <x:v>B</x:v>
      </x:c>
      <x:c r="H218" s="25" t="str">
        <x:v>V1</x:v>
      </x:c>
      <x:c r="I218" s="24" t="str">
        <x:v>S1938-CALLENDAR</x:v>
      </x:c>
      <x:c r="J218" s="25" t="str"/>
      <x:c r="K218" s="25" t="str">
        <x:v>PRIORITY_RANK=3;ORIGINAL_ROW_CONFIDENCE_NOT_EXPOSED</x:v>
      </x:c>
      <x:c r="L218" s="24" t="str">
        <x:v>NOT_EXPOSED</x:v>
      </x:c>
      <x:c r="M218" s="25" t="str">
        <x:v>PRIORITY_RANK_03</x:v>
      </x:c>
      <x:c r="N218" s="25" t="str">
        <x:v>RECONSTRUCTED_FROM_REPORT</x:v>
      </x:c>
      <x:c r="O218" s="25" t="str">
        <x:v>UNRESOLVED</x:v>
      </x:c>
      <x:c r="P218" s="24" t="str">
        <x:v>Fear of Temperature_ Stratified Lexical Expansion, Voice Mapping, and Semantic-Relational Pre-Valida.pdf</x:v>
      </x:c>
      <x:c r="Q218" s="25" t="str">
        <x:v>RECONSTRUCTED_FROM_REPORT</x:v>
      </x:c>
      <x:c r="R218" s="27" t="str">
        <x:v>New surrogate project ID assigned from the compact report table; never an original later-stage structured candidate ID.</x:v>
      </x:c>
    </x:row>
    <x:row r="219" ht="19" customHeight="1">
      <x:c r="A219" s="23" t="str">
        <x:v>FT-SEED-R1B-P-1938-04</x:v>
      </x:c>
      <x:c r="B219" s="25" t="str">
        <x:v>PRIORITY_180</x:v>
      </x:c>
      <x:c r="C219" s="24" t="str"/>
      <x:c r="D219" s="25" t="str">
        <x:v>8</x:v>
      </x:c>
      <x:c r="E219" s="24" t="str">
        <x:v>FT-A1938</x:v>
      </x:c>
      <x:c r="F219" s="24" t="str">
        <x:v>air</x:v>
      </x:c>
      <x:c r="G219" s="25" t="str">
        <x:v>B</x:v>
      </x:c>
      <x:c r="H219" s="25" t="str">
        <x:v>V1</x:v>
      </x:c>
      <x:c r="I219" s="24" t="str">
        <x:v>S1938-CALLENDAR</x:v>
      </x:c>
      <x:c r="J219" s="25" t="str"/>
      <x:c r="K219" s="25" t="str">
        <x:v>PRIORITY_RANK=4;ORIGINAL_ROW_CONFIDENCE_NOT_EXPOSED</x:v>
      </x:c>
      <x:c r="L219" s="24" t="str">
        <x:v>NOT_EXPOSED</x:v>
      </x:c>
      <x:c r="M219" s="25" t="str">
        <x:v>PRIORITY_RANK_04</x:v>
      </x:c>
      <x:c r="N219" s="25" t="str">
        <x:v>RECONSTRUCTED_FROM_REPORT</x:v>
      </x:c>
      <x:c r="O219" s="25" t="str">
        <x:v>UNRESOLVED</x:v>
      </x:c>
      <x:c r="P219" s="24" t="str">
        <x:v>Fear of Temperature_ Stratified Lexical Expansion, Voice Mapping, and Semantic-Relational Pre-Valida.pdf</x:v>
      </x:c>
      <x:c r="Q219" s="25" t="str">
        <x:v>RECONSTRUCTED_FROM_REPORT</x:v>
      </x:c>
      <x:c r="R219" s="27" t="str">
        <x:v>New surrogate project ID assigned from the compact report table; never an original later-stage structured candidate ID.</x:v>
      </x:c>
    </x:row>
    <x:row r="220" ht="19" customHeight="1">
      <x:c r="A220" s="23" t="str">
        <x:v>FT-SEED-R1B-P-1938-05</x:v>
      </x:c>
      <x:c r="B220" s="25" t="str">
        <x:v>PRIORITY_180</x:v>
      </x:c>
      <x:c r="C220" s="24" t="str"/>
      <x:c r="D220" s="25" t="str">
        <x:v>8</x:v>
      </x:c>
      <x:c r="E220" s="24" t="str">
        <x:v>FT-A1938</x:v>
      </x:c>
      <x:c r="F220" s="24" t="str">
        <x:v>atmosphere</x:v>
      </x:c>
      <x:c r="G220" s="25" t="str">
        <x:v>B</x:v>
      </x:c>
      <x:c r="H220" s="25" t="str">
        <x:v>V1</x:v>
      </x:c>
      <x:c r="I220" s="24" t="str">
        <x:v>S1938-CALLENDAR</x:v>
      </x:c>
      <x:c r="J220" s="25" t="str"/>
      <x:c r="K220" s="25" t="str">
        <x:v>PRIORITY_RANK=5;ORIGINAL_ROW_CONFIDENCE_NOT_EXPOSED</x:v>
      </x:c>
      <x:c r="L220" s="24" t="str">
        <x:v>NOT_EXPOSED</x:v>
      </x:c>
      <x:c r="M220" s="25" t="str">
        <x:v>PRIORITY_RANK_05</x:v>
      </x:c>
      <x:c r="N220" s="25" t="str">
        <x:v>RECONSTRUCTED_FROM_REPORT</x:v>
      </x:c>
      <x:c r="O220" s="25" t="str">
        <x:v>UNRESOLVED</x:v>
      </x:c>
      <x:c r="P220" s="24" t="str">
        <x:v>Fear of Temperature_ Stratified Lexical Expansion, Voice Mapping, and Semantic-Relational Pre-Valida.pdf</x:v>
      </x:c>
      <x:c r="Q220" s="25" t="str">
        <x:v>RECONSTRUCTED_FROM_REPORT</x:v>
      </x:c>
      <x:c r="R220" s="27" t="str">
        <x:v>New surrogate project ID assigned from the compact report table; never an original later-stage structured candidate ID.</x:v>
      </x:c>
    </x:row>
    <x:row r="221" ht="19" customHeight="1">
      <x:c r="A221" s="23" t="str">
        <x:v>FT-SEED-R1B-P-1938-06</x:v>
      </x:c>
      <x:c r="B221" s="25" t="str">
        <x:v>PRIORITY_180</x:v>
      </x:c>
      <x:c r="C221" s="24" t="str"/>
      <x:c r="D221" s="25" t="str">
        <x:v>8</x:v>
      </x:c>
      <x:c r="E221" s="24" t="str">
        <x:v>FT-A1938</x:v>
      </x:c>
      <x:c r="F221" s="24" t="str">
        <x:v>radiation absorption coefficients</x:v>
      </x:c>
      <x:c r="G221" s="25" t="str">
        <x:v>B</x:v>
      </x:c>
      <x:c r="H221" s="25" t="str">
        <x:v>V1</x:v>
      </x:c>
      <x:c r="I221" s="24" t="str">
        <x:v>S1938-CALLENDAR</x:v>
      </x:c>
      <x:c r="J221" s="25" t="str"/>
      <x:c r="K221" s="25" t="str">
        <x:v>PRIORITY_RANK=6;ORIGINAL_ROW_CONFIDENCE_NOT_EXPOSED</x:v>
      </x:c>
      <x:c r="L221" s="24" t="str">
        <x:v>NOT_EXPOSED</x:v>
      </x:c>
      <x:c r="M221" s="25" t="str">
        <x:v>PRIORITY_RANK_06</x:v>
      </x:c>
      <x:c r="N221" s="25" t="str">
        <x:v>RECONSTRUCTED_FROM_REPORT</x:v>
      </x:c>
      <x:c r="O221" s="25" t="str">
        <x:v>UNRESOLVED</x:v>
      </x:c>
      <x:c r="P221" s="24" t="str">
        <x:v>Fear of Temperature_ Stratified Lexical Expansion, Voice Mapping, and Semantic-Relational Pre-Valida.pdf</x:v>
      </x:c>
      <x:c r="Q221" s="25" t="str">
        <x:v>RECONSTRUCTED_FROM_REPORT</x:v>
      </x:c>
      <x:c r="R221" s="27" t="str">
        <x:v>New surrogate project ID assigned from the compact report table; never an original later-stage structured candidate ID.</x:v>
      </x:c>
    </x:row>
    <x:row r="222" ht="19" customHeight="1">
      <x:c r="A222" s="23" t="str">
        <x:v>FT-SEED-R1B-P-1938-07</x:v>
      </x:c>
      <x:c r="B222" s="25" t="str">
        <x:v>PRIORITY_180</x:v>
      </x:c>
      <x:c r="C222" s="24" t="str"/>
      <x:c r="D222" s="25" t="str">
        <x:v>8</x:v>
      </x:c>
      <x:c r="E222" s="24" t="str">
        <x:v>FT-A1938</x:v>
      </x:c>
      <x:c r="F222" s="24" t="str">
        <x:v>water vapour</x:v>
      </x:c>
      <x:c r="G222" s="25" t="str">
        <x:v>B</x:v>
      </x:c>
      <x:c r="H222" s="25" t="str">
        <x:v>V1</x:v>
      </x:c>
      <x:c r="I222" s="24" t="str">
        <x:v>S1938-CALLENDAR</x:v>
      </x:c>
      <x:c r="J222" s="25" t="str"/>
      <x:c r="K222" s="25" t="str">
        <x:v>PRIORITY_RANK=7;ORIGINAL_ROW_CONFIDENCE_NOT_EXPOSED</x:v>
      </x:c>
      <x:c r="L222" s="24" t="str">
        <x:v>NOT_EXPOSED</x:v>
      </x:c>
      <x:c r="M222" s="25" t="str">
        <x:v>PRIORITY_RANK_07</x:v>
      </x:c>
      <x:c r="N222" s="25" t="str">
        <x:v>RECONSTRUCTED_FROM_REPORT</x:v>
      </x:c>
      <x:c r="O222" s="25" t="str">
        <x:v>UNRESOLVED</x:v>
      </x:c>
      <x:c r="P222" s="24" t="str">
        <x:v>Fear of Temperature_ Stratified Lexical Expansion, Voice Mapping, and Semantic-Relational Pre-Valida.pdf</x:v>
      </x:c>
      <x:c r="Q222" s="25" t="str">
        <x:v>RECONSTRUCTED_FROM_REPORT</x:v>
      </x:c>
      <x:c r="R222" s="27" t="str">
        <x:v>New surrogate project ID assigned from the compact report table; never an original later-stage structured candidate ID.</x:v>
      </x:c>
    </x:row>
    <x:row r="223" ht="19" customHeight="1">
      <x:c r="A223" s="23" t="str">
        <x:v>FT-SEED-R1B-P-1938-08</x:v>
      </x:c>
      <x:c r="B223" s="25" t="str">
        <x:v>PRIORITY_180</x:v>
      </x:c>
      <x:c r="C223" s="24" t="str"/>
      <x:c r="D223" s="25" t="str">
        <x:v>8</x:v>
      </x:c>
      <x:c r="E223" s="24" t="str">
        <x:v>FT-A1938</x:v>
      </x:c>
      <x:c r="F223" s="24" t="str">
        <x:v>sky radiation</x:v>
      </x:c>
      <x:c r="G223" s="25" t="str">
        <x:v>B</x:v>
      </x:c>
      <x:c r="H223" s="25" t="str">
        <x:v>V1</x:v>
      </x:c>
      <x:c r="I223" s="24" t="str">
        <x:v>S1938-CALLENDAR</x:v>
      </x:c>
      <x:c r="J223" s="25" t="str"/>
      <x:c r="K223" s="25" t="str">
        <x:v>PRIORITY_RANK=8;ORIGINAL_ROW_CONFIDENCE_NOT_EXPOSED</x:v>
      </x:c>
      <x:c r="L223" s="24" t="str">
        <x:v>NOT_EXPOSED</x:v>
      </x:c>
      <x:c r="M223" s="25" t="str">
        <x:v>PRIORITY_RANK_08</x:v>
      </x:c>
      <x:c r="N223" s="25" t="str">
        <x:v>RECONSTRUCTED_FROM_REPORT</x:v>
      </x:c>
      <x:c r="O223" s="25" t="str">
        <x:v>UNRESOLVED</x:v>
      </x:c>
      <x:c r="P223" s="24" t="str">
        <x:v>Fear of Temperature_ Stratified Lexical Expansion, Voice Mapping, and Semantic-Relational Pre-Valida.pdf</x:v>
      </x:c>
      <x:c r="Q223" s="25" t="str">
        <x:v>RECONSTRUCTED_FROM_REPORT</x:v>
      </x:c>
      <x:c r="R223" s="27" t="str">
        <x:v>New surrogate project ID assigned from the compact report table; never an original later-stage structured candidate ID.</x:v>
      </x:c>
    </x:row>
    <x:row r="224" ht="19" customHeight="1">
      <x:c r="A224" s="23" t="str">
        <x:v>FT-SEED-R1B-P-1938-09</x:v>
      </x:c>
      <x:c r="B224" s="25" t="str">
        <x:v>PRIORITY_180</x:v>
      </x:c>
      <x:c r="C224" s="24" t="str"/>
      <x:c r="D224" s="25" t="str">
        <x:v>8</x:v>
      </x:c>
      <x:c r="E224" s="24" t="str">
        <x:v>FT-A1938</x:v>
      </x:c>
      <x:c r="F224" s="24" t="str">
        <x:v>increase in mean temperature</x:v>
      </x:c>
      <x:c r="G224" s="25" t="str">
        <x:v>A</x:v>
      </x:c>
      <x:c r="H224" s="25" t="str">
        <x:v>V1</x:v>
      </x:c>
      <x:c r="I224" s="24" t="str">
        <x:v>S1938-CALLENDAR</x:v>
      </x:c>
      <x:c r="J224" s="25" t="str"/>
      <x:c r="K224" s="25" t="str">
        <x:v>PRIORITY_RANK=9;ORIGINAL_ROW_CONFIDENCE_NOT_EXPOSED</x:v>
      </x:c>
      <x:c r="L224" s="24" t="str">
        <x:v>NOT_EXPOSED</x:v>
      </x:c>
      <x:c r="M224" s="25" t="str">
        <x:v>PRIORITY_RANK_09</x:v>
      </x:c>
      <x:c r="N224" s="25" t="str">
        <x:v>RECONSTRUCTED_FROM_REPORT</x:v>
      </x:c>
      <x:c r="O224" s="25" t="str">
        <x:v>UNRESOLVED</x:v>
      </x:c>
      <x:c r="P224" s="24" t="str">
        <x:v>Fear of Temperature_ Stratified Lexical Expansion, Voice Mapping, and Semantic-Relational Pre-Valida.pdf</x:v>
      </x:c>
      <x:c r="Q224" s="25" t="str">
        <x:v>RECONSTRUCTED_FROM_REPORT</x:v>
      </x:c>
      <x:c r="R224" s="27" t="str">
        <x:v>New surrogate project ID assigned from the compact report table; never an original later-stage structured candidate ID.</x:v>
      </x:c>
    </x:row>
    <x:row r="225" ht="19" customHeight="1">
      <x:c r="A225" s="23" t="str">
        <x:v>FT-SEED-R1B-P-1938-10</x:v>
      </x:c>
      <x:c r="B225" s="25" t="str">
        <x:v>PRIORITY_180</x:v>
      </x:c>
      <x:c r="C225" s="24" t="str"/>
      <x:c r="D225" s="25" t="str">
        <x:v>8</x:v>
      </x:c>
      <x:c r="E225" s="24" t="str">
        <x:v>FT-A1938</x:v>
      </x:c>
      <x:c r="F225" s="24" t="str">
        <x:v>mean temperature</x:v>
      </x:c>
      <x:c r="G225" s="25" t="str">
        <x:v>A</x:v>
      </x:c>
      <x:c r="H225" s="25" t="str">
        <x:v>V1</x:v>
      </x:c>
      <x:c r="I225" s="24" t="str">
        <x:v>S1938-CALLENDAR</x:v>
      </x:c>
      <x:c r="J225" s="25" t="str"/>
      <x:c r="K225" s="25" t="str">
        <x:v>PRIORITY_RANK=10;ORIGINAL_ROW_CONFIDENCE_NOT_EXPOSED</x:v>
      </x:c>
      <x:c r="L225" s="24" t="str">
        <x:v>NOT_EXPOSED</x:v>
      </x:c>
      <x:c r="M225" s="25" t="str">
        <x:v>PRIORITY_RANK_10</x:v>
      </x:c>
      <x:c r="N225" s="25" t="str">
        <x:v>RECONSTRUCTED_FROM_REPORT</x:v>
      </x:c>
      <x:c r="O225" s="25" t="str">
        <x:v>UNRESOLVED</x:v>
      </x:c>
      <x:c r="P225" s="24" t="str">
        <x:v>Fear of Temperature_ Stratified Lexical Expansion, Voice Mapping, and Semantic-Relational Pre-Valida.pdf</x:v>
      </x:c>
      <x:c r="Q225" s="25" t="str">
        <x:v>RECONSTRUCTED_FROM_REPORT</x:v>
      </x:c>
      <x:c r="R225" s="27" t="str">
        <x:v>New surrogate project ID assigned from the compact report table; never an original later-stage structured candidate ID.</x:v>
      </x:c>
    </x:row>
    <x:row r="226" ht="19" customHeight="1">
      <x:c r="A226" s="23" t="str">
        <x:v>FT-SEED-R1B-P-1938-13</x:v>
      </x:c>
      <x:c r="B226" s="25" t="str">
        <x:v>PRIORITY_180</x:v>
      </x:c>
      <x:c r="C226" s="24" t="str"/>
      <x:c r="D226" s="25" t="str">
        <x:v>8</x:v>
      </x:c>
      <x:c r="E226" s="24" t="str">
        <x:v>FT-A1938</x:v>
      </x:c>
      <x:c r="F226" s="24" t="str">
        <x:v>world temperatures</x:v>
      </x:c>
      <x:c r="G226" s="25" t="str">
        <x:v>A</x:v>
      </x:c>
      <x:c r="H226" s="25" t="str">
        <x:v>V1</x:v>
      </x:c>
      <x:c r="I226" s="24" t="str">
        <x:v>S1938-CALLENDAR</x:v>
      </x:c>
      <x:c r="J226" s="25" t="str"/>
      <x:c r="K226" s="25" t="str">
        <x:v>PRIORITY_RANK=13;ORIGINAL_ROW_CONFIDENCE_NOT_EXPOSED</x:v>
      </x:c>
      <x:c r="L226" s="24" t="str">
        <x:v>NOT_EXPOSED</x:v>
      </x:c>
      <x:c r="M226" s="25" t="str">
        <x:v>PRIORITY_RANK_13</x:v>
      </x:c>
      <x:c r="N226" s="25" t="str">
        <x:v>RECONSTRUCTED_FROM_REPORT</x:v>
      </x:c>
      <x:c r="O226" s="25" t="str">
        <x:v>UNRESOLVED</x:v>
      </x:c>
      <x:c r="P226" s="24" t="str">
        <x:v>Fear of Temperature_ Stratified Lexical Expansion, Voice Mapping, and Semantic-Relational Pre-Valida.pdf</x:v>
      </x:c>
      <x:c r="Q226" s="25" t="str">
        <x:v>RECONSTRUCTED_FROM_REPORT</x:v>
      </x:c>
      <x:c r="R226" s="27" t="str">
        <x:v>New surrogate project ID assigned from the compact report table; never an original later-stage structured candidate ID.</x:v>
      </x:c>
    </x:row>
    <x:row r="227" ht="19" customHeight="1">
      <x:c r="A227" s="23" t="str">
        <x:v>FT-SEED-R1B-P-1938-14</x:v>
      </x:c>
      <x:c r="B227" s="25" t="str">
        <x:v>PRIORITY_180</x:v>
      </x:c>
      <x:c r="C227" s="24" t="str"/>
      <x:c r="D227" s="25" t="str">
        <x:v>8</x:v>
      </x:c>
      <x:c r="E227" s="24" t="str">
        <x:v>FT-A1938</x:v>
      </x:c>
      <x:c r="F227" s="24" t="str">
        <x:v>actually increased</x:v>
      </x:c>
      <x:c r="G227" s="25" t="str">
        <x:v>A</x:v>
      </x:c>
      <x:c r="H227" s="25" t="str">
        <x:v>V1</x:v>
      </x:c>
      <x:c r="I227" s="24" t="str">
        <x:v>S1938-CALLENDAR</x:v>
      </x:c>
      <x:c r="J227" s="25" t="str"/>
      <x:c r="K227" s="25" t="str">
        <x:v>PRIORITY_RANK=14;ORIGINAL_ROW_CONFIDENCE_NOT_EXPOSED</x:v>
      </x:c>
      <x:c r="L227" s="24" t="str">
        <x:v>NOT_EXPOSED</x:v>
      </x:c>
      <x:c r="M227" s="25" t="str">
        <x:v>PRIORITY_RANK_14</x:v>
      </x:c>
      <x:c r="N227" s="25" t="str">
        <x:v>RECONSTRUCTED_FROM_REPORT</x:v>
      </x:c>
      <x:c r="O227" s="25" t="str">
        <x:v>UNRESOLVED</x:v>
      </x:c>
      <x:c r="P227" s="24" t="str">
        <x:v>Fear of Temperature_ Stratified Lexical Expansion, Voice Mapping, and Semantic-Relational Pre-Valida.pdf</x:v>
      </x:c>
      <x:c r="Q227" s="25" t="str">
        <x:v>RECONSTRUCTED_FROM_REPORT</x:v>
      </x:c>
      <x:c r="R227" s="27" t="str">
        <x:v>New surrogate project ID assigned from the compact report table; never an original later-stage structured candidate ID.</x:v>
      </x:c>
    </x:row>
    <x:row r="228" ht="19" customHeight="1">
      <x:c r="A228" s="23" t="str">
        <x:v>FT-SEED-R1B-P-1938-15</x:v>
      </x:c>
      <x:c r="B228" s="25" t="str">
        <x:v>PRIORITY_180</x:v>
      </x:c>
      <x:c r="C228" s="24" t="str"/>
      <x:c r="D228" s="25" t="str">
        <x:v>8</x:v>
      </x:c>
      <x:c r="E228" s="24" t="str">
        <x:v>FT-A1938</x:v>
      </x:c>
      <x:c r="F228" s="24" t="str">
        <x:v>average rate</x:v>
      </x:c>
      <x:c r="G228" s="25" t="str">
        <x:v>A</x:v>
      </x:c>
      <x:c r="H228" s="25" t="str">
        <x:v>V1</x:v>
      </x:c>
      <x:c r="I228" s="24" t="str">
        <x:v>S1938-CALLENDAR</x:v>
      </x:c>
      <x:c r="J228" s="25" t="str"/>
      <x:c r="K228" s="25" t="str">
        <x:v>PRIORITY_RANK=15;ORIGINAL_ROW_CONFIDENCE_NOT_EXPOSED</x:v>
      </x:c>
      <x:c r="L228" s="24" t="str">
        <x:v>NOT_EXPOSED</x:v>
      </x:c>
      <x:c r="M228" s="25" t="str">
        <x:v>PRIORITY_RANK_15</x:v>
      </x:c>
      <x:c r="N228" s="25" t="str">
        <x:v>RECONSTRUCTED_FROM_REPORT</x:v>
      </x:c>
      <x:c r="O228" s="25" t="str">
        <x:v>UNRESOLVED</x:v>
      </x:c>
      <x:c r="P228" s="24" t="str">
        <x:v>Fear of Temperature_ Stratified Lexical Expansion, Voice Mapping, and Semantic-Relational Pre-Valida.pdf</x:v>
      </x:c>
      <x:c r="Q228" s="25" t="str">
        <x:v>RECONSTRUCTED_FROM_REPORT</x:v>
      </x:c>
      <x:c r="R228" s="27" t="str">
        <x:v>New surrogate project ID assigned from the compact report table; never an original later-stage structured candidate ID.</x:v>
      </x:c>
    </x:row>
    <x:row r="229" ht="19" customHeight="1">
      <x:c r="A229" s="23" t="str">
        <x:v>FT-SEED-R1B-P-1938-16</x:v>
      </x:c>
      <x:c r="B229" s="25" t="str">
        <x:v>PRIORITY_180</x:v>
      </x:c>
      <x:c r="C229" s="24" t="str"/>
      <x:c r="D229" s="25" t="str">
        <x:v>8</x:v>
      </x:c>
      <x:c r="E229" s="24" t="str">
        <x:v>FT-A1938</x:v>
      </x:c>
      <x:c r="F229" s="24" t="str">
        <x:v>small increases in mean temperature</x:v>
      </x:c>
      <x:c r="G229" s="25" t="str">
        <x:v>A</x:v>
      </x:c>
      <x:c r="H229" s="25" t="str">
        <x:v>V1</x:v>
      </x:c>
      <x:c r="I229" s="24" t="str">
        <x:v>S1938-WIRED-CALLENDAR</x:v>
      </x:c>
      <x:c r="J229" s="25" t="str"/>
      <x:c r="K229" s="25" t="str">
        <x:v>PRIORITY_RANK=16;ORIGINAL_ROW_CONFIDENCE_NOT_EXPOSED</x:v>
      </x:c>
      <x:c r="L229" s="24" t="str">
        <x:v>NOT_EXPOSED</x:v>
      </x:c>
      <x:c r="M229" s="25" t="str">
        <x:v>PRIORITY_RANK_16</x:v>
      </x:c>
      <x:c r="N229" s="25" t="str">
        <x:v>RECONSTRUCTED_FROM_REPORT</x:v>
      </x:c>
      <x:c r="O229" s="25" t="str">
        <x:v>UNRESOLVED</x:v>
      </x:c>
      <x:c r="P229" s="24" t="str">
        <x:v>Fear of Temperature_ Stratified Lexical Expansion, Voice Mapping, and Semantic-Relational Pre-Valida.pdf</x:v>
      </x:c>
      <x:c r="Q229" s="25" t="str">
        <x:v>RECONSTRUCTED_FROM_REPORT</x:v>
      </x:c>
      <x:c r="R229" s="27" t="str">
        <x:v>New surrogate project ID assigned from the compact report table; never an original later-stage structured candidate ID.</x:v>
      </x:c>
    </x:row>
    <x:row r="230" ht="19" customHeight="1">
      <x:c r="A230" s="23" t="str">
        <x:v>FT-SEED-R1B-P-1938-17</x:v>
      </x:c>
      <x:c r="B230" s="25" t="str">
        <x:v>PRIORITY_180</x:v>
      </x:c>
      <x:c r="C230" s="24" t="str"/>
      <x:c r="D230" s="25" t="str">
        <x:v>8</x:v>
      </x:c>
      <x:c r="E230" s="24" t="str">
        <x:v>FT-A1938</x:v>
      </x:c>
      <x:c r="F230" s="24" t="str">
        <x:v>deadly glaciers</x:v>
      </x:c>
      <x:c r="G230" s="25" t="str">
        <x:v>D</x:v>
      </x:c>
      <x:c r="H230" s="25" t="str">
        <x:v>V1</x:v>
      </x:c>
      <x:c r="I230" s="24" t="str">
        <x:v>S1938-WIRED-CALLENDAR</x:v>
      </x:c>
      <x:c r="J230" s="25" t="str"/>
      <x:c r="K230" s="25" t="str">
        <x:v>PRIORITY_RANK=17;ORIGINAL_ROW_CONFIDENCE_NOT_EXPOSED</x:v>
      </x:c>
      <x:c r="L230" s="24" t="str">
        <x:v>NOT_EXPOSED</x:v>
      </x:c>
      <x:c r="M230" s="25" t="str">
        <x:v>PRIORITY_RANK_17</x:v>
      </x:c>
      <x:c r="N230" s="25" t="str">
        <x:v>RECONSTRUCTED_FROM_REPORT</x:v>
      </x:c>
      <x:c r="O230" s="25" t="str">
        <x:v>UNRESOLVED</x:v>
      </x:c>
      <x:c r="P230" s="24" t="str">
        <x:v>Fear of Temperature_ Stratified Lexical Expansion, Voice Mapping, and Semantic-Relational Pre-Valida.pdf</x:v>
      </x:c>
      <x:c r="Q230" s="25" t="str">
        <x:v>RECONSTRUCTED_FROM_REPORT</x:v>
      </x:c>
      <x:c r="R230" s="27" t="str">
        <x:v>New surrogate project ID assigned from the compact report table; never an original later-stage structured candidate ID.</x:v>
      </x:c>
    </x:row>
    <x:row r="231" ht="19" customHeight="1">
      <x:c r="A231" s="23" t="str">
        <x:v>FT-SEED-R1B-P-1938-18</x:v>
      </x:c>
      <x:c r="B231" s="25" t="str">
        <x:v>PRIORITY_180</x:v>
      </x:c>
      <x:c r="C231" s="24" t="str"/>
      <x:c r="D231" s="25" t="str">
        <x:v>8</x:v>
      </x:c>
      <x:c r="E231" s="24" t="str">
        <x:v>FT-A1938</x:v>
      </x:c>
      <x:c r="F231" s="24" t="str">
        <x:v>rather a coincidence</x:v>
      </x:c>
      <x:c r="G231" s="25" t="str">
        <x:v>C</x:v>
      </x:c>
      <x:c r="H231" s="25" t="str">
        <x:v>V1</x:v>
      </x:c>
      <x:c r="I231" s="24" t="str">
        <x:v>S1938-SHI-RECEPTION</x:v>
      </x:c>
      <x:c r="J231" s="25" t="str">
        <x:v>E2</x:v>
      </x:c>
      <x:c r="K231" s="25" t="str">
        <x:v>PRIORITY_RANK=18;ORIGINAL_ROW_CONFIDENCE_NOT_EXPOSED</x:v>
      </x:c>
      <x:c r="L231" s="24" t="str">
        <x:v>NOT_EXPOSED</x:v>
      </x:c>
      <x:c r="M231" s="25" t="str">
        <x:v>PRIORITY_RANK_18</x:v>
      </x:c>
      <x:c r="N231" s="25" t="str">
        <x:v>RECONSTRUCTED_FROM_REPORT</x:v>
      </x:c>
      <x:c r="O231" s="25" t="str">
        <x:v>UNRESOLVED</x:v>
      </x:c>
      <x:c r="P231" s="24" t="str">
        <x:v>Fear of Temperature_ Stratified Lexical Expansion, Voice Mapping, and Semantic-Relational Pre-Valida.pdf</x:v>
      </x:c>
      <x:c r="Q231" s="25" t="str">
        <x:v>RECONSTRUCTED_FROM_REPORT</x:v>
      </x:c>
      <x:c r="R231" s="27" t="str">
        <x:v>New surrogate project ID assigned from the compact report table; never an original later-stage structured candidate ID.</x:v>
      </x:c>
    </x:row>
    <x:row r="232" ht="19" customHeight="1">
      <x:c r="A232" s="23" t="str">
        <x:v>FT-SEED-R1B-P-1938-19</x:v>
      </x:c>
      <x:c r="B232" s="25" t="str">
        <x:v>PRIORITY_180</x:v>
      </x:c>
      <x:c r="C232" s="24" t="str"/>
      <x:c r="D232" s="25" t="str">
        <x:v>8</x:v>
      </x:c>
      <x:c r="E232" s="24" t="str">
        <x:v>FT-A1938</x:v>
      </x:c>
      <x:c r="F232" s="24" t="str">
        <x:v>Hottest Day for Ten Years</x:v>
      </x:c>
      <x:c r="G232" s="25" t="str">
        <x:v>A</x:v>
      </x:c>
      <x:c r="H232" s="25" t="str">
        <x:v>V3</x:v>
      </x:c>
      <x:c r="I232" s="24" t="str">
        <x:v>S1938-COURIER</x:v>
      </x:c>
      <x:c r="J232" s="25" t="str"/>
      <x:c r="K232" s="25" t="str">
        <x:v>PRIORITY_RANK=19;ORIGINAL_ROW_CONFIDENCE_NOT_EXPOSED</x:v>
      </x:c>
      <x:c r="L232" s="24" t="str">
        <x:v>NOT_EXPOSED</x:v>
      </x:c>
      <x:c r="M232" s="25" t="str">
        <x:v>PRIORITY_RANK_19</x:v>
      </x:c>
      <x:c r="N232" s="25" t="str">
        <x:v>RECONSTRUCTED_FROM_REPORT</x:v>
      </x:c>
      <x:c r="O232" s="25" t="str">
        <x:v>UNRESOLVED</x:v>
      </x:c>
      <x:c r="P232" s="24" t="str">
        <x:v>Fear of Temperature_ Stratified Lexical Expansion, Voice Mapping, and Semantic-Relational Pre-Valida.pdf</x:v>
      </x:c>
      <x:c r="Q232" s="25" t="str">
        <x:v>RECONSTRUCTED_FROM_REPORT</x:v>
      </x:c>
      <x:c r="R232" s="27" t="str">
        <x:v>New surrogate project ID assigned from the compact report table; never an original later-stage structured candidate ID.</x:v>
      </x:c>
    </x:row>
    <x:row r="233" ht="19" customHeight="1">
      <x:c r="A233" s="23" t="str">
        <x:v>FT-SEED-R1B-P-1938-20</x:v>
      </x:c>
      <x:c r="B233" s="25" t="str">
        <x:v>PRIORITY_180</x:v>
      </x:c>
      <x:c r="C233" s="24" t="str"/>
      <x:c r="D233" s="25" t="str">
        <x:v>8</x:v>
      </x:c>
      <x:c r="E233" s="24" t="str">
        <x:v>FT-A1938</x:v>
      </x:c>
      <x:c r="F233" s="24" t="str">
        <x:v>Heat Wave Over Queensland</x:v>
      </x:c>
      <x:c r="G233" s="25" t="str">
        <x:v>A</x:v>
      </x:c>
      <x:c r="H233" s="25" t="str">
        <x:v>V3</x:v>
      </x:c>
      <x:c r="I233" s="24" t="str">
        <x:v>S1938-COURIER</x:v>
      </x:c>
      <x:c r="J233" s="25" t="str"/>
      <x:c r="K233" s="25" t="str">
        <x:v>PRIORITY_RANK=20;ORIGINAL_ROW_CONFIDENCE_NOT_EXPOSED</x:v>
      </x:c>
      <x:c r="L233" s="24" t="str">
        <x:v>NOT_EXPOSED</x:v>
      </x:c>
      <x:c r="M233" s="25" t="str">
        <x:v>PRIORITY_RANK_20</x:v>
      </x:c>
      <x:c r="N233" s="25" t="str">
        <x:v>RECONSTRUCTED_FROM_REPORT</x:v>
      </x:c>
      <x:c r="O233" s="25" t="str">
        <x:v>UNRESOLVED</x:v>
      </x:c>
      <x:c r="P233" s="24" t="str">
        <x:v>Fear of Temperature_ Stratified Lexical Expansion, Voice Mapping, and Semantic-Relational Pre-Valida.pdf</x:v>
      </x:c>
      <x:c r="Q233" s="25" t="str">
        <x:v>RECONSTRUCTED_FROM_REPORT</x:v>
      </x:c>
      <x:c r="R233" s="27" t="str">
        <x:v>New surrogate project ID assigned from the compact report table; never an original later-stage structured candidate ID.</x:v>
      </x:c>
    </x:row>
    <x:row r="234" ht="19" customHeight="1">
      <x:c r="A234" s="23" t="str">
        <x:v>FT-SEED-R1B-P-1938-23</x:v>
      </x:c>
      <x:c r="B234" s="25" t="str">
        <x:v>PRIORITY_180</x:v>
      </x:c>
      <x:c r="C234" s="24" t="str"/>
      <x:c r="D234" s="25" t="str">
        <x:v>8</x:v>
      </x:c>
      <x:c r="E234" s="24" t="str">
        <x:v>FT-A1938</x:v>
      </x:c>
      <x:c r="F234" s="24" t="str">
        <x:v>scorching westerly wind</x:v>
      </x:c>
      <x:c r="G234" s="25" t="str">
        <x:v>D</x:v>
      </x:c>
      <x:c r="H234" s="25" t="str">
        <x:v>V3</x:v>
      </x:c>
      <x:c r="I234" s="24" t="str">
        <x:v>S1938-COURIER</x:v>
      </x:c>
      <x:c r="J234" s="25" t="str"/>
      <x:c r="K234" s="25" t="str">
        <x:v>PRIORITY_RANK=23;ORIGINAL_ROW_CONFIDENCE_NOT_EXPOSED</x:v>
      </x:c>
      <x:c r="L234" s="24" t="str">
        <x:v>NOT_EXPOSED</x:v>
      </x:c>
      <x:c r="M234" s="25" t="str">
        <x:v>PRIORITY_RANK_23</x:v>
      </x:c>
      <x:c r="N234" s="25" t="str">
        <x:v>RECONSTRUCTED_FROM_REPORT</x:v>
      </x:c>
      <x:c r="O234" s="25" t="str">
        <x:v>UNRESOLVED</x:v>
      </x:c>
      <x:c r="P234" s="24" t="str">
        <x:v>Fear of Temperature_ Stratified Lexical Expansion, Voice Mapping, and Semantic-Relational Pre-Valida.pdf</x:v>
      </x:c>
      <x:c r="Q234" s="25" t="str">
        <x:v>RECONSTRUCTED_FROM_REPORT</x:v>
      </x:c>
      <x:c r="R234" s="27" t="str">
        <x:v>New surrogate project ID assigned from the compact report table; never an original later-stage structured candidate ID.</x:v>
      </x:c>
    </x:row>
    <x:row r="235" ht="19" customHeight="1">
      <x:c r="A235" s="23" t="str">
        <x:v>FT-SEED-R1B-P-1938-24</x:v>
      </x:c>
      <x:c r="B235" s="25" t="str">
        <x:v>PRIORITY_180</x:v>
      </x:c>
      <x:c r="C235" s="24" t="str"/>
      <x:c r="D235" s="25" t="str">
        <x:v>8</x:v>
      </x:c>
      <x:c r="E235" s="24" t="str">
        <x:v>FT-A1938</x:v>
      </x:c>
      <x:c r="F235" s="24" t="str">
        <x:v>pitiless sun</x:v>
      </x:c>
      <x:c r="G235" s="25" t="str">
        <x:v>D</x:v>
      </x:c>
      <x:c r="H235" s="25" t="str">
        <x:v>V3</x:v>
      </x:c>
      <x:c r="I235" s="24" t="str">
        <x:v>S1938-COURIER</x:v>
      </x:c>
      <x:c r="J235" s="25" t="str"/>
      <x:c r="K235" s="25" t="str">
        <x:v>PRIORITY_RANK=24;ORIGINAL_ROW_CONFIDENCE_NOT_EXPOSED</x:v>
      </x:c>
      <x:c r="L235" s="24" t="str">
        <x:v>NOT_EXPOSED</x:v>
      </x:c>
      <x:c r="M235" s="25" t="str">
        <x:v>PRIORITY_RANK_24</x:v>
      </x:c>
      <x:c r="N235" s="25" t="str">
        <x:v>RECONSTRUCTED_FROM_REPORT</x:v>
      </x:c>
      <x:c r="O235" s="25" t="str">
        <x:v>UNRESOLVED</x:v>
      </x:c>
      <x:c r="P235" s="24" t="str">
        <x:v>Fear of Temperature_ Stratified Lexical Expansion, Voice Mapping, and Semantic-Relational Pre-Valida.pdf</x:v>
      </x:c>
      <x:c r="Q235" s="25" t="str">
        <x:v>RECONSTRUCTED_FROM_REPORT</x:v>
      </x:c>
      <x:c r="R235" s="27" t="str">
        <x:v>New surrogate project ID assigned from the compact report table; never an original later-stage structured candidate ID.</x:v>
      </x:c>
    </x:row>
    <x:row r="236" ht="19" customHeight="1">
      <x:c r="A236" s="23" t="str">
        <x:v>FT-SEED-R1B-P-1938-25</x:v>
      </x:c>
      <x:c r="B236" s="25" t="str">
        <x:v>PRIORITY_180</x:v>
      </x:c>
      <x:c r="C236" s="24" t="str"/>
      <x:c r="D236" s="25" t="str">
        <x:v>8</x:v>
      </x:c>
      <x:c r="E236" s="24" t="str">
        <x:v>FT-A1938</x:v>
      </x:c>
      <x:c r="F236" s="24" t="str">
        <x:v>hottest spell for years</x:v>
      </x:c>
      <x:c r="G236" s="25" t="str">
        <x:v>A</x:v>
      </x:c>
      <x:c r="H236" s="25" t="str">
        <x:v>V3</x:v>
      </x:c>
      <x:c r="I236" s="24" t="str">
        <x:v>S1938-COURIER</x:v>
      </x:c>
      <x:c r="J236" s="25" t="str"/>
      <x:c r="K236" s="25" t="str">
        <x:v>PRIORITY_RANK=25;ORIGINAL_ROW_CONFIDENCE_NOT_EXPOSED</x:v>
      </x:c>
      <x:c r="L236" s="24" t="str">
        <x:v>NOT_EXPOSED</x:v>
      </x:c>
      <x:c r="M236" s="25" t="str">
        <x:v>PRIORITY_RANK_25</x:v>
      </x:c>
      <x:c r="N236" s="25" t="str">
        <x:v>RECONSTRUCTED_FROM_REPORT</x:v>
      </x:c>
      <x:c r="O236" s="25" t="str">
        <x:v>UNRESOLVED</x:v>
      </x:c>
      <x:c r="P236" s="24" t="str">
        <x:v>Fear of Temperature_ Stratified Lexical Expansion, Voice Mapping, and Semantic-Relational Pre-Valida.pdf</x:v>
      </x:c>
      <x:c r="Q236" s="25" t="str">
        <x:v>RECONSTRUCTED_FROM_REPORT</x:v>
      </x:c>
      <x:c r="R236" s="27" t="str">
        <x:v>New surrogate project ID assigned from the compact report table; never an original later-stage structured candidate ID.</x:v>
      </x:c>
    </x:row>
    <x:row r="237" ht="19" customHeight="1">
      <x:c r="A237" s="23" t="str">
        <x:v>FT-SEED-R1B-P-1938-26</x:v>
      </x:c>
      <x:c r="B237" s="25" t="str">
        <x:v>PRIORITY_180</x:v>
      </x:c>
      <x:c r="C237" s="24" t="str"/>
      <x:c r="D237" s="25" t="str">
        <x:v>8</x:v>
      </x:c>
      <x:c r="E237" s="24" t="str">
        <x:v>FT-A1938</x:v>
      </x:c>
      <x:c r="F237" s="24" t="str">
        <x:v>weather is just bearable</x:v>
      </x:c>
      <x:c r="G237" s="25" t="str">
        <x:v>C</x:v>
      </x:c>
      <x:c r="H237" s="25" t="str">
        <x:v>V3</x:v>
      </x:c>
      <x:c r="I237" s="24" t="str">
        <x:v>S1938-COURIER</x:v>
      </x:c>
      <x:c r="J237" s="25" t="str"/>
      <x:c r="K237" s="25" t="str">
        <x:v>PRIORITY_RANK=26;ORIGINAL_ROW_CONFIDENCE_NOT_EXPOSED</x:v>
      </x:c>
      <x:c r="L237" s="24" t="str">
        <x:v>NOT_EXPOSED</x:v>
      </x:c>
      <x:c r="M237" s="25" t="str">
        <x:v>PRIORITY_RANK_26</x:v>
      </x:c>
      <x:c r="N237" s="25" t="str">
        <x:v>RECONSTRUCTED_FROM_REPORT</x:v>
      </x:c>
      <x:c r="O237" s="25" t="str">
        <x:v>UNRESOLVED</x:v>
      </x:c>
      <x:c r="P237" s="24" t="str">
        <x:v>Fear of Temperature_ Stratified Lexical Expansion, Voice Mapping, and Semantic-Relational Pre-Valida.pdf</x:v>
      </x:c>
      <x:c r="Q237" s="25" t="str">
        <x:v>RECONSTRUCTED_FROM_REPORT</x:v>
      </x:c>
      <x:c r="R237" s="27" t="str">
        <x:v>New surrogate project ID assigned from the compact report table; never an original later-stage structured candidate ID.</x:v>
      </x:c>
    </x:row>
    <x:row r="238" ht="19" customHeight="1">
      <x:c r="A238" s="23" t="str">
        <x:v>FT-SEED-R1B-P-1938-27</x:v>
      </x:c>
      <x:c r="B238" s="25" t="str">
        <x:v>PRIORITY_180</x:v>
      </x:c>
      <x:c r="C238" s="24" t="str"/>
      <x:c r="D238" s="25" t="str">
        <x:v>8</x:v>
      </x:c>
      <x:c r="E238" s="24" t="str">
        <x:v>FT-A1938</x:v>
      </x:c>
      <x:c r="F238" s="24" t="str">
        <x:v>heat records</x:v>
      </x:c>
      <x:c r="G238" s="25" t="str">
        <x:v>A</x:v>
      </x:c>
      <x:c r="H238" s="25" t="str">
        <x:v>V3</x:v>
      </x:c>
      <x:c r="I238" s="24" t="str">
        <x:v>S1938-COURIER</x:v>
      </x:c>
      <x:c r="J238" s="25" t="str"/>
      <x:c r="K238" s="25" t="str">
        <x:v>PRIORITY_RANK=27;ORIGINAL_ROW_CONFIDENCE_NOT_EXPOSED</x:v>
      </x:c>
      <x:c r="L238" s="24" t="str">
        <x:v>NOT_EXPOSED</x:v>
      </x:c>
      <x:c r="M238" s="25" t="str">
        <x:v>PRIORITY_RANK_27</x:v>
      </x:c>
      <x:c r="N238" s="25" t="str">
        <x:v>RECONSTRUCTED_FROM_REPORT</x:v>
      </x:c>
      <x:c r="O238" s="25" t="str">
        <x:v>UNRESOLVED</x:v>
      </x:c>
      <x:c r="P238" s="24" t="str">
        <x:v>Fear of Temperature_ Stratified Lexical Expansion, Voice Mapping, and Semantic-Relational Pre-Valida.pdf</x:v>
      </x:c>
      <x:c r="Q238" s="25" t="str">
        <x:v>RECONSTRUCTED_FROM_REPORT</x:v>
      </x:c>
      <x:c r="R238" s="27" t="str">
        <x:v>New surrogate project ID assigned from the compact report table; never an original later-stage structured candidate ID.</x:v>
      </x:c>
    </x:row>
    <x:row r="239" ht="19" customHeight="1">
      <x:c r="A239" s="23" t="str">
        <x:v>FT-SEED-R1B-P-1938-28</x:v>
      </x:c>
      <x:c r="B239" s="25" t="str">
        <x:v>PRIORITY_180</x:v>
      </x:c>
      <x:c r="C239" s="24" t="str"/>
      <x:c r="D239" s="25" t="str">
        <x:v>8</x:v>
      </x:c>
      <x:c r="E239" s="24" t="str">
        <x:v>FT-A1938</x:v>
      </x:c>
      <x:c r="F239" s="24" t="str">
        <x:v>drought</x:v>
      </x:c>
      <x:c r="G239" s="25" t="str">
        <x:v>D</x:v>
      </x:c>
      <x:c r="H239" s="25" t="str">
        <x:v>V3</x:v>
      </x:c>
      <x:c r="I239" s="24" t="str">
        <x:v>S1938-COURIER</x:v>
      </x:c>
      <x:c r="J239" s="25" t="str"/>
      <x:c r="K239" s="25" t="str">
        <x:v>PRIORITY_RANK=28;ORIGINAL_ROW_CONFIDENCE_NOT_EXPOSED</x:v>
      </x:c>
      <x:c r="L239" s="24" t="str">
        <x:v>NOT_EXPOSED</x:v>
      </x:c>
      <x:c r="M239" s="25" t="str">
        <x:v>PRIORITY_RANK_28</x:v>
      </x:c>
      <x:c r="N239" s="25" t="str">
        <x:v>RECONSTRUCTED_FROM_REPORT</x:v>
      </x:c>
      <x:c r="O239" s="25" t="str">
        <x:v>UNRESOLVED</x:v>
      </x:c>
      <x:c r="P239" s="24" t="str">
        <x:v>Fear of Temperature_ Stratified Lexical Expansion, Voice Mapping, and Semantic-Relational Pre-Valida.pdf</x:v>
      </x:c>
      <x:c r="Q239" s="25" t="str">
        <x:v>RECONSTRUCTED_FROM_REPORT</x:v>
      </x:c>
      <x:c r="R239" s="27" t="str">
        <x:v>New surrogate project ID assigned from the compact report table; never an original later-stage structured candidate ID.</x:v>
      </x:c>
    </x:row>
    <x:row r="240" ht="19" customHeight="1">
      <x:c r="A240" s="23" t="str">
        <x:v>FT-SEED-R1B-P-1938-29</x:v>
      </x:c>
      <x:c r="B240" s="25" t="str">
        <x:v>PRIORITY_180</x:v>
      </x:c>
      <x:c r="C240" s="24" t="str"/>
      <x:c r="D240" s="25" t="str">
        <x:v>8</x:v>
      </x:c>
      <x:c r="E240" s="24" t="str">
        <x:v>FT-A1938</x:v>
      </x:c>
      <x:c r="F240" s="24" t="str">
        <x:v>grass fires</x:v>
      </x:c>
      <x:c r="G240" s="25" t="str">
        <x:v>D</x:v>
      </x:c>
      <x:c r="H240" s="25" t="str">
        <x:v>V3</x:v>
      </x:c>
      <x:c r="I240" s="24" t="str">
        <x:v>S1938-COURIER</x:v>
      </x:c>
      <x:c r="J240" s="25" t="str"/>
      <x:c r="K240" s="25" t="str">
        <x:v>PRIORITY_RANK=29;ORIGINAL_ROW_CONFIDENCE_NOT_EXPOSED</x:v>
      </x:c>
      <x:c r="L240" s="24" t="str">
        <x:v>NOT_EXPOSED</x:v>
      </x:c>
      <x:c r="M240" s="25" t="str">
        <x:v>PRIORITY_RANK_29</x:v>
      </x:c>
      <x:c r="N240" s="25" t="str">
        <x:v>RECONSTRUCTED_FROM_REPORT</x:v>
      </x:c>
      <x:c r="O240" s="25" t="str">
        <x:v>UNRESOLVED</x:v>
      </x:c>
      <x:c r="P240" s="24" t="str">
        <x:v>Fear of Temperature_ Stratified Lexical Expansion, Voice Mapping, and Semantic-Relational Pre-Valida.pdf</x:v>
      </x:c>
      <x:c r="Q240" s="25" t="str">
        <x:v>RECONSTRUCTED_FROM_REPORT</x:v>
      </x:c>
      <x:c r="R240" s="27" t="str">
        <x:v>New surrogate project ID assigned from the compact report table; never an original later-stage structured candidate ID.</x:v>
      </x:c>
    </x:row>
    <x:row r="241" ht="19" customHeight="1">
      <x:c r="A241" s="23" t="str">
        <x:v>FT-SEED-R1B-P-1938-30</x:v>
      </x:c>
      <x:c r="B241" s="25" t="str">
        <x:v>PRIORITY_180</x:v>
      </x:c>
      <x:c r="C241" s="24" t="str"/>
      <x:c r="D241" s="25" t="str">
        <x:v>8</x:v>
      </x:c>
      <x:c r="E241" s="24" t="str">
        <x:v>FT-A1938</x:v>
      </x:c>
      <x:c r="F241" s="24" t="str">
        <x:v>unbearable heat</x:v>
      </x:c>
      <x:c r="G241" s="25" t="str">
        <x:v>D</x:v>
      </x:c>
      <x:c r="H241" s="25" t="str">
        <x:v>V3</x:v>
      </x:c>
      <x:c r="I241" s="24" t="str">
        <x:v>S1938-TORCH</x:v>
      </x:c>
      <x:c r="J241" s="25" t="str"/>
      <x:c r="K241" s="25" t="str">
        <x:v>PRIORITY_RANK=30;ORIGINAL_ROW_CONFIDENCE_NOT_EXPOSED</x:v>
      </x:c>
      <x:c r="L241" s="24" t="str">
        <x:v>NOT_EXPOSED</x:v>
      </x:c>
      <x:c r="M241" s="25" t="str">
        <x:v>PRIORITY_RANK_30</x:v>
      </x:c>
      <x:c r="N241" s="25" t="str">
        <x:v>RECONSTRUCTED_FROM_REPORT</x:v>
      </x:c>
      <x:c r="O241" s="25" t="str">
        <x:v>UNRESOLVED</x:v>
      </x:c>
      <x:c r="P241" s="24" t="str">
        <x:v>Fear of Temperature_ Stratified Lexical Expansion, Voice Mapping, and Semantic-Relational Pre-Valida.pdf</x:v>
      </x:c>
      <x:c r="Q241" s="25" t="str">
        <x:v>RECONSTRUCTED_FROM_REPORT</x:v>
      </x:c>
      <x:c r="R241" s="27" t="str">
        <x:v>New surrogate project ID assigned from the compact report table; never an original later-stage structured candidate ID.</x:v>
      </x:c>
    </x:row>
    <x:row r="242" ht="19" customHeight="1">
      <x:c r="A242" s="23" t="str">
        <x:v>FT-SEED-R1B-P-1988-01</x:v>
      </x:c>
      <x:c r="B242" s="25" t="str">
        <x:v>PRIORITY_180</x:v>
      </x:c>
      <x:c r="C242" s="24" t="str"/>
      <x:c r="D242" s="25" t="str">
        <x:v>9</x:v>
      </x:c>
      <x:c r="E242" s="24" t="str">
        <x:v>FT-A1988</x:v>
      </x:c>
      <x:c r="F242" s="24" t="str">
        <x:v>greenhouse effect</x:v>
      </x:c>
      <x:c r="G242" s="25" t="str">
        <x:v>B</x:v>
      </x:c>
      <x:c r="H242" s="25" t="str">
        <x:v>V1</x:v>
      </x:c>
      <x:c r="I242" s="24" t="str">
        <x:v>S1988-HANSEN</x:v>
      </x:c>
      <x:c r="J242" s="25" t="str"/>
      <x:c r="K242" s="25" t="str">
        <x:v>PRIORITY_RANK=1;ORIGINAL_ROW_CONFIDENCE_NOT_EXPOSED</x:v>
      </x:c>
      <x:c r="L242" s="24" t="str">
        <x:v>NOT_EXPOSED</x:v>
      </x:c>
      <x:c r="M242" s="25" t="str">
        <x:v>PRIORITY_RANK_01</x:v>
      </x:c>
      <x:c r="N242" s="25" t="str">
        <x:v>RECONSTRUCTED_FROM_REPORT</x:v>
      </x:c>
      <x:c r="O242" s="25" t="str">
        <x:v>UNRESOLVED</x:v>
      </x:c>
      <x:c r="P242" s="24" t="str">
        <x:v>Fear of Temperature_ Stratified Lexical Expansion, Voice Mapping, and Semantic-Relational Pre-Valida.pdf</x:v>
      </x:c>
      <x:c r="Q242" s="25" t="str">
        <x:v>RECONSTRUCTED_FROM_REPORT</x:v>
      </x:c>
      <x:c r="R242" s="27" t="str">
        <x:v>New surrogate project ID assigned from the compact report table; never an original later-stage structured candidate ID.</x:v>
      </x:c>
    </x:row>
    <x:row r="243" ht="19" customHeight="1">
      <x:c r="A243" s="23" t="str">
        <x:v>FT-SEED-R1B-P-1988-02</x:v>
      </x:c>
      <x:c r="B243" s="25" t="str">
        <x:v>PRIORITY_180</x:v>
      </x:c>
      <x:c r="C243" s="24" t="str"/>
      <x:c r="D243" s="25" t="str">
        <x:v>9</x:v>
      </x:c>
      <x:c r="E243" s="24" t="str">
        <x:v>FT-A1988</x:v>
      </x:c>
      <x:c r="F243" s="24" t="str">
        <x:v>global warming</x:v>
      </x:c>
      <x:c r="G243" s="25" t="str">
        <x:v>A</x:v>
      </x:c>
      <x:c r="H243" s="25" t="str">
        <x:v>V1</x:v>
      </x:c>
      <x:c r="I243" s="24" t="str">
        <x:v>S1988-HANSEN</x:v>
      </x:c>
      <x:c r="J243" s="25" t="str"/>
      <x:c r="K243" s="25" t="str">
        <x:v>PRIORITY_RANK=2;ORIGINAL_ROW_CONFIDENCE_NOT_EXPOSED</x:v>
      </x:c>
      <x:c r="L243" s="24" t="str">
        <x:v>NOT_EXPOSED</x:v>
      </x:c>
      <x:c r="M243" s="25" t="str">
        <x:v>PRIORITY_RANK_02</x:v>
      </x:c>
      <x:c r="N243" s="25" t="str">
        <x:v>RECONSTRUCTED_FROM_REPORT</x:v>
      </x:c>
      <x:c r="O243" s="25" t="str">
        <x:v>UNRESOLVED</x:v>
      </x:c>
      <x:c r="P243" s="24" t="str">
        <x:v>Fear of Temperature_ Stratified Lexical Expansion, Voice Mapping, and Semantic-Relational Pre-Valida.pdf</x:v>
      </x:c>
      <x:c r="Q243" s="25" t="str">
        <x:v>RECONSTRUCTED_FROM_REPORT</x:v>
      </x:c>
      <x:c r="R243" s="27" t="str">
        <x:v>New surrogate project ID assigned from the compact report table; never an original later-stage structured candidate ID.</x:v>
      </x:c>
    </x:row>
    <x:row r="244" ht="19" customHeight="1">
      <x:c r="A244" s="23" t="str">
        <x:v>FT-SEED-R1B-P-1988-03</x:v>
      </x:c>
      <x:c r="B244" s="25" t="str">
        <x:v>PRIORITY_180</x:v>
      </x:c>
      <x:c r="C244" s="24" t="str"/>
      <x:c r="D244" s="25" t="str">
        <x:v>9</x:v>
      </x:c>
      <x:c r="E244" s="24" t="str">
        <x:v>FT-A1988</x:v>
      </x:c>
      <x:c r="F244" s="24" t="str">
        <x:v>earth is warmer</x:v>
      </x:c>
      <x:c r="G244" s="25" t="str">
        <x:v>A</x:v>
      </x:c>
      <x:c r="H244" s="25" t="str">
        <x:v>V1</x:v>
      </x:c>
      <x:c r="I244" s="24" t="str">
        <x:v>S1988-HANSEN</x:v>
      </x:c>
      <x:c r="J244" s="25" t="str"/>
      <x:c r="K244" s="25" t="str">
        <x:v>PRIORITY_RANK=3;ORIGINAL_ROW_CONFIDENCE_NOT_EXPOSED</x:v>
      </x:c>
      <x:c r="L244" s="24" t="str">
        <x:v>NOT_EXPOSED</x:v>
      </x:c>
      <x:c r="M244" s="25" t="str">
        <x:v>PRIORITY_RANK_03</x:v>
      </x:c>
      <x:c r="N244" s="25" t="str">
        <x:v>RECONSTRUCTED_FROM_REPORT</x:v>
      </x:c>
      <x:c r="O244" s="25" t="str">
        <x:v>UNRESOLVED</x:v>
      </x:c>
      <x:c r="P244" s="24" t="str">
        <x:v>Fear of Temperature_ Stratified Lexical Expansion, Voice Mapping, and Semantic-Relational Pre-Valida.pdf</x:v>
      </x:c>
      <x:c r="Q244" s="25" t="str">
        <x:v>RECONSTRUCTED_FROM_REPORT</x:v>
      </x:c>
      <x:c r="R244" s="27" t="str">
        <x:v>New surrogate project ID assigned from the compact report table; never an original later-stage structured candidate ID.</x:v>
      </x:c>
    </x:row>
    <x:row r="245" ht="19" customHeight="1">
      <x:c r="A245" s="23" t="str">
        <x:v>FT-SEED-R1B-P-1988-04</x:v>
      </x:c>
      <x:c r="B245" s="25" t="str">
        <x:v>PRIORITY_180</x:v>
      </x:c>
      <x:c r="C245" s="24" t="str"/>
      <x:c r="D245" s="25" t="str">
        <x:v>9</x:v>
      </x:c>
      <x:c r="E245" s="24" t="str">
        <x:v>FT-A1988</x:v>
      </x:c>
      <x:c r="F245" s="24" t="str">
        <x:v>instrumental measurements</x:v>
      </x:c>
      <x:c r="G245" s="25" t="str">
        <x:v>B</x:v>
      </x:c>
      <x:c r="H245" s="25" t="str">
        <x:v>V1</x:v>
      </x:c>
      <x:c r="I245" s="24" t="str">
        <x:v>S1988-HANSEN</x:v>
      </x:c>
      <x:c r="J245" s="25" t="str"/>
      <x:c r="K245" s="25" t="str">
        <x:v>PRIORITY_RANK=4;ORIGINAL_ROW_CONFIDENCE_NOT_EXPOSED</x:v>
      </x:c>
      <x:c r="L245" s="24" t="str">
        <x:v>NOT_EXPOSED</x:v>
      </x:c>
      <x:c r="M245" s="25" t="str">
        <x:v>PRIORITY_RANK_04</x:v>
      </x:c>
      <x:c r="N245" s="25" t="str">
        <x:v>RECONSTRUCTED_FROM_REPORT</x:v>
      </x:c>
      <x:c r="O245" s="25" t="str">
        <x:v>UNRESOLVED</x:v>
      </x:c>
      <x:c r="P245" s="24" t="str">
        <x:v>Fear of Temperature_ Stratified Lexical Expansion, Voice Mapping, and Semantic-Relational Pre-Valida.pdf</x:v>
      </x:c>
      <x:c r="Q245" s="25" t="str">
        <x:v>RECONSTRUCTED_FROM_REPORT</x:v>
      </x:c>
      <x:c r="R245" s="27" t="str">
        <x:v>New surrogate project ID assigned from the compact report table; never an original later-stage structured candidate ID.</x:v>
      </x:c>
    </x:row>
    <x:row r="246" ht="19" customHeight="1">
      <x:c r="A246" s="23" t="str">
        <x:v>FT-SEED-R1B-P-1988-05</x:v>
      </x:c>
      <x:c r="B246" s="25" t="str">
        <x:v>PRIORITY_180</x:v>
      </x:c>
      <x:c r="C246" s="24" t="str"/>
      <x:c r="D246" s="25" t="str">
        <x:v>9</x:v>
      </x:c>
      <x:c r="E246" s="24" t="str">
        <x:v>FT-A1988</x:v>
      </x:c>
      <x:c r="F246" s="24" t="str">
        <x:v>cause-and-effect relationship</x:v>
      </x:c>
      <x:c r="G246" s="25" t="str">
        <x:v>B</x:v>
      </x:c>
      <x:c r="H246" s="25" t="str">
        <x:v>V1</x:v>
      </x:c>
      <x:c r="I246" s="24" t="str">
        <x:v>S1988-HANSEN</x:v>
      </x:c>
      <x:c r="J246" s="25" t="str"/>
      <x:c r="K246" s="25" t="str">
        <x:v>PRIORITY_RANK=5;ORIGINAL_ROW_CONFIDENCE_NOT_EXPOSED</x:v>
      </x:c>
      <x:c r="L246" s="24" t="str">
        <x:v>NOT_EXPOSED</x:v>
      </x:c>
      <x:c r="M246" s="25" t="str">
        <x:v>PRIORITY_RANK_05</x:v>
      </x:c>
      <x:c r="N246" s="25" t="str">
        <x:v>RECONSTRUCTED_FROM_REPORT</x:v>
      </x:c>
      <x:c r="O246" s="25" t="str">
        <x:v>UNRESOLVED</x:v>
      </x:c>
      <x:c r="P246" s="24" t="str">
        <x:v>Fear of Temperature_ Stratified Lexical Expansion, Voice Mapping, and Semantic-Relational Pre-Valida.pdf</x:v>
      </x:c>
      <x:c r="Q246" s="25" t="str">
        <x:v>RECONSTRUCTED_FROM_REPORT</x:v>
      </x:c>
      <x:c r="R246" s="27" t="str">
        <x:v>New surrogate project ID assigned from the compact report table; never an original later-stage structured candidate ID.</x:v>
      </x:c>
    </x:row>
    <x:row r="247" ht="19" customHeight="1">
      <x:c r="A247" s="23" t="str">
        <x:v>FT-SEED-R1B-P-1988-06</x:v>
      </x:c>
      <x:c r="B247" s="25" t="str">
        <x:v>PRIORITY_180</x:v>
      </x:c>
      <x:c r="C247" s="24" t="str"/>
      <x:c r="D247" s="25" t="str">
        <x:v>9</x:v>
      </x:c>
      <x:c r="E247" s="24" t="str">
        <x:v>FT-A1988</x:v>
      </x:c>
      <x:c r="F247" s="24" t="str">
        <x:v>global temperature</x:v>
      </x:c>
      <x:c r="G247" s="25" t="str">
        <x:v>A</x:v>
      </x:c>
      <x:c r="H247" s="25" t="str">
        <x:v>V1</x:v>
      </x:c>
      <x:c r="I247" s="24" t="str">
        <x:v>S1988-HANSEN</x:v>
      </x:c>
      <x:c r="J247" s="25" t="str"/>
      <x:c r="K247" s="25" t="str">
        <x:v>PRIORITY_RANK=6;ORIGINAL_ROW_CONFIDENCE_NOT_EXPOSED</x:v>
      </x:c>
      <x:c r="L247" s="24" t="str">
        <x:v>NOT_EXPOSED</x:v>
      </x:c>
      <x:c r="M247" s="25" t="str">
        <x:v>PRIORITY_RANK_06</x:v>
      </x:c>
      <x:c r="N247" s="25" t="str">
        <x:v>RECONSTRUCTED_FROM_REPORT</x:v>
      </x:c>
      <x:c r="O247" s="25" t="str">
        <x:v>UNRESOLVED</x:v>
      </x:c>
      <x:c r="P247" s="24" t="str">
        <x:v>Fear of Temperature_ Stratified Lexical Expansion, Voice Mapping, and Semantic-Relational Pre-Valida.pdf</x:v>
      </x:c>
      <x:c r="Q247" s="25" t="str">
        <x:v>RECONSTRUCTED_FROM_REPORT</x:v>
      </x:c>
      <x:c r="R247" s="27" t="str">
        <x:v>New surrogate project ID assigned from the compact report table; never an original later-stage structured candidate ID.</x:v>
      </x:c>
    </x:row>
    <x:row r="248" ht="19" customHeight="1">
      <x:c r="A248" s="23" t="str">
        <x:v>FT-SEED-R1B-P-1988-07</x:v>
      </x:c>
      <x:c r="B248" s="25" t="str">
        <x:v>PRIORITY_180</x:v>
      </x:c>
      <x:c r="C248" s="24" t="str"/>
      <x:c r="D248" s="25" t="str">
        <x:v>9</x:v>
      </x:c>
      <x:c r="E248" s="24" t="str">
        <x:v>FT-A1988</x:v>
      </x:c>
      <x:c r="F248" s="24" t="str">
        <x:v>regional heat waves</x:v>
      </x:c>
      <x:c r="G248" s="25" t="str">
        <x:v>A</x:v>
      </x:c>
      <x:c r="H248" s="25" t="str">
        <x:v>V1</x:v>
      </x:c>
      <x:c r="I248" s="24" t="str">
        <x:v>S1988-HANSEN</x:v>
      </x:c>
      <x:c r="J248" s="25" t="str"/>
      <x:c r="K248" s="25" t="str">
        <x:v>PRIORITY_RANK=7;ORIGINAL_ROW_CONFIDENCE_NOT_EXPOSED</x:v>
      </x:c>
      <x:c r="L248" s="24" t="str">
        <x:v>NOT_EXPOSED</x:v>
      </x:c>
      <x:c r="M248" s="25" t="str">
        <x:v>PRIORITY_RANK_07</x:v>
      </x:c>
      <x:c r="N248" s="25" t="str">
        <x:v>RECONSTRUCTED_FROM_REPORT</x:v>
      </x:c>
      <x:c r="O248" s="25" t="str">
        <x:v>UNRESOLVED</x:v>
      </x:c>
      <x:c r="P248" s="24" t="str">
        <x:v>Fear of Temperature_ Stratified Lexical Expansion, Voice Mapping, and Semantic-Relational Pre-Valida.pdf</x:v>
      </x:c>
      <x:c r="Q248" s="25" t="str">
        <x:v>RECONSTRUCTED_FROM_REPORT</x:v>
      </x:c>
      <x:c r="R248" s="27" t="str">
        <x:v>New surrogate project ID assigned from the compact report table; never an original later-stage structured candidate ID.</x:v>
      </x:c>
    </x:row>
    <x:row r="249" ht="19" customHeight="1">
      <x:c r="A249" s="23" t="str">
        <x:v>FT-SEED-R1B-P-1988-08</x:v>
      </x:c>
      <x:c r="B249" s="25" t="str">
        <x:v>PRIORITY_180</x:v>
      </x:c>
      <x:c r="C249" s="24" t="str"/>
      <x:c r="D249" s="25" t="str">
        <x:v>9</x:v>
      </x:c>
      <x:c r="E249" s="24" t="str">
        <x:v>FT-A1988</x:v>
      </x:c>
      <x:c r="F249" s="24" t="str">
        <x:v>heat wave</x:v>
      </x:c>
      <x:c r="G249" s="25" t="str">
        <x:v>A</x:v>
      </x:c>
      <x:c r="H249" s="25" t="str">
        <x:v>V1</x:v>
      </x:c>
      <x:c r="I249" s="24" t="str">
        <x:v>S1988-HANSEN</x:v>
      </x:c>
      <x:c r="J249" s="25" t="str"/>
      <x:c r="K249" s="25" t="str">
        <x:v>PRIORITY_RANK=8;ORIGINAL_ROW_CONFIDENCE_NOT_EXPOSED</x:v>
      </x:c>
      <x:c r="L249" s="24" t="str">
        <x:v>NOT_EXPOSED</x:v>
      </x:c>
      <x:c r="M249" s="25" t="str">
        <x:v>PRIORITY_RANK_08</x:v>
      </x:c>
      <x:c r="N249" s="25" t="str">
        <x:v>RECONSTRUCTED_FROM_REPORT</x:v>
      </x:c>
      <x:c r="O249" s="25" t="str">
        <x:v>UNRESOLVED</x:v>
      </x:c>
      <x:c r="P249" s="24" t="str">
        <x:v>Fear of Temperature_ Stratified Lexical Expansion, Voice Mapping, and Semantic-Relational Pre-Valida.pdf</x:v>
      </x:c>
      <x:c r="Q249" s="25" t="str">
        <x:v>RECONSTRUCTED_FROM_REPORT</x:v>
      </x:c>
      <x:c r="R249" s="27" t="str">
        <x:v>New surrogate project ID assigned from the compact report table; never an original later-stage structured candidate ID.</x:v>
      </x:c>
    </x:row>
    <x:row r="250" ht="19" customHeight="1">
      <x:c r="A250" s="23" t="str">
        <x:v>FT-SEED-R1B-P-1988-09</x:v>
      </x:c>
      <x:c r="B250" s="25" t="str">
        <x:v>PRIORITY_180</x:v>
      </x:c>
      <x:c r="C250" s="24" t="str"/>
      <x:c r="D250" s="25" t="str">
        <x:v>9</x:v>
      </x:c>
      <x:c r="E250" s="24" t="str">
        <x:v>FT-A1988</x:v>
      </x:c>
      <x:c r="F250" s="24" t="str">
        <x:v>drought</x:v>
      </x:c>
      <x:c r="G250" s="25" t="str">
        <x:v>D</x:v>
      </x:c>
      <x:c r="H250" s="25" t="str">
        <x:v>V1</x:v>
      </x:c>
      <x:c r="I250" s="24" t="str">
        <x:v>S1988-HANSEN</x:v>
      </x:c>
      <x:c r="J250" s="25" t="str"/>
      <x:c r="K250" s="25" t="str">
        <x:v>PRIORITY_RANK=9;ORIGINAL_ROW_CONFIDENCE_NOT_EXPOSED</x:v>
      </x:c>
      <x:c r="L250" s="24" t="str">
        <x:v>NOT_EXPOSED</x:v>
      </x:c>
      <x:c r="M250" s="25" t="str">
        <x:v>PRIORITY_RANK_09</x:v>
      </x:c>
      <x:c r="N250" s="25" t="str">
        <x:v>RECONSTRUCTED_FROM_REPORT</x:v>
      </x:c>
      <x:c r="O250" s="25" t="str">
        <x:v>UNRESOLVED</x:v>
      </x:c>
      <x:c r="P250" s="24" t="str">
        <x:v>Fear of Temperature_ Stratified Lexical Expansion, Voice Mapping, and Semantic-Relational Pre-Valida.pdf</x:v>
      </x:c>
      <x:c r="Q250" s="25" t="str">
        <x:v>RECONSTRUCTED_FROM_REPORT</x:v>
      </x:c>
      <x:c r="R250" s="27" t="str">
        <x:v>New surrogate project ID assigned from the compact report table; never an original later-stage structured candidate ID.</x:v>
      </x:c>
    </x:row>
    <x:row r="251" ht="19" customHeight="1">
      <x:c r="A251" s="23" t="str">
        <x:v>FT-SEED-R1B-P-1988-10</x:v>
      </x:c>
      <x:c r="B251" s="25" t="str">
        <x:v>PRIORITY_180</x:v>
      </x:c>
      <x:c r="C251" s="24" t="str"/>
      <x:c r="D251" s="25" t="str">
        <x:v>9</x:v>
      </x:c>
      <x:c r="E251" s="24" t="str">
        <x:v>FT-A1988</x:v>
      </x:c>
      <x:c r="F251" s="24" t="str">
        <x:v>heat wave/drought occurrences</x:v>
      </x:c>
      <x:c r="G251" s="25" t="str">
        <x:v>D</x:v>
      </x:c>
      <x:c r="H251" s="25" t="str">
        <x:v>V1</x:v>
      </x:c>
      <x:c r="I251" s="24" t="str">
        <x:v>S1988-HANSEN</x:v>
      </x:c>
      <x:c r="J251" s="25" t="str"/>
      <x:c r="K251" s="25" t="str">
        <x:v>PRIORITY_RANK=10;ORIGINAL_ROW_CONFIDENCE_NOT_EXPOSED</x:v>
      </x:c>
      <x:c r="L251" s="24" t="str">
        <x:v>NOT_EXPOSED</x:v>
      </x:c>
      <x:c r="M251" s="25" t="str">
        <x:v>PRIORITY_RANK_10</x:v>
      </x:c>
      <x:c r="N251" s="25" t="str">
        <x:v>RECONSTRUCTED_FROM_REPORT</x:v>
      </x:c>
      <x:c r="O251" s="25" t="str">
        <x:v>UNRESOLVED</x:v>
      </x:c>
      <x:c r="P251" s="24" t="str">
        <x:v>Fear of Temperature_ Stratified Lexical Expansion, Voice Mapping, and Semantic-Relational Pre-Valida.pdf</x:v>
      </x:c>
      <x:c r="Q251" s="25" t="str">
        <x:v>RECONSTRUCTED_FROM_REPORT</x:v>
      </x:c>
      <x:c r="R251" s="27" t="str">
        <x:v>New surrogate project ID assigned from the compact report table; never an original later-stage structured candidate ID.</x:v>
      </x:c>
    </x:row>
    <x:row r="252" ht="19" customHeight="1">
      <x:c r="A252" s="23" t="str">
        <x:v>FT-SEED-R1B-P-1988-11</x:v>
      </x:c>
      <x:c r="B252" s="25" t="str">
        <x:v>PRIORITY_180</x:v>
      </x:c>
      <x:c r="C252" s="24" t="str"/>
      <x:c r="D252" s="25" t="str">
        <x:v>9</x:v>
      </x:c>
      <x:c r="E252" s="24" t="str">
        <x:v>FT-A1988</x:v>
      </x:c>
      <x:c r="F252" s="24" t="str">
        <x:v>extreme events</x:v>
      </x:c>
      <x:c r="G252" s="25" t="str">
        <x:v>D</x:v>
      </x:c>
      <x:c r="H252" s="25" t="str">
        <x:v>V1</x:v>
      </x:c>
      <x:c r="I252" s="24" t="str">
        <x:v>S1988-HANSEN</x:v>
      </x:c>
      <x:c r="J252" s="25" t="str"/>
      <x:c r="K252" s="25" t="str">
        <x:v>PRIORITY_RANK=11;ORIGINAL_ROW_CONFIDENCE_NOT_EXPOSED</x:v>
      </x:c>
      <x:c r="L252" s="24" t="str">
        <x:v>NOT_EXPOSED</x:v>
      </x:c>
      <x:c r="M252" s="25" t="str">
        <x:v>PRIORITY_RANK_11</x:v>
      </x:c>
      <x:c r="N252" s="25" t="str">
        <x:v>RECONSTRUCTED_FROM_REPORT</x:v>
      </x:c>
      <x:c r="O252" s="25" t="str">
        <x:v>UNRESOLVED</x:v>
      </x:c>
      <x:c r="P252" s="24" t="str">
        <x:v>Fear of Temperature_ Stratified Lexical Expansion, Voice Mapping, and Semantic-Relational Pre-Valida.pdf</x:v>
      </x:c>
      <x:c r="Q252" s="25" t="str">
        <x:v>RECONSTRUCTED_FROM_REPORT</x:v>
      </x:c>
      <x:c r="R252" s="27" t="str">
        <x:v>New surrogate project ID assigned from the compact report table; never an original later-stage structured candidate ID.</x:v>
      </x:c>
    </x:row>
    <x:row r="253" ht="19" customHeight="1">
      <x:c r="A253" s="23" t="str">
        <x:v>FT-SEED-R1B-P-1988-12</x:v>
      </x:c>
      <x:c r="B253" s="25" t="str">
        <x:v>PRIORITY_180</x:v>
      </x:c>
      <x:c r="C253" s="24" t="str"/>
      <x:c r="D253" s="25" t="str">
        <x:v>9</x:v>
      </x:c>
      <x:c r="E253" s="24" t="str">
        <x:v>FT-A1988</x:v>
      </x:c>
      <x:c r="F253" s="24" t="str">
        <x:v>global climate models</x:v>
      </x:c>
      <x:c r="G253" s="25" t="str">
        <x:v>B</x:v>
      </x:c>
      <x:c r="H253" s="25" t="str">
        <x:v>V1</x:v>
      </x:c>
      <x:c r="I253" s="24" t="str">
        <x:v>S1988-HANSEN</x:v>
      </x:c>
      <x:c r="J253" s="25" t="str"/>
      <x:c r="K253" s="25" t="str">
        <x:v>PRIORITY_RANK=12;ORIGINAL_ROW_CONFIDENCE_NOT_EXPOSED</x:v>
      </x:c>
      <x:c r="L253" s="24" t="str">
        <x:v>NOT_EXPOSED</x:v>
      </x:c>
      <x:c r="M253" s="25" t="str">
        <x:v>PRIORITY_RANK_12</x:v>
      </x:c>
      <x:c r="N253" s="25" t="str">
        <x:v>RECONSTRUCTED_FROM_REPORT</x:v>
      </x:c>
      <x:c r="O253" s="25" t="str">
        <x:v>UNRESOLVED</x:v>
      </x:c>
      <x:c r="P253" s="24" t="str">
        <x:v>Fear of Temperature_ Stratified Lexical Expansion, Voice Mapping, and Semantic-Relational Pre-Valida.pdf</x:v>
      </x:c>
      <x:c r="Q253" s="25" t="str">
        <x:v>RECONSTRUCTED_FROM_REPORT</x:v>
      </x:c>
      <x:c r="R253" s="27" t="str">
        <x:v>New surrogate project ID assigned from the compact report table; never an original later-stage structured candidate ID.</x:v>
      </x:c>
    </x:row>
    <x:row r="254" ht="19" customHeight="1">
      <x:c r="A254" s="23" t="str">
        <x:v>FT-SEED-R1B-P-1988-13</x:v>
      </x:c>
      <x:c r="B254" s="25" t="str">
        <x:v>PRIORITY_180</x:v>
      </x:c>
      <x:c r="C254" s="24" t="str"/>
      <x:c r="D254" s="25" t="str">
        <x:v>9</x:v>
      </x:c>
      <x:c r="E254" s="24" t="str">
        <x:v>FT-A1988</x:v>
      </x:c>
      <x:c r="F254" s="24" t="str">
        <x:v>global observations</x:v>
      </x:c>
      <x:c r="G254" s="25" t="str">
        <x:v>B</x:v>
      </x:c>
      <x:c r="H254" s="25" t="str">
        <x:v>V1</x:v>
      </x:c>
      <x:c r="I254" s="24" t="str">
        <x:v>S1988-HANSEN</x:v>
      </x:c>
      <x:c r="J254" s="25" t="str"/>
      <x:c r="K254" s="25" t="str">
        <x:v>PRIORITY_RANK=13;ORIGINAL_ROW_CONFIDENCE_NOT_EXPOSED</x:v>
      </x:c>
      <x:c r="L254" s="24" t="str">
        <x:v>NOT_EXPOSED</x:v>
      </x:c>
      <x:c r="M254" s="25" t="str">
        <x:v>PRIORITY_RANK_13</x:v>
      </x:c>
      <x:c r="N254" s="25" t="str">
        <x:v>RECONSTRUCTED_FROM_REPORT</x:v>
      </x:c>
      <x:c r="O254" s="25" t="str">
        <x:v>UNRESOLVED</x:v>
      </x:c>
      <x:c r="P254" s="24" t="str">
        <x:v>Fear of Temperature_ Stratified Lexical Expansion, Voice Mapping, and Semantic-Relational Pre-Valida.pdf</x:v>
      </x:c>
      <x:c r="Q254" s="25" t="str">
        <x:v>RECONSTRUCTED_FROM_REPORT</x:v>
      </x:c>
      <x:c r="R254" s="27" t="str">
        <x:v>New surrogate project ID assigned from the compact report table; never an original later-stage structured candidate ID.</x:v>
      </x:c>
    </x:row>
    <x:row r="255" ht="19" customHeight="1">
      <x:c r="A255" s="23" t="str">
        <x:v>FT-SEED-R1B-P-1988-14</x:v>
      </x:c>
      <x:c r="B255" s="25" t="str">
        <x:v>PRIORITY_180</x:v>
      </x:c>
      <x:c r="C255" s="24" t="str"/>
      <x:c r="D255" s="25" t="str">
        <x:v>9</x:v>
      </x:c>
      <x:c r="E255" s="24" t="str">
        <x:v>FT-A1988</x:v>
      </x:c>
      <x:c r="F255" s="24" t="str">
        <x:v>warm air</x:v>
      </x:c>
      <x:c r="G255" s="25" t="str">
        <x:v>A</x:v>
      </x:c>
      <x:c r="H255" s="25" t="str">
        <x:v>V1</x:v>
      </x:c>
      <x:c r="I255" s="24" t="str">
        <x:v>S1988-HANSEN</x:v>
      </x:c>
      <x:c r="J255" s="25" t="str"/>
      <x:c r="K255" s="25" t="str">
        <x:v>PRIORITY_RANK=14;ORIGINAL_ROW_CONFIDENCE_NOT_EXPOSED</x:v>
      </x:c>
      <x:c r="L255" s="24" t="str">
        <x:v>NOT_EXPOSED</x:v>
      </x:c>
      <x:c r="M255" s="25" t="str">
        <x:v>PRIORITY_RANK_14</x:v>
      </x:c>
      <x:c r="N255" s="25" t="str">
        <x:v>RECONSTRUCTED_FROM_REPORT</x:v>
      </x:c>
      <x:c r="O255" s="25" t="str">
        <x:v>UNRESOLVED</x:v>
      </x:c>
      <x:c r="P255" s="24" t="str">
        <x:v>Fear of Temperature_ Stratified Lexical Expansion, Voice Mapping, and Semantic-Relational Pre-Valida.pdf</x:v>
      </x:c>
      <x:c r="Q255" s="25" t="str">
        <x:v>RECONSTRUCTED_FROM_REPORT</x:v>
      </x:c>
      <x:c r="R255" s="27" t="str">
        <x:v>New surrogate project ID assigned from the compact report table; never an original later-stage structured candidate ID.</x:v>
      </x:c>
    </x:row>
    <x:row r="256" ht="19" customHeight="1">
      <x:c r="A256" s="23" t="str">
        <x:v>FT-SEED-R1B-P-1988-15</x:v>
      </x:c>
      <x:c r="B256" s="25" t="str">
        <x:v>PRIORITY_180</x:v>
      </x:c>
      <x:c r="C256" s="24" t="str"/>
      <x:c r="D256" s="25" t="str">
        <x:v>9</x:v>
      </x:c>
      <x:c r="E256" s="24" t="str">
        <x:v>FT-A1988</x:v>
      </x:c>
      <x:c r="F256" s="24" t="str">
        <x:v>changing atmosphere</x:v>
      </x:c>
      <x:c r="G256" s="25" t="str">
        <x:v>B</x:v>
      </x:c>
      <x:c r="H256" s="25" t="str">
        <x:v>V2</x:v>
      </x:c>
      <x:c r="I256" s="24" t="str">
        <x:v>S1988-TORONTO</x:v>
      </x:c>
      <x:c r="J256" s="25" t="str"/>
      <x:c r="K256" s="25" t="str">
        <x:v>PRIORITY_RANK=15;ORIGINAL_ROW_CONFIDENCE_NOT_EXPOSED</x:v>
      </x:c>
      <x:c r="L256" s="24" t="str">
        <x:v>NOT_EXPOSED</x:v>
      </x:c>
      <x:c r="M256" s="25" t="str">
        <x:v>PRIORITY_RANK_15</x:v>
      </x:c>
      <x:c r="N256" s="25" t="str">
        <x:v>RECONSTRUCTED_FROM_REPORT</x:v>
      </x:c>
      <x:c r="O256" s="25" t="str">
        <x:v>UNRESOLVED</x:v>
      </x:c>
      <x:c r="P256" s="24" t="str">
        <x:v>Fear of Temperature_ Stratified Lexical Expansion, Voice Mapping, and Semantic-Relational Pre-Valida.pdf</x:v>
      </x:c>
      <x:c r="Q256" s="25" t="str">
        <x:v>RECONSTRUCTED_FROM_REPORT</x:v>
      </x:c>
      <x:c r="R256" s="27" t="str">
        <x:v>New surrogate project ID assigned from the compact report table; never an original later-stage structured candidate ID.</x:v>
      </x:c>
    </x:row>
    <x:row r="257" ht="19" customHeight="1">
      <x:c r="A257" s="23" t="str">
        <x:v>FT-SEED-R1B-P-1988-16</x:v>
      </x:c>
      <x:c r="B257" s="25" t="str">
        <x:v>PRIORITY_180</x:v>
      </x:c>
      <x:c r="C257" s="24" t="str"/>
      <x:c r="D257" s="25" t="str">
        <x:v>9</x:v>
      </x:c>
      <x:c r="E257" s="24" t="str">
        <x:v>FT-A1988</x:v>
      </x:c>
      <x:c r="F257" s="24" t="str">
        <x:v>global security</x:v>
      </x:c>
      <x:c r="G257" s="25" t="str">
        <x:v>D</x:v>
      </x:c>
      <x:c r="H257" s="25" t="str">
        <x:v>V2</x:v>
      </x:c>
      <x:c r="I257" s="24" t="str">
        <x:v>S1988-TORONTO</x:v>
      </x:c>
      <x:c r="J257" s="25" t="str">
        <x:v>E1</x:v>
      </x:c>
      <x:c r="K257" s="25" t="str">
        <x:v>PRIORITY_RANK=16;ORIGINAL_ROW_CONFIDENCE_NOT_EXPOSED</x:v>
      </x:c>
      <x:c r="L257" s="24" t="str">
        <x:v>NOT_EXPOSED</x:v>
      </x:c>
      <x:c r="M257" s="25" t="str">
        <x:v>PRIORITY_RANK_16</x:v>
      </x:c>
      <x:c r="N257" s="25" t="str">
        <x:v>RECONSTRUCTED_FROM_REPORT</x:v>
      </x:c>
      <x:c r="O257" s="25" t="str">
        <x:v>UNRESOLVED</x:v>
      </x:c>
      <x:c r="P257" s="24" t="str">
        <x:v>Fear of Temperature_ Stratified Lexical Expansion, Voice Mapping, and Semantic-Relational Pre-Valida.pdf</x:v>
      </x:c>
      <x:c r="Q257" s="25" t="str">
        <x:v>RECONSTRUCTED_FROM_REPORT</x:v>
      </x:c>
      <x:c r="R257" s="27" t="str">
        <x:v>New surrogate project ID assigned from the compact report table; never an original later-stage structured candidate ID.</x:v>
      </x:c>
    </x:row>
    <x:row r="258" ht="19" customHeight="1">
      <x:c r="A258" s="23" t="str">
        <x:v>FT-SEED-R1B-P-1988-17</x:v>
      </x:c>
      <x:c r="B258" s="25" t="str">
        <x:v>PRIORITY_180</x:v>
      </x:c>
      <x:c r="C258" s="24" t="str"/>
      <x:c r="D258" s="25" t="str">
        <x:v>9</x:v>
      </x:c>
      <x:c r="E258" s="24" t="str">
        <x:v>FT-A1988</x:v>
      </x:c>
      <x:c r="F258" s="24" t="str">
        <x:v>climate warming</x:v>
      </x:c>
      <x:c r="G258" s="25" t="str">
        <x:v>A</x:v>
      </x:c>
      <x:c r="H258" s="25" t="str">
        <x:v>V2</x:v>
      </x:c>
      <x:c r="I258" s="24" t="str">
        <x:v>S1988-TORONTO</x:v>
      </x:c>
      <x:c r="J258" s="25" t="str"/>
      <x:c r="K258" s="25" t="str">
        <x:v>PRIORITY_RANK=17;ORIGINAL_ROW_CONFIDENCE_NOT_EXPOSED</x:v>
      </x:c>
      <x:c r="L258" s="24" t="str">
        <x:v>NOT_EXPOSED</x:v>
      </x:c>
      <x:c r="M258" s="25" t="str">
        <x:v>PRIORITY_RANK_17</x:v>
      </x:c>
      <x:c r="N258" s="25" t="str">
        <x:v>RECONSTRUCTED_FROM_REPORT</x:v>
      </x:c>
      <x:c r="O258" s="25" t="str">
        <x:v>UNRESOLVED</x:v>
      </x:c>
      <x:c r="P258" s="24" t="str">
        <x:v>Fear of Temperature_ Stratified Lexical Expansion, Voice Mapping, and Semantic-Relational Pre-Valida.pdf</x:v>
      </x:c>
      <x:c r="Q258" s="25" t="str">
        <x:v>RECONSTRUCTED_FROM_REPORT</x:v>
      </x:c>
      <x:c r="R258" s="27" t="str">
        <x:v>New surrogate project ID assigned from the compact report table; never an original later-stage structured candidate ID.</x:v>
      </x:c>
    </x:row>
    <x:row r="259" ht="19" customHeight="1">
      <x:c r="A259" s="23" t="str">
        <x:v>FT-SEED-R1B-P-1988-18</x:v>
      </x:c>
      <x:c r="B259" s="25" t="str">
        <x:v>PRIORITY_180</x:v>
      </x:c>
      <x:c r="C259" s="24" t="str"/>
      <x:c r="D259" s="25" t="str">
        <x:v>9</x:v>
      </x:c>
      <x:c r="E259" s="24" t="str">
        <x:v>FT-A1988</x:v>
      </x:c>
      <x:c r="F259" s="24" t="str">
        <x:v>changed climatic extremes</x:v>
      </x:c>
      <x:c r="G259" s="25" t="str">
        <x:v>D</x:v>
      </x:c>
      <x:c r="H259" s="25" t="str">
        <x:v>V2</x:v>
      </x:c>
      <x:c r="I259" s="24" t="str">
        <x:v>S1988-TORONTO</x:v>
      </x:c>
      <x:c r="J259" s="25" t="str"/>
      <x:c r="K259" s="25" t="str">
        <x:v>PRIORITY_RANK=18;ORIGINAL_ROW_CONFIDENCE_NOT_EXPOSED</x:v>
      </x:c>
      <x:c r="L259" s="24" t="str">
        <x:v>NOT_EXPOSED</x:v>
      </x:c>
      <x:c r="M259" s="25" t="str">
        <x:v>PRIORITY_RANK_18</x:v>
      </x:c>
      <x:c r="N259" s="25" t="str">
        <x:v>RECONSTRUCTED_FROM_REPORT</x:v>
      </x:c>
      <x:c r="O259" s="25" t="str">
        <x:v>UNRESOLVED</x:v>
      </x:c>
      <x:c r="P259" s="24" t="str">
        <x:v>Fear of Temperature_ Stratified Lexical Expansion, Voice Mapping, and Semantic-Relational Pre-Valida.pdf</x:v>
      </x:c>
      <x:c r="Q259" s="25" t="str">
        <x:v>RECONSTRUCTED_FROM_REPORT</x:v>
      </x:c>
      <x:c r="R259" s="27" t="str">
        <x:v>New surrogate project ID assigned from the compact report table; never an original later-stage structured candidate ID.</x:v>
      </x:c>
    </x:row>
    <x:row r="260" ht="19" customHeight="1">
      <x:c r="A260" s="23" t="str">
        <x:v>FT-SEED-R1B-P-1988-19</x:v>
      </x:c>
      <x:c r="B260" s="25" t="str">
        <x:v>PRIORITY_180</x:v>
      </x:c>
      <x:c r="C260" s="24" t="str"/>
      <x:c r="D260" s="25" t="str">
        <x:v>9</x:v>
      </x:c>
      <x:c r="E260" s="24" t="str">
        <x:v>FT-A1988</x:v>
      </x:c>
      <x:c r="F260" s="24" t="str">
        <x:v>major threat</x:v>
      </x:c>
      <x:c r="G260" s="25" t="str">
        <x:v>D</x:v>
      </x:c>
      <x:c r="H260" s="25" t="str">
        <x:v>V2</x:v>
      </x:c>
      <x:c r="I260" s="24" t="str">
        <x:v>S1988-TORONTO</x:v>
      </x:c>
      <x:c r="J260" s="25" t="str"/>
      <x:c r="K260" s="25" t="str">
        <x:v>PRIORITY_RANK=19;ORIGINAL_ROW_CONFIDENCE_NOT_EXPOSED</x:v>
      </x:c>
      <x:c r="L260" s="24" t="str">
        <x:v>NOT_EXPOSED</x:v>
      </x:c>
      <x:c r="M260" s="25" t="str">
        <x:v>PRIORITY_RANK_19</x:v>
      </x:c>
      <x:c r="N260" s="25" t="str">
        <x:v>RECONSTRUCTED_FROM_REPORT</x:v>
      </x:c>
      <x:c r="O260" s="25" t="str">
        <x:v>UNRESOLVED</x:v>
      </x:c>
      <x:c r="P260" s="24" t="str">
        <x:v>Fear of Temperature_ Stratified Lexical Expansion, Voice Mapping, and Semantic-Relational Pre-Valida.pdf</x:v>
      </x:c>
      <x:c r="Q260" s="25" t="str">
        <x:v>RECONSTRUCTED_FROM_REPORT</x:v>
      </x:c>
      <x:c r="R260" s="27" t="str">
        <x:v>New surrogate project ID assigned from the compact report table; never an original later-stage structured candidate ID.</x:v>
      </x:c>
    </x:row>
    <x:row r="261" ht="19" customHeight="1">
      <x:c r="A261" s="23" t="str">
        <x:v>FT-SEED-R1B-P-1988-20</x:v>
      </x:c>
      <x:c r="B261" s="25" t="str">
        <x:v>PRIORITY_180</x:v>
      </x:c>
      <x:c r="C261" s="24" t="str"/>
      <x:c r="D261" s="25" t="str">
        <x:v>9</x:v>
      </x:c>
      <x:c r="E261" s="24" t="str">
        <x:v>FT-A1988</x:v>
      </x:c>
      <x:c r="F261" s="24" t="str">
        <x:v>harmful consequences</x:v>
      </x:c>
      <x:c r="G261" s="25" t="str">
        <x:v>D</x:v>
      </x:c>
      <x:c r="H261" s="25" t="str">
        <x:v>V2</x:v>
      </x:c>
      <x:c r="I261" s="24" t="str">
        <x:v>S1988-TORONTO</x:v>
      </x:c>
      <x:c r="J261" s="25" t="str"/>
      <x:c r="K261" s="25" t="str">
        <x:v>PRIORITY_RANK=20;ORIGINAL_ROW_CONFIDENCE_NOT_EXPOSED</x:v>
      </x:c>
      <x:c r="L261" s="24" t="str">
        <x:v>NOT_EXPOSED</x:v>
      </x:c>
      <x:c r="M261" s="25" t="str">
        <x:v>PRIORITY_RANK_20</x:v>
      </x:c>
      <x:c r="N261" s="25" t="str">
        <x:v>RECONSTRUCTED_FROM_REPORT</x:v>
      </x:c>
      <x:c r="O261" s="25" t="str">
        <x:v>UNRESOLVED</x:v>
      </x:c>
      <x:c r="P261" s="24" t="str">
        <x:v>Fear of Temperature_ Stratified Lexical Expansion, Voice Mapping, and Semantic-Relational Pre-Valida.pdf</x:v>
      </x:c>
      <x:c r="Q261" s="25" t="str">
        <x:v>RECONSTRUCTED_FROM_REPORT</x:v>
      </x:c>
      <x:c r="R261" s="27" t="str">
        <x:v>New surrogate project ID assigned from the compact report table; never an original later-stage structured candidate ID.</x:v>
      </x:c>
    </x:row>
    <x:row r="262" ht="19" customHeight="1">
      <x:c r="A262" s="23" t="str">
        <x:v>FT-SEED-R1B-P-1988-21</x:v>
      </x:c>
      <x:c r="B262" s="25" t="str">
        <x:v>PRIORITY_180</x:v>
      </x:c>
      <x:c r="C262" s="24" t="str"/>
      <x:c r="D262" s="25" t="str">
        <x:v>9</x:v>
      </x:c>
      <x:c r="E262" s="24" t="str">
        <x:v>FT-A1988</x:v>
      </x:c>
      <x:c r="F262" s="24" t="str">
        <x:v>grave threats</x:v>
      </x:c>
      <x:c r="G262" s="25" t="str">
        <x:v>D</x:v>
      </x:c>
      <x:c r="H262" s="25" t="str">
        <x:v>V2</x:v>
      </x:c>
      <x:c r="I262" s="24" t="str">
        <x:v>S1988-TORONTO</x:v>
      </x:c>
      <x:c r="J262" s="25" t="str"/>
      <x:c r="K262" s="25" t="str">
        <x:v>PRIORITY_RANK=21;ORIGINAL_ROW_CONFIDENCE_NOT_EXPOSED</x:v>
      </x:c>
      <x:c r="L262" s="24" t="str">
        <x:v>NOT_EXPOSED</x:v>
      </x:c>
      <x:c r="M262" s="25" t="str">
        <x:v>PRIORITY_RANK_21</x:v>
      </x:c>
      <x:c r="N262" s="25" t="str">
        <x:v>RECONSTRUCTED_FROM_REPORT</x:v>
      </x:c>
      <x:c r="O262" s="25" t="str">
        <x:v>UNRESOLVED</x:v>
      </x:c>
      <x:c r="P262" s="24" t="str">
        <x:v>Fear of Temperature_ Stratified Lexical Expansion, Voice Mapping, and Semantic-Relational Pre-Valida.pdf</x:v>
      </x:c>
      <x:c r="Q262" s="25" t="str">
        <x:v>RECONSTRUCTED_FROM_REPORT</x:v>
      </x:c>
      <x:c r="R262" s="27" t="str">
        <x:v>New surrogate project ID assigned from the compact report table; never an original later-stage structured candidate ID.</x:v>
      </x:c>
    </x:row>
    <x:row r="263" ht="19" customHeight="1">
      <x:c r="A263" s="23" t="str">
        <x:v>FT-SEED-R1B-P-1988-22</x:v>
      </x:c>
      <x:c r="B263" s="25" t="str">
        <x:v>PRIORITY_180</x:v>
      </x:c>
      <x:c r="C263" s="24" t="str"/>
      <x:c r="D263" s="25" t="str">
        <x:v>9</x:v>
      </x:c>
      <x:c r="E263" s="24" t="str">
        <x:v>FT-A1988</x:v>
      </x:c>
      <x:c r="F263" s="24" t="str">
        <x:v>severe economic and social dislocation</x:v>
      </x:c>
      <x:c r="G263" s="25" t="str">
        <x:v>D</x:v>
      </x:c>
      <x:c r="H263" s="25" t="str">
        <x:v>V2</x:v>
      </x:c>
      <x:c r="I263" s="24" t="str">
        <x:v>S1988-TORONTO</x:v>
      </x:c>
      <x:c r="J263" s="25" t="str"/>
      <x:c r="K263" s="25" t="str">
        <x:v>PRIORITY_RANK=22;ORIGINAL_ROW_CONFIDENCE_NOT_EXPOSED</x:v>
      </x:c>
      <x:c r="L263" s="24" t="str">
        <x:v>NOT_EXPOSED</x:v>
      </x:c>
      <x:c r="M263" s="25" t="str">
        <x:v>PRIORITY_RANK_22</x:v>
      </x:c>
      <x:c r="N263" s="25" t="str">
        <x:v>RECONSTRUCTED_FROM_REPORT</x:v>
      </x:c>
      <x:c r="O263" s="25" t="str">
        <x:v>UNRESOLVED</x:v>
      </x:c>
      <x:c r="P263" s="24" t="str">
        <x:v>Fear of Temperature_ Stratified Lexical Expansion, Voice Mapping, and Semantic-Relational Pre-Valida.pdf</x:v>
      </x:c>
      <x:c r="Q263" s="25" t="str">
        <x:v>RECONSTRUCTED_FROM_REPORT</x:v>
      </x:c>
      <x:c r="R263" s="27" t="str">
        <x:v>New surrogate project ID assigned from the compact report table; never an original later-stage structured candidate ID.</x:v>
      </x:c>
    </x:row>
    <x:row r="264" ht="19" customHeight="1">
      <x:c r="A264" s="23" t="str">
        <x:v>FT-SEED-R1B-P-1988-23</x:v>
      </x:c>
      <x:c r="B264" s="25" t="str">
        <x:v>PRIORITY_180</x:v>
      </x:c>
      <x:c r="C264" s="24" t="str"/>
      <x:c r="D264" s="25" t="str">
        <x:v>9</x:v>
      </x:c>
      <x:c r="E264" s="24" t="str">
        <x:v>FT-A1988</x:v>
      </x:c>
      <x:c r="F264" s="24" t="str">
        <x:v>risk of conflicts</x:v>
      </x:c>
      <x:c r="G264" s="25" t="str">
        <x:v>D</x:v>
      </x:c>
      <x:c r="H264" s="25" t="str">
        <x:v>V2</x:v>
      </x:c>
      <x:c r="I264" s="24" t="str">
        <x:v>S1988-TORONTO</x:v>
      </x:c>
      <x:c r="J264" s="25" t="str"/>
      <x:c r="K264" s="25" t="str">
        <x:v>PRIORITY_RANK=23;ORIGINAL_ROW_CONFIDENCE_NOT_EXPOSED</x:v>
      </x:c>
      <x:c r="L264" s="24" t="str">
        <x:v>NOT_EXPOSED</x:v>
      </x:c>
      <x:c r="M264" s="25" t="str">
        <x:v>PRIORITY_RANK_23</x:v>
      </x:c>
      <x:c r="N264" s="25" t="str">
        <x:v>RECONSTRUCTED_FROM_REPORT</x:v>
      </x:c>
      <x:c r="O264" s="25" t="str">
        <x:v>UNRESOLVED</x:v>
      </x:c>
      <x:c r="P264" s="24" t="str">
        <x:v>Fear of Temperature_ Stratified Lexical Expansion, Voice Mapping, and Semantic-Relational Pre-Valida.pdf</x:v>
      </x:c>
      <x:c r="Q264" s="25" t="str">
        <x:v>RECONSTRUCTED_FROM_REPORT</x:v>
      </x:c>
      <x:c r="R264" s="27" t="str">
        <x:v>New surrogate project ID assigned from the compact report table; never an original later-stage structured candidate ID.</x:v>
      </x:c>
    </x:row>
    <x:row r="265" ht="19" customHeight="1">
      <x:c r="A265" s="23" t="str">
        <x:v>FT-SEED-R1B-P-1988-24</x:v>
      </x:c>
      <x:c r="B265" s="25" t="str">
        <x:v>PRIORITY_180</x:v>
      </x:c>
      <x:c r="C265" s="24" t="str"/>
      <x:c r="D265" s="25" t="str">
        <x:v>9</x:v>
      </x:c>
      <x:c r="E265" s="24" t="str">
        <x:v>FT-A1988</x:v>
      </x:c>
      <x:c r="F265" s="24" t="str">
        <x:v>impending crisis</x:v>
      </x:c>
      <x:c r="G265" s="25" t="str">
        <x:v>D</x:v>
      </x:c>
      <x:c r="H265" s="25" t="str">
        <x:v>V2</x:v>
      </x:c>
      <x:c r="I265" s="24" t="str">
        <x:v>S1988-TORONTO</x:v>
      </x:c>
      <x:c r="J265" s="25" t="str"/>
      <x:c r="K265" s="25" t="str">
        <x:v>PRIORITY_RANK=24;ORIGINAL_ROW_CONFIDENCE_NOT_EXPOSED</x:v>
      </x:c>
      <x:c r="L265" s="24" t="str">
        <x:v>NOT_EXPOSED</x:v>
      </x:c>
      <x:c r="M265" s="25" t="str">
        <x:v>PRIORITY_RANK_24</x:v>
      </x:c>
      <x:c r="N265" s="25" t="str">
        <x:v>RECONSTRUCTED_FROM_REPORT</x:v>
      </x:c>
      <x:c r="O265" s="25" t="str">
        <x:v>UNRESOLVED</x:v>
      </x:c>
      <x:c r="P265" s="24" t="str">
        <x:v>Fear of Temperature_ Stratified Lexical Expansion, Voice Mapping, and Semantic-Relational Pre-Valida.pdf</x:v>
      </x:c>
      <x:c r="Q265" s="25" t="str">
        <x:v>RECONSTRUCTED_FROM_REPORT</x:v>
      </x:c>
      <x:c r="R265" s="27" t="str">
        <x:v>New surrogate project ID assigned from the compact report table; never an original later-stage structured candidate ID.</x:v>
      </x:c>
    </x:row>
    <x:row r="266" ht="19" customHeight="1">
      <x:c r="A266" s="23" t="str">
        <x:v>FT-SEED-R1B-P-1988-25</x:v>
      </x:c>
      <x:c r="B266" s="25" t="str">
        <x:v>PRIORITY_180</x:v>
      </x:c>
      <x:c r="C266" s="24" t="str"/>
      <x:c r="D266" s="25" t="str">
        <x:v>9</x:v>
      </x:c>
      <x:c r="E266" s="24" t="str">
        <x:v>FT-A1988</x:v>
      </x:c>
      <x:c r="F266" s="24" t="str">
        <x:v>degradation of the atmosphere</x:v>
      </x:c>
      <x:c r="G266" s="25" t="str">
        <x:v>D</x:v>
      </x:c>
      <x:c r="H266" s="25" t="str">
        <x:v>V2</x:v>
      </x:c>
      <x:c r="I266" s="24" t="str">
        <x:v>S1988-TORONTO</x:v>
      </x:c>
      <x:c r="J266" s="25" t="str"/>
      <x:c r="K266" s="25" t="str">
        <x:v>PRIORITY_RANK=25;ORIGINAL_ROW_CONFIDENCE_NOT_EXPOSED</x:v>
      </x:c>
      <x:c r="L266" s="24" t="str">
        <x:v>NOT_EXPOSED</x:v>
      </x:c>
      <x:c r="M266" s="25" t="str">
        <x:v>PRIORITY_RANK_25</x:v>
      </x:c>
      <x:c r="N266" s="25" t="str">
        <x:v>RECONSTRUCTED_FROM_REPORT</x:v>
      </x:c>
      <x:c r="O266" s="25" t="str">
        <x:v>UNRESOLVED</x:v>
      </x:c>
      <x:c r="P266" s="24" t="str">
        <x:v>Fear of Temperature_ Stratified Lexical Expansion, Voice Mapping, and Semantic-Relational Pre-Valida.pdf</x:v>
      </x:c>
      <x:c r="Q266" s="25" t="str">
        <x:v>RECONSTRUCTED_FROM_REPORT</x:v>
      </x:c>
      <x:c r="R266" s="27" t="str">
        <x:v>New surrogate project ID assigned from the compact report table; never an original later-stage structured candidate ID.</x:v>
      </x:c>
    </x:row>
    <x:row r="267" ht="19" customHeight="1">
      <x:c r="A267" s="23" t="str">
        <x:v>FT-SEED-R1B-P-1988-26</x:v>
      </x:c>
      <x:c r="B267" s="25" t="str">
        <x:v>PRIORITY_180</x:v>
      </x:c>
      <x:c r="C267" s="24" t="str"/>
      <x:c r="D267" s="25" t="str">
        <x:v>9</x:v>
      </x:c>
      <x:c r="E267" s="24" t="str">
        <x:v>FT-A1988</x:v>
      </x:c>
      <x:c r="F267" s="24" t="str">
        <x:v>atmospheric pollution</x:v>
      </x:c>
      <x:c r="G267" s="25" t="str">
        <x:v>D</x:v>
      </x:c>
      <x:c r="H267" s="25" t="str">
        <x:v>V2</x:v>
      </x:c>
      <x:c r="I267" s="24" t="str">
        <x:v>S1988-TORONTO</x:v>
      </x:c>
      <x:c r="J267" s="25" t="str"/>
      <x:c r="K267" s="25" t="str">
        <x:v>PRIORITY_RANK=26;ORIGINAL_ROW_CONFIDENCE_NOT_EXPOSED</x:v>
      </x:c>
      <x:c r="L267" s="24" t="str">
        <x:v>NOT_EXPOSED</x:v>
      </x:c>
      <x:c r="M267" s="25" t="str">
        <x:v>PRIORITY_RANK_26</x:v>
      </x:c>
      <x:c r="N267" s="25" t="str">
        <x:v>RECONSTRUCTED_FROM_REPORT</x:v>
      </x:c>
      <x:c r="O267" s="25" t="str">
        <x:v>UNRESOLVED</x:v>
      </x:c>
      <x:c r="P267" s="24" t="str">
        <x:v>Fear of Temperature_ Stratified Lexical Expansion, Voice Mapping, and Semantic-Relational Pre-Valida.pdf</x:v>
      </x:c>
      <x:c r="Q267" s="25" t="str">
        <x:v>RECONSTRUCTED_FROM_REPORT</x:v>
      </x:c>
      <x:c r="R267" s="27" t="str">
        <x:v>New surrogate project ID assigned from the compact report table; never an original later-stage structured candidate ID.</x:v>
      </x:c>
    </x:row>
    <x:row r="268" ht="19" customHeight="1">
      <x:c r="A268" s="23" t="str">
        <x:v>FT-SEED-R1B-P-1988-27</x:v>
      </x:c>
      <x:c r="B268" s="25" t="str">
        <x:v>PRIORITY_180</x:v>
      </x:c>
      <x:c r="C268" s="24" t="str"/>
      <x:c r="D268" s="25" t="str">
        <x:v>9</x:v>
      </x:c>
      <x:c r="E268" s="24" t="str">
        <x:v>FT-A1988</x:v>
      </x:c>
      <x:c r="F268" s="24" t="str">
        <x:v>greenhouse gases</x:v>
      </x:c>
      <x:c r="G268" s="25" t="str">
        <x:v>B</x:v>
      </x:c>
      <x:c r="H268" s="25" t="str">
        <x:v>V2</x:v>
      </x:c>
      <x:c r="I268" s="24" t="str">
        <x:v>S1988-TORONTO</x:v>
      </x:c>
      <x:c r="J268" s="25" t="str"/>
      <x:c r="K268" s="25" t="str">
        <x:v>PRIORITY_RANK=27;ORIGINAL_ROW_CONFIDENCE_NOT_EXPOSED</x:v>
      </x:c>
      <x:c r="L268" s="24" t="str">
        <x:v>NOT_EXPOSED</x:v>
      </x:c>
      <x:c r="M268" s="25" t="str">
        <x:v>PRIORITY_RANK_27</x:v>
      </x:c>
      <x:c r="N268" s="25" t="str">
        <x:v>RECONSTRUCTED_FROM_REPORT</x:v>
      </x:c>
      <x:c r="O268" s="25" t="str">
        <x:v>UNRESOLVED</x:v>
      </x:c>
      <x:c r="P268" s="24" t="str">
        <x:v>Fear of Temperature_ Stratified Lexical Expansion, Voice Mapping, and Semantic-Relational Pre-Valida.pdf</x:v>
      </x:c>
      <x:c r="Q268" s="25" t="str">
        <x:v>RECONSTRUCTED_FROM_REPORT</x:v>
      </x:c>
      <x:c r="R268" s="27" t="str">
        <x:v>New surrogate project ID assigned from the compact report table; never an original later-stage structured candidate ID.</x:v>
      </x:c>
    </x:row>
    <x:row r="269" ht="19" customHeight="1">
      <x:c r="A269" s="23" t="str">
        <x:v>FT-SEED-R1B-P-1988-28</x:v>
      </x:c>
      <x:c r="B269" s="25" t="str">
        <x:v>PRIORITY_180</x:v>
      </x:c>
      <x:c r="C269" s="24" t="str"/>
      <x:c r="D269" s="25" t="str">
        <x:v>9</x:v>
      </x:c>
      <x:c r="E269" s="24" t="str">
        <x:v>FT-A1988</x:v>
      </x:c>
      <x:c r="F269" s="24" t="str">
        <x:v>Global Warming Has Begun</x:v>
      </x:c>
      <x:c r="G269" s="25" t="str">
        <x:v>A</x:v>
      </x:c>
      <x:c r="H269" s="25" t="str">
        <x:v>V3</x:v>
      </x:c>
      <x:c r="I269" s="24" t="str">
        <x:v>S1988-NYT</x:v>
      </x:c>
      <x:c r="J269" s="25" t="str"/>
      <x:c r="K269" s="25" t="str">
        <x:v>PRIORITY_RANK=28;ORIGINAL_ROW_CONFIDENCE_NOT_EXPOSED</x:v>
      </x:c>
      <x:c r="L269" s="24" t="str">
        <x:v>NOT_EXPOSED</x:v>
      </x:c>
      <x:c r="M269" s="25" t="str">
        <x:v>PRIORITY_RANK_28</x:v>
      </x:c>
      <x:c r="N269" s="25" t="str">
        <x:v>RECONSTRUCTED_FROM_REPORT</x:v>
      </x:c>
      <x:c r="O269" s="25" t="str">
        <x:v>UNRESOLVED</x:v>
      </x:c>
      <x:c r="P269" s="24" t="str">
        <x:v>Fear of Temperature_ Stratified Lexical Expansion, Voice Mapping, and Semantic-Relational Pre-Valida.pdf</x:v>
      </x:c>
      <x:c r="Q269" s="25" t="str">
        <x:v>RECONSTRUCTED_FROM_REPORT</x:v>
      </x:c>
      <x:c r="R269" s="27" t="str">
        <x:v>New surrogate project ID assigned from the compact report table; never an original later-stage structured candidate ID.</x:v>
      </x:c>
    </x:row>
    <x:row r="270" ht="19" customHeight="1">
      <x:c r="A270" s="23" t="str">
        <x:v>FT-SEED-R1B-P-1988-29</x:v>
      </x:c>
      <x:c r="B270" s="25" t="str">
        <x:v>PRIORITY_180</x:v>
      </x:c>
      <x:c r="C270" s="24" t="str"/>
      <x:c r="D270" s="25" t="str">
        <x:v>9</x:v>
      </x:c>
      <x:c r="E270" s="24" t="str">
        <x:v>FT-A1988</x:v>
      </x:c>
      <x:c r="F270" s="24" t="str">
        <x:v>evidence is pretty strong</x:v>
      </x:c>
      <x:c r="G270" s="25" t="str">
        <x:v>C</x:v>
      </x:c>
      <x:c r="H270" s="25" t="str">
        <x:v>V3</x:v>
      </x:c>
      <x:c r="I270" s="24" t="str">
        <x:v>S1988-NYT</x:v>
      </x:c>
      <x:c r="J270" s="25" t="str"/>
      <x:c r="K270" s="25" t="str">
        <x:v>PRIORITY_RANK=29;ORIGINAL_ROW_CONFIDENCE_NOT_EXPOSED</x:v>
      </x:c>
      <x:c r="L270" s="24" t="str">
        <x:v>NOT_EXPOSED</x:v>
      </x:c>
      <x:c r="M270" s="25" t="str">
        <x:v>PRIORITY_RANK_29</x:v>
      </x:c>
      <x:c r="N270" s="25" t="str">
        <x:v>RECONSTRUCTED_FROM_REPORT</x:v>
      </x:c>
      <x:c r="O270" s="25" t="str">
        <x:v>UNRESOLVED</x:v>
      </x:c>
      <x:c r="P270" s="24" t="str">
        <x:v>Fear of Temperature_ Stratified Lexical Expansion, Voice Mapping, and Semantic-Relational Pre-Valida.pdf</x:v>
      </x:c>
      <x:c r="Q270" s="25" t="str">
        <x:v>RECONSTRUCTED_FROM_REPORT</x:v>
      </x:c>
      <x:c r="R270" s="27" t="str">
        <x:v>New surrogate project ID assigned from the compact report table; never an original later-stage structured candidate ID.</x:v>
      </x:c>
    </x:row>
    <x:row r="271" ht="19" customHeight="1">
      <x:c r="A271" s="23" t="str">
        <x:v>FT-SEED-R1B-P-1988-30</x:v>
      </x:c>
      <x:c r="B271" s="25" t="str">
        <x:v>PRIORITY_180</x:v>
      </x:c>
      <x:c r="C271" s="24" t="str"/>
      <x:c r="D271" s="25" t="str">
        <x:v>9</x:v>
      </x:c>
      <x:c r="E271" s="24" t="str">
        <x:v>FT-A1988</x:v>
      </x:c>
      <x:c r="F271" s="24" t="str">
        <x:v>too much carbon dioxide is dangerous</x:v>
      </x:c>
      <x:c r="G271" s="25" t="str">
        <x:v>D</x:v>
      </x:c>
      <x:c r="H271" s="25" t="str">
        <x:v>V3</x:v>
      </x:c>
      <x:c r="I271" s="24" t="str">
        <x:v>S1988-EVENINGSTANDARD</x:v>
      </x:c>
      <x:c r="J271" s="25" t="str"/>
      <x:c r="K271" s="25" t="str">
        <x:v>PRIORITY_RANK=30;ORIGINAL_ROW_CONFIDENCE_NOT_EXPOSED</x:v>
      </x:c>
      <x:c r="L271" s="24" t="str">
        <x:v>NOT_EXPOSED</x:v>
      </x:c>
      <x:c r="M271" s="25" t="str">
        <x:v>PRIORITY_RANK_30</x:v>
      </x:c>
      <x:c r="N271" s="25" t="str">
        <x:v>RECONSTRUCTED_FROM_REPORT</x:v>
      </x:c>
      <x:c r="O271" s="25" t="str">
        <x:v>UNRESOLVED</x:v>
      </x:c>
      <x:c r="P271" s="24" t="str">
        <x:v>Fear of Temperature_ Stratified Lexical Expansion, Voice Mapping, and Semantic-Relational Pre-Valida.pdf</x:v>
      </x:c>
      <x:c r="Q271" s="25" t="str">
        <x:v>RECONSTRUCTED_FROM_REPORT</x:v>
      </x:c>
      <x:c r="R271" s="27" t="str">
        <x:v>New surrogate project ID assigned from the compact report table; never an original later-stage structured candidate ID.</x:v>
      </x:c>
    </x:row>
    <x:row r="272" ht="19" customHeight="1">
      <x:c r="A272" s="23" t="str">
        <x:v>FT-SEED-R1B-P-0607-01</x:v>
      </x:c>
      <x:c r="B272" s="25" t="str">
        <x:v>PRIORITY_180</x:v>
      </x:c>
      <x:c r="C272" s="24" t="str"/>
      <x:c r="D272" s="25" t="str">
        <x:v>10</x:v>
      </x:c>
      <x:c r="E272" s="24" t="str">
        <x:v>FT-A0607</x:v>
      </x:c>
      <x:c r="F272" s="24" t="str">
        <x:v>warming of the climate system</x:v>
      </x:c>
      <x:c r="G272" s="25" t="str">
        <x:v>A</x:v>
      </x:c>
      <x:c r="H272" s="25" t="str">
        <x:v>V1</x:v>
      </x:c>
      <x:c r="I272" s="24" t="str">
        <x:v>S0607-IPCC</x:v>
      </x:c>
      <x:c r="J272" s="25" t="str"/>
      <x:c r="K272" s="25" t="str">
        <x:v>PRIORITY_RANK=1;ORIGINAL_ROW_CONFIDENCE_NOT_EXPOSED</x:v>
      </x:c>
      <x:c r="L272" s="24" t="str">
        <x:v>NOT_EXPOSED</x:v>
      </x:c>
      <x:c r="M272" s="25" t="str">
        <x:v>PRIORITY_RANK_01</x:v>
      </x:c>
      <x:c r="N272" s="25" t="str">
        <x:v>RECONSTRUCTED_FROM_REPORT</x:v>
      </x:c>
      <x:c r="O272" s="25" t="str">
        <x:v>UNRESOLVED</x:v>
      </x:c>
      <x:c r="P272" s="24" t="str">
        <x:v>Fear of Temperature_ Stratified Lexical Expansion, Voice Mapping, and Semantic-Relational Pre-Valida.pdf</x:v>
      </x:c>
      <x:c r="Q272" s="25" t="str">
        <x:v>RECONSTRUCTED_FROM_REPORT</x:v>
      </x:c>
      <x:c r="R272" s="27" t="str">
        <x:v>New surrogate project ID assigned from the compact report table; never an original later-stage structured candidate ID.</x:v>
      </x:c>
    </x:row>
    <x:row r="273" ht="19" customHeight="1">
      <x:c r="A273" s="23" t="str">
        <x:v>FT-SEED-R1B-P-0607-02</x:v>
      </x:c>
      <x:c r="B273" s="25" t="str">
        <x:v>PRIORITY_180</x:v>
      </x:c>
      <x:c r="C273" s="24" t="str"/>
      <x:c r="D273" s="25" t="str">
        <x:v>10</x:v>
      </x:c>
      <x:c r="E273" s="24" t="str">
        <x:v>FT-A0607</x:v>
      </x:c>
      <x:c r="F273" s="24" t="str">
        <x:v>unequivocal</x:v>
      </x:c>
      <x:c r="G273" s="25" t="str">
        <x:v>B</x:v>
      </x:c>
      <x:c r="H273" s="25" t="str">
        <x:v>V1</x:v>
      </x:c>
      <x:c r="I273" s="24" t="str">
        <x:v>S0607-IPCC</x:v>
      </x:c>
      <x:c r="J273" s="25" t="str"/>
      <x:c r="K273" s="25" t="str">
        <x:v>PRIORITY_RANK=2;ORIGINAL_ROW_CONFIDENCE_NOT_EXPOSED</x:v>
      </x:c>
      <x:c r="L273" s="24" t="str">
        <x:v>NOT_EXPOSED</x:v>
      </x:c>
      <x:c r="M273" s="25" t="str">
        <x:v>PRIORITY_RANK_02</x:v>
      </x:c>
      <x:c r="N273" s="25" t="str">
        <x:v>RECONSTRUCTED_FROM_REPORT</x:v>
      </x:c>
      <x:c r="O273" s="25" t="str">
        <x:v>UNRESOLVED</x:v>
      </x:c>
      <x:c r="P273" s="24" t="str">
        <x:v>Fear of Temperature_ Stratified Lexical Expansion, Voice Mapping, and Semantic-Relational Pre-Valida.pdf</x:v>
      </x:c>
      <x:c r="Q273" s="25" t="str">
        <x:v>RECONSTRUCTED_FROM_REPORT</x:v>
      </x:c>
      <x:c r="R273" s="27" t="str">
        <x:v>New surrogate project ID assigned from the compact report table; never an original later-stage structured candidate ID.</x:v>
      </x:c>
    </x:row>
    <x:row r="274" ht="19" customHeight="1">
      <x:c r="A274" s="23" t="str">
        <x:v>FT-SEED-R1B-P-0607-03</x:v>
      </x:c>
      <x:c r="B274" s="25" t="str">
        <x:v>PRIORITY_180</x:v>
      </x:c>
      <x:c r="C274" s="24" t="str"/>
      <x:c r="D274" s="25" t="str">
        <x:v>10</x:v>
      </x:c>
      <x:c r="E274" s="24" t="str">
        <x:v>FT-A0607</x:v>
      </x:c>
      <x:c r="F274" s="24" t="str">
        <x:v>global average air and ocean temperatures</x:v>
      </x:c>
      <x:c r="G274" s="25" t="str">
        <x:v>A</x:v>
      </x:c>
      <x:c r="H274" s="25" t="str">
        <x:v>V1</x:v>
      </x:c>
      <x:c r="I274" s="24" t="str">
        <x:v>S0607-IPCC</x:v>
      </x:c>
      <x:c r="J274" s="25" t="str"/>
      <x:c r="K274" s="25" t="str">
        <x:v>PRIORITY_RANK=3;ORIGINAL_ROW_CONFIDENCE_NOT_EXPOSED</x:v>
      </x:c>
      <x:c r="L274" s="24" t="str">
        <x:v>NOT_EXPOSED</x:v>
      </x:c>
      <x:c r="M274" s="25" t="str">
        <x:v>PRIORITY_RANK_03</x:v>
      </x:c>
      <x:c r="N274" s="25" t="str">
        <x:v>RECONSTRUCTED_FROM_REPORT</x:v>
      </x:c>
      <x:c r="O274" s="25" t="str">
        <x:v>UNRESOLVED</x:v>
      </x:c>
      <x:c r="P274" s="24" t="str">
        <x:v>Fear of Temperature_ Stratified Lexical Expansion, Voice Mapping, and Semantic-Relational Pre-Valida.pdf</x:v>
      </x:c>
      <x:c r="Q274" s="25" t="str">
        <x:v>RECONSTRUCTED_FROM_REPORT</x:v>
      </x:c>
      <x:c r="R274" s="27" t="str">
        <x:v>New surrogate project ID assigned from the compact report table; never an original later-stage structured candidate ID.</x:v>
      </x:c>
    </x:row>
    <x:row r="275" ht="19" customHeight="1">
      <x:c r="A275" s="23" t="str">
        <x:v>FT-SEED-R1B-P-0607-04</x:v>
      </x:c>
      <x:c r="B275" s="25" t="str">
        <x:v>PRIORITY_180</x:v>
      </x:c>
      <x:c r="C275" s="24" t="str"/>
      <x:c r="D275" s="25" t="str">
        <x:v>10</x:v>
      </x:c>
      <x:c r="E275" s="24" t="str">
        <x:v>FT-A0607</x:v>
      </x:c>
      <x:c r="F275" s="24" t="str">
        <x:v>global surface temperature</x:v>
      </x:c>
      <x:c r="G275" s="25" t="str">
        <x:v>A</x:v>
      </x:c>
      <x:c r="H275" s="25" t="str">
        <x:v>V1</x:v>
      </x:c>
      <x:c r="I275" s="24" t="str">
        <x:v>S0607-IPCC</x:v>
      </x:c>
      <x:c r="J275" s="25" t="str"/>
      <x:c r="K275" s="25" t="str">
        <x:v>PRIORITY_RANK=4;ORIGINAL_ROW_CONFIDENCE_NOT_EXPOSED</x:v>
      </x:c>
      <x:c r="L275" s="24" t="str">
        <x:v>NOT_EXPOSED</x:v>
      </x:c>
      <x:c r="M275" s="25" t="str">
        <x:v>PRIORITY_RANK_04</x:v>
      </x:c>
      <x:c r="N275" s="25" t="str">
        <x:v>RECONSTRUCTED_FROM_REPORT</x:v>
      </x:c>
      <x:c r="O275" s="25" t="str">
        <x:v>UNRESOLVED</x:v>
      </x:c>
      <x:c r="P275" s="24" t="str">
        <x:v>Fear of Temperature_ Stratified Lexical Expansion, Voice Mapping, and Semantic-Relational Pre-Valida.pdf</x:v>
      </x:c>
      <x:c r="Q275" s="25" t="str">
        <x:v>RECONSTRUCTED_FROM_REPORT</x:v>
      </x:c>
      <x:c r="R275" s="27" t="str">
        <x:v>New surrogate project ID assigned from the compact report table; never an original later-stage structured candidate ID.</x:v>
      </x:c>
    </x:row>
    <x:row r="276" ht="19" customHeight="1">
      <x:c r="A276" s="23" t="str">
        <x:v>FT-SEED-R1B-P-0607-05</x:v>
      </x:c>
      <x:c r="B276" s="25" t="str">
        <x:v>PRIORITY_180</x:v>
      </x:c>
      <x:c r="C276" s="24" t="str"/>
      <x:c r="D276" s="25" t="str">
        <x:v>10</x:v>
      </x:c>
      <x:c r="E276" s="24" t="str">
        <x:v>FT-A0607</x:v>
      </x:c>
      <x:c r="F276" s="24" t="str">
        <x:v>temperature increase</x:v>
      </x:c>
      <x:c r="G276" s="25" t="str">
        <x:v>A</x:v>
      </x:c>
      <x:c r="H276" s="25" t="str">
        <x:v>V1</x:v>
      </x:c>
      <x:c r="I276" s="24" t="str">
        <x:v>S0607-IPCC</x:v>
      </x:c>
      <x:c r="J276" s="25" t="str"/>
      <x:c r="K276" s="25" t="str">
        <x:v>PRIORITY_RANK=5;ORIGINAL_ROW_CONFIDENCE_NOT_EXPOSED</x:v>
      </x:c>
      <x:c r="L276" s="24" t="str">
        <x:v>NOT_EXPOSED</x:v>
      </x:c>
      <x:c r="M276" s="25" t="str">
        <x:v>PRIORITY_RANK_05</x:v>
      </x:c>
      <x:c r="N276" s="25" t="str">
        <x:v>RECONSTRUCTED_FROM_REPORT</x:v>
      </x:c>
      <x:c r="O276" s="25" t="str">
        <x:v>UNRESOLVED</x:v>
      </x:c>
      <x:c r="P276" s="24" t="str">
        <x:v>Fear of Temperature_ Stratified Lexical Expansion, Voice Mapping, and Semantic-Relational Pre-Valida.pdf</x:v>
      </x:c>
      <x:c r="Q276" s="25" t="str">
        <x:v>RECONSTRUCTED_FROM_REPORT</x:v>
      </x:c>
      <x:c r="R276" s="27" t="str">
        <x:v>New surrogate project ID assigned from the compact report table; never an original later-stage structured candidate ID.</x:v>
      </x:c>
    </x:row>
    <x:row r="277" ht="19" customHeight="1">
      <x:c r="A277" s="23" t="str">
        <x:v>FT-SEED-R1B-P-0607-06</x:v>
      </x:c>
      <x:c r="B277" s="25" t="str">
        <x:v>PRIORITY_180</x:v>
      </x:c>
      <x:c r="C277" s="24" t="str"/>
      <x:c r="D277" s="25" t="str">
        <x:v>10</x:v>
      </x:c>
      <x:c r="E277" s="24" t="str">
        <x:v>FT-A0607</x:v>
      </x:c>
      <x:c r="F277" s="24" t="str">
        <x:v>rising global average sea level</x:v>
      </x:c>
      <x:c r="G277" s="25" t="str">
        <x:v>D</x:v>
      </x:c>
      <x:c r="H277" s="25" t="str">
        <x:v>V1</x:v>
      </x:c>
      <x:c r="I277" s="24" t="str">
        <x:v>S0607-IPCC</x:v>
      </x:c>
      <x:c r="J277" s="25" t="str"/>
      <x:c r="K277" s="25" t="str">
        <x:v>PRIORITY_RANK=6;ORIGINAL_ROW_CONFIDENCE_NOT_EXPOSED</x:v>
      </x:c>
      <x:c r="L277" s="24" t="str">
        <x:v>NOT_EXPOSED</x:v>
      </x:c>
      <x:c r="M277" s="25" t="str">
        <x:v>PRIORITY_RANK_06</x:v>
      </x:c>
      <x:c r="N277" s="25" t="str">
        <x:v>RECONSTRUCTED_FROM_REPORT</x:v>
      </x:c>
      <x:c r="O277" s="25" t="str">
        <x:v>UNRESOLVED</x:v>
      </x:c>
      <x:c r="P277" s="24" t="str">
        <x:v>Fear of Temperature_ Stratified Lexical Expansion, Voice Mapping, and Semantic-Relational Pre-Valida.pdf</x:v>
      </x:c>
      <x:c r="Q277" s="25" t="str">
        <x:v>RECONSTRUCTED_FROM_REPORT</x:v>
      </x:c>
      <x:c r="R277" s="27" t="str">
        <x:v>New surrogate project ID assigned from the compact report table; never an original later-stage structured candidate ID.</x:v>
      </x:c>
    </x:row>
    <x:row r="278" ht="19" customHeight="1">
      <x:c r="A278" s="23" t="str">
        <x:v>FT-SEED-R1B-P-0607-07</x:v>
      </x:c>
      <x:c r="B278" s="25" t="str">
        <x:v>PRIORITY_180</x:v>
      </x:c>
      <x:c r="C278" s="24" t="str"/>
      <x:c r="D278" s="25" t="str">
        <x:v>10</x:v>
      </x:c>
      <x:c r="E278" s="24" t="str">
        <x:v>FT-A0607</x:v>
      </x:c>
      <x:c r="F278" s="24" t="str">
        <x:v>widespread melting of snow and ice</x:v>
      </x:c>
      <x:c r="G278" s="25" t="str">
        <x:v>D</x:v>
      </x:c>
      <x:c r="H278" s="25" t="str">
        <x:v>V1</x:v>
      </x:c>
      <x:c r="I278" s="24" t="str">
        <x:v>S0607-IPCC</x:v>
      </x:c>
      <x:c r="J278" s="25" t="str"/>
      <x:c r="K278" s="25" t="str">
        <x:v>PRIORITY_RANK=7;ORIGINAL_ROW_CONFIDENCE_NOT_EXPOSED</x:v>
      </x:c>
      <x:c r="L278" s="24" t="str">
        <x:v>NOT_EXPOSED</x:v>
      </x:c>
      <x:c r="M278" s="25" t="str">
        <x:v>PRIORITY_RANK_07</x:v>
      </x:c>
      <x:c r="N278" s="25" t="str">
        <x:v>RECONSTRUCTED_FROM_REPORT</x:v>
      </x:c>
      <x:c r="O278" s="25" t="str">
        <x:v>UNRESOLVED</x:v>
      </x:c>
      <x:c r="P278" s="24" t="str">
        <x:v>Fear of Temperature_ Stratified Lexical Expansion, Voice Mapping, and Semantic-Relational Pre-Valida.pdf</x:v>
      </x:c>
      <x:c r="Q278" s="25" t="str">
        <x:v>RECONSTRUCTED_FROM_REPORT</x:v>
      </x:c>
      <x:c r="R278" s="27" t="str">
        <x:v>New surrogate project ID assigned from the compact report table; never an original later-stage structured candidate ID.</x:v>
      </x:c>
    </x:row>
    <x:row r="279" ht="19" customHeight="1">
      <x:c r="A279" s="23" t="str">
        <x:v>FT-SEED-R1B-P-0607-08</x:v>
      </x:c>
      <x:c r="B279" s="25" t="str">
        <x:v>PRIORITY_180</x:v>
      </x:c>
      <x:c r="C279" s="24" t="str"/>
      <x:c r="D279" s="25" t="str">
        <x:v>10</x:v>
      </x:c>
      <x:c r="E279" s="24" t="str">
        <x:v>FT-A0607</x:v>
      </x:c>
      <x:c r="F279" s="24" t="str">
        <x:v>anthropogenic CO₂</x:v>
      </x:c>
      <x:c r="G279" s="25" t="str">
        <x:v>B</x:v>
      </x:c>
      <x:c r="H279" s="25" t="str">
        <x:v>V1</x:v>
      </x:c>
      <x:c r="I279" s="24" t="str">
        <x:v>S0607-IPCC</x:v>
      </x:c>
      <x:c r="J279" s="25" t="str"/>
      <x:c r="K279" s="25" t="str">
        <x:v>PRIORITY_RANK=8;ORIGINAL_ROW_CONFIDENCE_NOT_EXPOSED</x:v>
      </x:c>
      <x:c r="L279" s="24" t="str">
        <x:v>NOT_EXPOSED</x:v>
      </x:c>
      <x:c r="M279" s="25" t="str">
        <x:v>PRIORITY_RANK_08</x:v>
      </x:c>
      <x:c r="N279" s="25" t="str">
        <x:v>RECONSTRUCTED_FROM_REPORT</x:v>
      </x:c>
      <x:c r="O279" s="25" t="str">
        <x:v>UNRESOLVED</x:v>
      </x:c>
      <x:c r="P279" s="24" t="str">
        <x:v>Fear of Temperature_ Stratified Lexical Expansion, Voice Mapping, and Semantic-Relational Pre-Valida.pdf</x:v>
      </x:c>
      <x:c r="Q279" s="25" t="str">
        <x:v>RECONSTRUCTED_FROM_REPORT</x:v>
      </x:c>
      <x:c r="R279" s="27" t="str">
        <x:v>New surrogate project ID assigned from the compact report table; never an original later-stage structured candidate ID.</x:v>
      </x:c>
    </x:row>
    <x:row r="280" ht="19" customHeight="1">
      <x:c r="A280" s="23" t="str">
        <x:v>FT-SEED-R1B-P-0607-09</x:v>
      </x:c>
      <x:c r="B280" s="25" t="str">
        <x:v>PRIORITY_180</x:v>
      </x:c>
      <x:c r="C280" s="24" t="str"/>
      <x:c r="D280" s="25" t="str">
        <x:v>10</x:v>
      </x:c>
      <x:c r="E280" s="24" t="str">
        <x:v>FT-A0607</x:v>
      </x:c>
      <x:c r="F280" s="24" t="str">
        <x:v>anthropogenic GHG emissions</x:v>
      </x:c>
      <x:c r="G280" s="25" t="str">
        <x:v>B</x:v>
      </x:c>
      <x:c r="H280" s="25" t="str">
        <x:v>V1</x:v>
      </x:c>
      <x:c r="I280" s="24" t="str">
        <x:v>S0607-IPCC</x:v>
      </x:c>
      <x:c r="J280" s="25" t="str"/>
      <x:c r="K280" s="25" t="str">
        <x:v>PRIORITY_RANK=9;ORIGINAL_ROW_CONFIDENCE_NOT_EXPOSED</x:v>
      </x:c>
      <x:c r="L280" s="24" t="str">
        <x:v>NOT_EXPOSED</x:v>
      </x:c>
      <x:c r="M280" s="25" t="str">
        <x:v>PRIORITY_RANK_09</x:v>
      </x:c>
      <x:c r="N280" s="25" t="str">
        <x:v>RECONSTRUCTED_FROM_REPORT</x:v>
      </x:c>
      <x:c r="O280" s="25" t="str">
        <x:v>UNRESOLVED</x:v>
      </x:c>
      <x:c r="P280" s="24" t="str">
        <x:v>Fear of Temperature_ Stratified Lexical Expansion, Voice Mapping, and Semantic-Relational Pre-Valida.pdf</x:v>
      </x:c>
      <x:c r="Q280" s="25" t="str">
        <x:v>RECONSTRUCTED_FROM_REPORT</x:v>
      </x:c>
      <x:c r="R280" s="27" t="str">
        <x:v>New surrogate project ID assigned from the compact report table; never an original later-stage structured candidate ID.</x:v>
      </x:c>
    </x:row>
    <x:row r="281" ht="19" customHeight="1">
      <x:c r="A281" s="23" t="str">
        <x:v>FT-SEED-R1B-P-0607-10</x:v>
      </x:c>
      <x:c r="B281" s="25" t="str">
        <x:v>PRIORITY_180</x:v>
      </x:c>
      <x:c r="C281" s="24" t="str"/>
      <x:c r="D281" s="25" t="str">
        <x:v>10</x:v>
      </x:c>
      <x:c r="E281" s="24" t="str">
        <x:v>FT-A0607</x:v>
      </x:c>
      <x:c r="F281" s="24" t="str">
        <x:v>climate change</x:v>
      </x:c>
      <x:c r="G281" s="25" t="str">
        <x:v>B</x:v>
      </x:c>
      <x:c r="H281" s="25" t="str">
        <x:v>V2</x:v>
      </x:c>
      <x:c r="I281" s="24" t="str">
        <x:v>S0607-STERN</x:v>
      </x:c>
      <x:c r="J281" s="25" t="str"/>
      <x:c r="K281" s="25" t="str">
        <x:v>PRIORITY_RANK=10;ORIGINAL_ROW_CONFIDENCE_NOT_EXPOSED</x:v>
      </x:c>
      <x:c r="L281" s="24" t="str">
        <x:v>NOT_EXPOSED</x:v>
      </x:c>
      <x:c r="M281" s="25" t="str">
        <x:v>PRIORITY_RANK_10</x:v>
      </x:c>
      <x:c r="N281" s="25" t="str">
        <x:v>RECONSTRUCTED_FROM_REPORT</x:v>
      </x:c>
      <x:c r="O281" s="25" t="str">
        <x:v>UNRESOLVED</x:v>
      </x:c>
      <x:c r="P281" s="24" t="str">
        <x:v>Fear of Temperature_ Stratified Lexical Expansion, Voice Mapping, and Semantic-Relational Pre-Valida.pdf</x:v>
      </x:c>
      <x:c r="Q281" s="25" t="str">
        <x:v>RECONSTRUCTED_FROM_REPORT</x:v>
      </x:c>
      <x:c r="R281" s="27" t="str">
        <x:v>New surrogate project ID assigned from the compact report table; never an original later-stage structured candidate ID.</x:v>
      </x:c>
    </x:row>
    <x:row r="282" ht="19" customHeight="1">
      <x:c r="A282" s="23" t="str">
        <x:v>FT-SEED-R1B-P-0607-11</x:v>
      </x:c>
      <x:c r="B282" s="25" t="str">
        <x:v>PRIORITY_180</x:v>
      </x:c>
      <x:c r="C282" s="24" t="str"/>
      <x:c r="D282" s="25" t="str">
        <x:v>10</x:v>
      </x:c>
      <x:c r="E282" s="24" t="str">
        <x:v>FT-A0607</x:v>
      </x:c>
      <x:c r="F282" s="24" t="str">
        <x:v>global warming</x:v>
      </x:c>
      <x:c r="G282" s="25" t="str">
        <x:v>A</x:v>
      </x:c>
      <x:c r="H282" s="25" t="str">
        <x:v>V3</x:v>
      </x:c>
      <x:c r="I282" s="24" t="str">
        <x:v>S0607-TIME</x:v>
      </x:c>
      <x:c r="J282" s="25" t="str"/>
      <x:c r="K282" s="25" t="str">
        <x:v>PRIORITY_RANK=11;ORIGINAL_ROW_CONFIDENCE_NOT_EXPOSED</x:v>
      </x:c>
      <x:c r="L282" s="24" t="str">
        <x:v>NOT_EXPOSED</x:v>
      </x:c>
      <x:c r="M282" s="25" t="str">
        <x:v>PRIORITY_RANK_11</x:v>
      </x:c>
      <x:c r="N282" s="25" t="str">
        <x:v>RECONSTRUCTED_FROM_REPORT</x:v>
      </x:c>
      <x:c r="O282" s="25" t="str">
        <x:v>UNRESOLVED</x:v>
      </x:c>
      <x:c r="P282" s="24" t="str">
        <x:v>Fear of Temperature_ Stratified Lexical Expansion, Voice Mapping, and Semantic-Relational Pre-Valida.pdf</x:v>
      </x:c>
      <x:c r="Q282" s="25" t="str">
        <x:v>RECONSTRUCTED_FROM_REPORT</x:v>
      </x:c>
      <x:c r="R282" s="27" t="str">
        <x:v>New surrogate project ID assigned from the compact report table; never an original later-stage structured candidate ID.</x:v>
      </x:c>
    </x:row>
    <x:row r="283" ht="19" customHeight="1">
      <x:c r="A283" s="23" t="str">
        <x:v>FT-SEED-R1B-P-0607-12</x:v>
      </x:c>
      <x:c r="B283" s="25" t="str">
        <x:v>PRIORITY_180</x:v>
      </x:c>
      <x:c r="C283" s="24" t="str"/>
      <x:c r="D283" s="25" t="str">
        <x:v>10</x:v>
      </x:c>
      <x:c r="E283" s="24" t="str">
        <x:v>FT-A0607</x:v>
      </x:c>
      <x:c r="F283" s="24" t="str">
        <x:v>serious global threat</x:v>
      </x:c>
      <x:c r="G283" s="25" t="str">
        <x:v>D</x:v>
      </x:c>
      <x:c r="H283" s="25" t="str">
        <x:v>V2</x:v>
      </x:c>
      <x:c r="I283" s="24" t="str">
        <x:v>S0607-STERN</x:v>
      </x:c>
      <x:c r="J283" s="25" t="str"/>
      <x:c r="K283" s="25" t="str">
        <x:v>PRIORITY_RANK=12;ORIGINAL_ROW_CONFIDENCE_NOT_EXPOSED</x:v>
      </x:c>
      <x:c r="L283" s="24" t="str">
        <x:v>NOT_EXPOSED</x:v>
      </x:c>
      <x:c r="M283" s="25" t="str">
        <x:v>PRIORITY_RANK_12</x:v>
      </x:c>
      <x:c r="N283" s="25" t="str">
        <x:v>RECONSTRUCTED_FROM_REPORT</x:v>
      </x:c>
      <x:c r="O283" s="25" t="str">
        <x:v>UNRESOLVED</x:v>
      </x:c>
      <x:c r="P283" s="24" t="str">
        <x:v>Fear of Temperature_ Stratified Lexical Expansion, Voice Mapping, and Semantic-Relational Pre-Valida.pdf</x:v>
      </x:c>
      <x:c r="Q283" s="25" t="str">
        <x:v>RECONSTRUCTED_FROM_REPORT</x:v>
      </x:c>
      <x:c r="R283" s="27" t="str">
        <x:v>New surrogate project ID assigned from the compact report table; never an original later-stage structured candidate ID.</x:v>
      </x:c>
    </x:row>
    <x:row r="284" ht="19" customHeight="1">
      <x:c r="A284" s="23" t="str">
        <x:v>FT-SEED-R1B-P-0607-13</x:v>
      </x:c>
      <x:c r="B284" s="25" t="str">
        <x:v>PRIORITY_180</x:v>
      </x:c>
      <x:c r="C284" s="24" t="str"/>
      <x:c r="D284" s="25" t="str">
        <x:v>10</x:v>
      </x:c>
      <x:c r="E284" s="24" t="str">
        <x:v>FT-A0607</x:v>
      </x:c>
      <x:c r="F284" s="24" t="str">
        <x:v>urgent global response</x:v>
      </x:c>
      <x:c r="G284" s="25" t="str">
        <x:v>D</x:v>
      </x:c>
      <x:c r="H284" s="25" t="str">
        <x:v>V2</x:v>
      </x:c>
      <x:c r="I284" s="24" t="str">
        <x:v>S0607-STERN</x:v>
      </x:c>
      <x:c r="J284" s="25" t="str"/>
      <x:c r="K284" s="25" t="str">
        <x:v>PRIORITY_RANK=13;ORIGINAL_ROW_CONFIDENCE_NOT_EXPOSED</x:v>
      </x:c>
      <x:c r="L284" s="24" t="str">
        <x:v>NOT_EXPOSED</x:v>
      </x:c>
      <x:c r="M284" s="25" t="str">
        <x:v>PRIORITY_RANK_13</x:v>
      </x:c>
      <x:c r="N284" s="25" t="str">
        <x:v>RECONSTRUCTED_FROM_REPORT</x:v>
      </x:c>
      <x:c r="O284" s="25" t="str">
        <x:v>UNRESOLVED</x:v>
      </x:c>
      <x:c r="P284" s="24" t="str">
        <x:v>Fear of Temperature_ Stratified Lexical Expansion, Voice Mapping, and Semantic-Relational Pre-Valida.pdf</x:v>
      </x:c>
      <x:c r="Q284" s="25" t="str">
        <x:v>RECONSTRUCTED_FROM_REPORT</x:v>
      </x:c>
      <x:c r="R284" s="27" t="str">
        <x:v>New surrogate project ID assigned from the compact report table; never an original later-stage structured candidate ID.</x:v>
      </x:c>
    </x:row>
    <x:row r="285" ht="19" customHeight="1">
      <x:c r="A285" s="23" t="str">
        <x:v>FT-SEED-R1B-P-0607-14</x:v>
      </x:c>
      <x:c r="B285" s="25" t="str">
        <x:v>PRIORITY_180</x:v>
      </x:c>
      <x:c r="C285" s="24" t="str"/>
      <x:c r="D285" s="25" t="str">
        <x:v>10</x:v>
      </x:c>
      <x:c r="E285" s="24" t="str">
        <x:v>FT-A0607</x:v>
      </x:c>
      <x:c r="F285" s="24" t="str">
        <x:v>costs and risks of climate change</x:v>
      </x:c>
      <x:c r="G285" s="25" t="str">
        <x:v>D</x:v>
      </x:c>
      <x:c r="H285" s="25" t="str">
        <x:v>V2</x:v>
      </x:c>
      <x:c r="I285" s="24" t="str">
        <x:v>S0607-STERN</x:v>
      </x:c>
      <x:c r="J285" s="25" t="str"/>
      <x:c r="K285" s="25" t="str">
        <x:v>PRIORITY_RANK=14;ORIGINAL_ROW_CONFIDENCE_NOT_EXPOSED</x:v>
      </x:c>
      <x:c r="L285" s="24" t="str">
        <x:v>NOT_EXPOSED</x:v>
      </x:c>
      <x:c r="M285" s="25" t="str">
        <x:v>PRIORITY_RANK_14</x:v>
      </x:c>
      <x:c r="N285" s="25" t="str">
        <x:v>RECONSTRUCTED_FROM_REPORT</x:v>
      </x:c>
      <x:c r="O285" s="25" t="str">
        <x:v>UNRESOLVED</x:v>
      </x:c>
      <x:c r="P285" s="24" t="str">
        <x:v>Fear of Temperature_ Stratified Lexical Expansion, Voice Mapping, and Semantic-Relational Pre-Valida.pdf</x:v>
      </x:c>
      <x:c r="Q285" s="25" t="str">
        <x:v>RECONSTRUCTED_FROM_REPORT</x:v>
      </x:c>
      <x:c r="R285" s="27" t="str">
        <x:v>New surrogate project ID assigned from the compact report table; never an original later-stage structured candidate ID.</x:v>
      </x:c>
    </x:row>
    <x:row r="286" ht="19" customHeight="1">
      <x:c r="A286" s="23" t="str">
        <x:v>FT-SEED-R1B-P-0607-15</x:v>
      </x:c>
      <x:c r="B286" s="25" t="str">
        <x:v>PRIORITY_180</x:v>
      </x:c>
      <x:c r="C286" s="24" t="str"/>
      <x:c r="D286" s="25" t="str">
        <x:v>10</x:v>
      </x:c>
      <x:c r="E286" s="24" t="str">
        <x:v>FT-A0607</x:v>
      </x:c>
      <x:c r="F286" s="24" t="str">
        <x:v>impacts of climate change</x:v>
      </x:c>
      <x:c r="G286" s="25" t="str">
        <x:v>D</x:v>
      </x:c>
      <x:c r="H286" s="25" t="str">
        <x:v>V2</x:v>
      </x:c>
      <x:c r="I286" s="24" t="str">
        <x:v>S0607-STERN</x:v>
      </x:c>
      <x:c r="J286" s="25" t="str"/>
      <x:c r="K286" s="25" t="str">
        <x:v>PRIORITY_RANK=15;ORIGINAL_ROW_CONFIDENCE_NOT_EXPOSED</x:v>
      </x:c>
      <x:c r="L286" s="24" t="str">
        <x:v>NOT_EXPOSED</x:v>
      </x:c>
      <x:c r="M286" s="25" t="str">
        <x:v>PRIORITY_RANK_15</x:v>
      </x:c>
      <x:c r="N286" s="25" t="str">
        <x:v>RECONSTRUCTED_FROM_REPORT</x:v>
      </x:c>
      <x:c r="O286" s="25" t="str">
        <x:v>UNRESOLVED</x:v>
      </x:c>
      <x:c r="P286" s="24" t="str">
        <x:v>Fear of Temperature_ Stratified Lexical Expansion, Voice Mapping, and Semantic-Relational Pre-Valida.pdf</x:v>
      </x:c>
      <x:c r="Q286" s="25" t="str">
        <x:v>RECONSTRUCTED_FROM_REPORT</x:v>
      </x:c>
      <x:c r="R286" s="27" t="str">
        <x:v>New surrogate project ID assigned from the compact report table; never an original later-stage structured candidate ID.</x:v>
      </x:c>
    </x:row>
    <x:row r="287" ht="19" customHeight="1">
      <x:c r="A287" s="23" t="str">
        <x:v>FT-SEED-R1B-P-0607-16</x:v>
      </x:c>
      <x:c r="B287" s="25" t="str">
        <x:v>PRIORITY_180</x:v>
      </x:c>
      <x:c r="C287" s="24" t="str"/>
      <x:c r="D287" s="25" t="str">
        <x:v>10</x:v>
      </x:c>
      <x:c r="E287" s="24" t="str">
        <x:v>FT-A0607</x:v>
      </x:c>
      <x:c r="F287" s="24" t="str">
        <x:v>damage</x:v>
      </x:c>
      <x:c r="G287" s="25" t="str">
        <x:v>D</x:v>
      </x:c>
      <x:c r="H287" s="25" t="str">
        <x:v>V2</x:v>
      </x:c>
      <x:c r="I287" s="24" t="str">
        <x:v>S0607-STERN</x:v>
      </x:c>
      <x:c r="J287" s="25" t="str"/>
      <x:c r="K287" s="25" t="str">
        <x:v>PRIORITY_RANK=16;ORIGINAL_ROW_CONFIDENCE_NOT_EXPOSED</x:v>
      </x:c>
      <x:c r="L287" s="24" t="str">
        <x:v>NOT_EXPOSED</x:v>
      </x:c>
      <x:c r="M287" s="25" t="str">
        <x:v>PRIORITY_RANK_16</x:v>
      </x:c>
      <x:c r="N287" s="25" t="str">
        <x:v>RECONSTRUCTED_FROM_REPORT</x:v>
      </x:c>
      <x:c r="O287" s="25" t="str">
        <x:v>UNRESOLVED</x:v>
      </x:c>
      <x:c r="P287" s="24" t="str">
        <x:v>Fear of Temperature_ Stratified Lexical Expansion, Voice Mapping, and Semantic-Relational Pre-Valida.pdf</x:v>
      </x:c>
      <x:c r="Q287" s="25" t="str">
        <x:v>RECONSTRUCTED_FROM_REPORT</x:v>
      </x:c>
      <x:c r="R287" s="27" t="str">
        <x:v>New surrogate project ID assigned from the compact report table; never an original later-stage structured candidate ID.</x:v>
      </x:c>
    </x:row>
    <x:row r="288" ht="19" customHeight="1">
      <x:c r="A288" s="23" t="str">
        <x:v>FT-SEED-R1B-P-0607-17</x:v>
      </x:c>
      <x:c r="B288" s="25" t="str">
        <x:v>PRIORITY_180</x:v>
      </x:c>
      <x:c r="C288" s="24" t="str"/>
      <x:c r="D288" s="25" t="str">
        <x:v>10</x:v>
      </x:c>
      <x:c r="E288" s="24" t="str">
        <x:v>FT-A0607</x:v>
      </x:c>
      <x:c r="F288" s="24" t="str">
        <x:v>hunger</x:v>
      </x:c>
      <x:c r="G288" s="25" t="str">
        <x:v>D</x:v>
      </x:c>
      <x:c r="H288" s="25" t="str">
        <x:v>V2</x:v>
      </x:c>
      <x:c r="I288" s="24" t="str">
        <x:v>S0607-STERN</x:v>
      </x:c>
      <x:c r="J288" s="25" t="str"/>
      <x:c r="K288" s="25" t="str">
        <x:v>PRIORITY_RANK=17;ORIGINAL_ROW_CONFIDENCE_NOT_EXPOSED</x:v>
      </x:c>
      <x:c r="L288" s="24" t="str">
        <x:v>NOT_EXPOSED</x:v>
      </x:c>
      <x:c r="M288" s="25" t="str">
        <x:v>PRIORITY_RANK_17</x:v>
      </x:c>
      <x:c r="N288" s="25" t="str">
        <x:v>RECONSTRUCTED_FROM_REPORT</x:v>
      </x:c>
      <x:c r="O288" s="25" t="str">
        <x:v>UNRESOLVED</x:v>
      </x:c>
      <x:c r="P288" s="24" t="str">
        <x:v>Fear of Temperature_ Stratified Lexical Expansion, Voice Mapping, and Semantic-Relational Pre-Valida.pdf</x:v>
      </x:c>
      <x:c r="Q288" s="25" t="str">
        <x:v>RECONSTRUCTED_FROM_REPORT</x:v>
      </x:c>
      <x:c r="R288" s="27" t="str">
        <x:v>New surrogate project ID assigned from the compact report table; never an original later-stage structured candidate ID.</x:v>
      </x:c>
    </x:row>
    <x:row r="289" ht="19" customHeight="1">
      <x:c r="A289" s="23" t="str">
        <x:v>FT-SEED-R1B-P-0607-18</x:v>
      </x:c>
      <x:c r="B289" s="25" t="str">
        <x:v>PRIORITY_180</x:v>
      </x:c>
      <x:c r="C289" s="24" t="str"/>
      <x:c r="D289" s="25" t="str">
        <x:v>10</x:v>
      </x:c>
      <x:c r="E289" s="24" t="str">
        <x:v>FT-A0607</x:v>
      </x:c>
      <x:c r="F289" s="24" t="str">
        <x:v>water shortages</x:v>
      </x:c>
      <x:c r="G289" s="25" t="str">
        <x:v>D</x:v>
      </x:c>
      <x:c r="H289" s="25" t="str">
        <x:v>V2</x:v>
      </x:c>
      <x:c r="I289" s="24" t="str">
        <x:v>S0607-STERN</x:v>
      </x:c>
      <x:c r="J289" s="25" t="str"/>
      <x:c r="K289" s="25" t="str">
        <x:v>PRIORITY_RANK=18;ORIGINAL_ROW_CONFIDENCE_NOT_EXPOSED</x:v>
      </x:c>
      <x:c r="L289" s="24" t="str">
        <x:v>NOT_EXPOSED</x:v>
      </x:c>
      <x:c r="M289" s="25" t="str">
        <x:v>PRIORITY_RANK_18</x:v>
      </x:c>
      <x:c r="N289" s="25" t="str">
        <x:v>RECONSTRUCTED_FROM_REPORT</x:v>
      </x:c>
      <x:c r="O289" s="25" t="str">
        <x:v>UNRESOLVED</x:v>
      </x:c>
      <x:c r="P289" s="24" t="str">
        <x:v>Fear of Temperature_ Stratified Lexical Expansion, Voice Mapping, and Semantic-Relational Pre-Valida.pdf</x:v>
      </x:c>
      <x:c r="Q289" s="25" t="str">
        <x:v>RECONSTRUCTED_FROM_REPORT</x:v>
      </x:c>
      <x:c r="R289" s="27" t="str">
        <x:v>New surrogate project ID assigned from the compact report table; never an original later-stage structured candidate ID.</x:v>
      </x:c>
    </x:row>
    <x:row r="290" ht="19" customHeight="1">
      <x:c r="A290" s="23" t="str">
        <x:v>FT-SEED-R1B-P-0607-19</x:v>
      </x:c>
      <x:c r="B290" s="25" t="str">
        <x:v>PRIORITY_180</x:v>
      </x:c>
      <x:c r="C290" s="24" t="str"/>
      <x:c r="D290" s="25" t="str">
        <x:v>10</x:v>
      </x:c>
      <x:c r="E290" s="24" t="str">
        <x:v>FT-A0607</x:v>
      </x:c>
      <x:c r="F290" s="24" t="str">
        <x:v>coastal flooding</x:v>
      </x:c>
      <x:c r="G290" s="25" t="str">
        <x:v>D</x:v>
      </x:c>
      <x:c r="H290" s="25" t="str">
        <x:v>V2</x:v>
      </x:c>
      <x:c r="I290" s="24" t="str">
        <x:v>S0607-STERN</x:v>
      </x:c>
      <x:c r="J290" s="25" t="str"/>
      <x:c r="K290" s="25" t="str">
        <x:v>PRIORITY_RANK=19;ORIGINAL_ROW_CONFIDENCE_NOT_EXPOSED</x:v>
      </x:c>
      <x:c r="L290" s="24" t="str">
        <x:v>NOT_EXPOSED</x:v>
      </x:c>
      <x:c r="M290" s="25" t="str">
        <x:v>PRIORITY_RANK_19</x:v>
      </x:c>
      <x:c r="N290" s="25" t="str">
        <x:v>RECONSTRUCTED_FROM_REPORT</x:v>
      </x:c>
      <x:c r="O290" s="25" t="str">
        <x:v>UNRESOLVED</x:v>
      </x:c>
      <x:c r="P290" s="24" t="str">
        <x:v>Fear of Temperature_ Stratified Lexical Expansion, Voice Mapping, and Semantic-Relational Pre-Valida.pdf</x:v>
      </x:c>
      <x:c r="Q290" s="25" t="str">
        <x:v>RECONSTRUCTED_FROM_REPORT</x:v>
      </x:c>
      <x:c r="R290" s="27" t="str">
        <x:v>New surrogate project ID assigned from the compact report table; never an original later-stage structured candidate ID.</x:v>
      </x:c>
    </x:row>
    <x:row r="291" ht="19" customHeight="1">
      <x:c r="A291" s="23" t="str">
        <x:v>FT-SEED-R1B-P-0607-20</x:v>
      </x:c>
      <x:c r="B291" s="25" t="str">
        <x:v>PRIORITY_180</x:v>
      </x:c>
      <x:c r="C291" s="24" t="str"/>
      <x:c r="D291" s="25" t="str">
        <x:v>10</x:v>
      </x:c>
      <x:c r="E291" s="24" t="str">
        <x:v>FT-A0607</x:v>
      </x:c>
      <x:c r="F291" s="24" t="str">
        <x:v>worst impacts</x:v>
      </x:c>
      <x:c r="G291" s="25" t="str">
        <x:v>D</x:v>
      </x:c>
      <x:c r="H291" s="25" t="str">
        <x:v>V2</x:v>
      </x:c>
      <x:c r="I291" s="24" t="str">
        <x:v>S0607-STERN</x:v>
      </x:c>
      <x:c r="J291" s="25" t="str"/>
      <x:c r="K291" s="25" t="str">
        <x:v>PRIORITY_RANK=20;ORIGINAL_ROW_CONFIDENCE_NOT_EXPOSED</x:v>
      </x:c>
      <x:c r="L291" s="24" t="str">
        <x:v>NOT_EXPOSED</x:v>
      </x:c>
      <x:c r="M291" s="25" t="str">
        <x:v>PRIORITY_RANK_20</x:v>
      </x:c>
      <x:c r="N291" s="25" t="str">
        <x:v>RECONSTRUCTED_FROM_REPORT</x:v>
      </x:c>
      <x:c r="O291" s="25" t="str">
        <x:v>UNRESOLVED</x:v>
      </x:c>
      <x:c r="P291" s="24" t="str">
        <x:v>Fear of Temperature_ Stratified Lexical Expansion, Voice Mapping, and Semantic-Relational Pre-Valida.pdf</x:v>
      </x:c>
      <x:c r="Q291" s="25" t="str">
        <x:v>RECONSTRUCTED_FROM_REPORT</x:v>
      </x:c>
      <x:c r="R291" s="27" t="str">
        <x:v>New surrogate project ID assigned from the compact report table; never an original later-stage structured candidate ID.</x:v>
      </x:c>
    </x:row>
    <x:row r="292" ht="19" customHeight="1">
      <x:c r="A292" s="23" t="str">
        <x:v>FT-SEED-R1B-P-0607-21</x:v>
      </x:c>
      <x:c r="B292" s="25" t="str">
        <x:v>PRIORITY_180</x:v>
      </x:c>
      <x:c r="C292" s="24" t="str"/>
      <x:c r="D292" s="25" t="str">
        <x:v>10</x:v>
      </x:c>
      <x:c r="E292" s="24" t="str">
        <x:v>FT-A0607</x:v>
      </x:c>
      <x:c r="F292" s="24" t="str">
        <x:v>Be Worried. Be Very Worried.</x:v>
      </x:c>
      <x:c r="G292" s="25" t="str">
        <x:v>C</x:v>
      </x:c>
      <x:c r="H292" s="25" t="str">
        <x:v>V3</x:v>
      </x:c>
      <x:c r="I292" s="24" t="str">
        <x:v>S0607-TIME</x:v>
      </x:c>
      <x:c r="J292" s="25" t="str">
        <x:v>E1</x:v>
      </x:c>
      <x:c r="K292" s="25" t="str">
        <x:v>PRIORITY_RANK=21;ORIGINAL_ROW_CONFIDENCE_NOT_EXPOSED</x:v>
      </x:c>
      <x:c r="L292" s="24" t="str">
        <x:v>NOT_EXPOSED</x:v>
      </x:c>
      <x:c r="M292" s="25" t="str">
        <x:v>PRIORITY_RANK_21</x:v>
      </x:c>
      <x:c r="N292" s="25" t="str">
        <x:v>RECONSTRUCTED_FROM_REPORT</x:v>
      </x:c>
      <x:c r="O292" s="25" t="str">
        <x:v>UNRESOLVED</x:v>
      </x:c>
      <x:c r="P292" s="24" t="str">
        <x:v>Fear of Temperature_ Stratified Lexical Expansion, Voice Mapping, and Semantic-Relational Pre-Valida.pdf</x:v>
      </x:c>
      <x:c r="Q292" s="25" t="str">
        <x:v>RECONSTRUCTED_FROM_REPORT</x:v>
      </x:c>
      <x:c r="R292" s="27" t="str">
        <x:v>New surrogate project ID assigned from the compact report table; never an original later-stage structured candidate ID.</x:v>
      </x:c>
    </x:row>
    <x:row r="293" ht="19" customHeight="1">
      <x:c r="A293" s="23" t="str">
        <x:v>FT-SEED-R1B-P-0607-22</x:v>
      </x:c>
      <x:c r="B293" s="25" t="str">
        <x:v>PRIORITY_180</x:v>
      </x:c>
      <x:c r="C293" s="24" t="str"/>
      <x:c r="D293" s="25" t="str">
        <x:v>10</x:v>
      </x:c>
      <x:c r="E293" s="24" t="str">
        <x:v>FT-A0607</x:v>
      </x:c>
      <x:c r="F293" s="24" t="str">
        <x:v>personally worry</x:v>
      </x:c>
      <x:c r="G293" s="25" t="str">
        <x:v>C</x:v>
      </x:c>
      <x:c r="H293" s="25" t="str">
        <x:v>V5</x:v>
      </x:c>
      <x:c r="I293" s="24" t="str">
        <x:v>S0607-GALLUP</x:v>
      </x:c>
      <x:c r="J293" s="25" t="str">
        <x:v>E3</x:v>
      </x:c>
      <x:c r="K293" s="25" t="str">
        <x:v>PRIORITY_RANK=22;ORIGINAL_ROW_CONFIDENCE_NOT_EXPOSED</x:v>
      </x:c>
      <x:c r="L293" s="24" t="str">
        <x:v>NOT_EXPOSED</x:v>
      </x:c>
      <x:c r="M293" s="25" t="str">
        <x:v>PRIORITY_RANK_22</x:v>
      </x:c>
      <x:c r="N293" s="25" t="str">
        <x:v>RECONSTRUCTED_FROM_REPORT</x:v>
      </x:c>
      <x:c r="O293" s="25" t="str">
        <x:v>UNRESOLVED</x:v>
      </x:c>
      <x:c r="P293" s="24" t="str">
        <x:v>Fear of Temperature_ Stratified Lexical Expansion, Voice Mapping, and Semantic-Relational Pre-Valida.pdf</x:v>
      </x:c>
      <x:c r="Q293" s="25" t="str">
        <x:v>RECONSTRUCTED_FROM_REPORT</x:v>
      </x:c>
      <x:c r="R293" s="27" t="str">
        <x:v>New surrogate project ID assigned from the compact report table; never an original later-stage structured candidate ID.</x:v>
      </x:c>
    </x:row>
    <x:row r="294" ht="19" customHeight="1">
      <x:c r="A294" s="23" t="str">
        <x:v>FT-SEED-R1B-P-0607-23</x:v>
      </x:c>
      <x:c r="B294" s="25" t="str">
        <x:v>PRIORITY_180</x:v>
      </x:c>
      <x:c r="C294" s="24" t="str"/>
      <x:c r="D294" s="25" t="str">
        <x:v>10</x:v>
      </x:c>
      <x:c r="E294" s="24" t="str">
        <x:v>FT-A0607</x:v>
      </x:c>
      <x:c r="F294" s="24" t="str">
        <x:v>worry a great deal</x:v>
      </x:c>
      <x:c r="G294" s="25" t="str">
        <x:v>C</x:v>
      </x:c>
      <x:c r="H294" s="25" t="str">
        <x:v>V5</x:v>
      </x:c>
      <x:c r="I294" s="24" t="str">
        <x:v>S0607-GALLUP</x:v>
      </x:c>
      <x:c r="J294" s="25" t="str"/>
      <x:c r="K294" s="25" t="str">
        <x:v>PRIORITY_RANK=23;ORIGINAL_ROW_CONFIDENCE_NOT_EXPOSED</x:v>
      </x:c>
      <x:c r="L294" s="24" t="str">
        <x:v>NOT_EXPOSED</x:v>
      </x:c>
      <x:c r="M294" s="25" t="str">
        <x:v>PRIORITY_RANK_23</x:v>
      </x:c>
      <x:c r="N294" s="25" t="str">
        <x:v>RECONSTRUCTED_FROM_REPORT</x:v>
      </x:c>
      <x:c r="O294" s="25" t="str">
        <x:v>UNRESOLVED</x:v>
      </x:c>
      <x:c r="P294" s="24" t="str">
        <x:v>Fear of Temperature_ Stratified Lexical Expansion, Voice Mapping, and Semantic-Relational Pre-Valida.pdf</x:v>
      </x:c>
      <x:c r="Q294" s="25" t="str">
        <x:v>RECONSTRUCTED_FROM_REPORT</x:v>
      </x:c>
      <x:c r="R294" s="27" t="str">
        <x:v>New surrogate project ID assigned from the compact report table; never an original later-stage structured candidate ID.</x:v>
      </x:c>
    </x:row>
    <x:row r="295" ht="19" customHeight="1">
      <x:c r="A295" s="23" t="str">
        <x:v>FT-SEED-R1B-P-0607-24</x:v>
      </x:c>
      <x:c r="B295" s="25" t="str">
        <x:v>PRIORITY_180</x:v>
      </x:c>
      <x:c r="C295" s="24" t="str"/>
      <x:c r="D295" s="25" t="str">
        <x:v>10</x:v>
      </x:c>
      <x:c r="E295" s="24" t="str">
        <x:v>FT-A0607</x:v>
      </x:c>
      <x:c r="F295" s="24" t="str">
        <x:v>serious problem</x:v>
      </x:c>
      <x:c r="G295" s="25" t="str">
        <x:v>D</x:v>
      </x:c>
      <x:c r="H295" s="25" t="str">
        <x:v>V5</x:v>
      </x:c>
      <x:c r="I295" s="24" t="str">
        <x:v>S0607-YALE-MAR</x:v>
      </x:c>
      <x:c r="J295" s="25" t="str"/>
      <x:c r="K295" s="25" t="str">
        <x:v>PRIORITY_RANK=24;ORIGINAL_ROW_CONFIDENCE_NOT_EXPOSED</x:v>
      </x:c>
      <x:c r="L295" s="24" t="str">
        <x:v>NOT_EXPOSED</x:v>
      </x:c>
      <x:c r="M295" s="25" t="str">
        <x:v>PRIORITY_RANK_24</x:v>
      </x:c>
      <x:c r="N295" s="25" t="str">
        <x:v>RECONSTRUCTED_FROM_REPORT</x:v>
      </x:c>
      <x:c r="O295" s="25" t="str">
        <x:v>UNRESOLVED</x:v>
      </x:c>
      <x:c r="P295" s="24" t="str">
        <x:v>Fear of Temperature_ Stratified Lexical Expansion, Voice Mapping, and Semantic-Relational Pre-Valida.pdf</x:v>
      </x:c>
      <x:c r="Q295" s="25" t="str">
        <x:v>RECONSTRUCTED_FROM_REPORT</x:v>
      </x:c>
      <x:c r="R295" s="27" t="str">
        <x:v>New surrogate project ID assigned from the compact report table; never an original later-stage structured candidate ID.</x:v>
      </x:c>
    </x:row>
    <x:row r="296" ht="19" customHeight="1">
      <x:c r="A296" s="23" t="str">
        <x:v>FT-SEED-R1B-P-0607-25</x:v>
      </x:c>
      <x:c r="B296" s="25" t="str">
        <x:v>PRIORITY_180</x:v>
      </x:c>
      <x:c r="C296" s="24" t="str"/>
      <x:c r="D296" s="25" t="str">
        <x:v>10</x:v>
      </x:c>
      <x:c r="E296" s="24" t="str">
        <x:v>FT-A0607</x:v>
      </x:c>
      <x:c r="F296" s="24" t="str">
        <x:v>danger</x:v>
      </x:c>
      <x:c r="G296" s="25" t="str">
        <x:v>D</x:v>
      </x:c>
      <x:c r="H296" s="25" t="str">
        <x:v>V5</x:v>
      </x:c>
      <x:c r="I296" s="24" t="str">
        <x:v>S0607-YALE-MAR</x:v>
      </x:c>
      <x:c r="J296" s="25" t="str"/>
      <x:c r="K296" s="25" t="str">
        <x:v>PRIORITY_RANK=25;ORIGINAL_ROW_CONFIDENCE_NOT_EXPOSED</x:v>
      </x:c>
      <x:c r="L296" s="24" t="str">
        <x:v>NOT_EXPOSED</x:v>
      </x:c>
      <x:c r="M296" s="25" t="str">
        <x:v>PRIORITY_RANK_25</x:v>
      </x:c>
      <x:c r="N296" s="25" t="str">
        <x:v>RECONSTRUCTED_FROM_REPORT</x:v>
      </x:c>
      <x:c r="O296" s="25" t="str">
        <x:v>UNRESOLVED</x:v>
      </x:c>
      <x:c r="P296" s="24" t="str">
        <x:v>Fear of Temperature_ Stratified Lexical Expansion, Voice Mapping, and Semantic-Relational Pre-Valida.pdf</x:v>
      </x:c>
      <x:c r="Q296" s="25" t="str">
        <x:v>RECONSTRUCTED_FROM_REPORT</x:v>
      </x:c>
      <x:c r="R296" s="27" t="str">
        <x:v>New surrogate project ID assigned from the compact report table; never an original later-stage structured candidate ID.</x:v>
      </x:c>
    </x:row>
    <x:row r="297" ht="19" customHeight="1">
      <x:c r="A297" s="23" t="str">
        <x:v>FT-SEED-R1B-P-0607-26</x:v>
      </x:c>
      <x:c r="B297" s="25" t="str">
        <x:v>PRIORITY_180</x:v>
      </x:c>
      <x:c r="C297" s="24" t="str"/>
      <x:c r="D297" s="25" t="str">
        <x:v>10</x:v>
      </x:c>
      <x:c r="E297" s="24" t="str">
        <x:v>FT-A0607</x:v>
      </x:c>
      <x:c r="F297" s="24" t="str">
        <x:v>urgent threat</x:v>
      </x:c>
      <x:c r="G297" s="25" t="str">
        <x:v>D</x:v>
      </x:c>
      <x:c r="H297" s="25" t="str">
        <x:v>V5</x:v>
      </x:c>
      <x:c r="I297" s="24" t="str">
        <x:v>S0607-YALE-JUL</x:v>
      </x:c>
      <x:c r="J297" s="25" t="str"/>
      <x:c r="K297" s="25" t="str">
        <x:v>PRIORITY_RANK=26;ORIGINAL_ROW_CONFIDENCE_NOT_EXPOSED</x:v>
      </x:c>
      <x:c r="L297" s="24" t="str">
        <x:v>NOT_EXPOSED</x:v>
      </x:c>
      <x:c r="M297" s="25" t="str">
        <x:v>PRIORITY_RANK_26</x:v>
      </x:c>
      <x:c r="N297" s="25" t="str">
        <x:v>RECONSTRUCTED_FROM_REPORT</x:v>
      </x:c>
      <x:c r="O297" s="25" t="str">
        <x:v>UNRESOLVED</x:v>
      </x:c>
      <x:c r="P297" s="24" t="str">
        <x:v>Fear of Temperature_ Stratified Lexical Expansion, Voice Mapping, and Semantic-Relational Pre-Valida.pdf</x:v>
      </x:c>
      <x:c r="Q297" s="25" t="str">
        <x:v>RECONSTRUCTED_FROM_REPORT</x:v>
      </x:c>
      <x:c r="R297" s="27" t="str">
        <x:v>New surrogate project ID assigned from the compact report table; never an original later-stage structured candidate ID.</x:v>
      </x:c>
    </x:row>
    <x:row r="298" ht="19" customHeight="1">
      <x:c r="A298" s="23" t="str">
        <x:v>FT-SEED-R1B-P-0607-27</x:v>
      </x:c>
      <x:c r="B298" s="25" t="str">
        <x:v>PRIORITY_180</x:v>
      </x:c>
      <x:c r="C298" s="24" t="str"/>
      <x:c r="D298" s="25" t="str">
        <x:v>10</x:v>
      </x:c>
      <x:c r="E298" s="24" t="str">
        <x:v>FT-A0607</x:v>
      </x:c>
      <x:c r="F298" s="24" t="str">
        <x:v>dangerous impacts</x:v>
      </x:c>
      <x:c r="G298" s="25" t="str">
        <x:v>D</x:v>
      </x:c>
      <x:c r="H298" s="25" t="str">
        <x:v>V5</x:v>
      </x:c>
      <x:c r="I298" s="24" t="str">
        <x:v>S0607-YALE-JUL</x:v>
      </x:c>
      <x:c r="J298" s="25" t="str"/>
      <x:c r="K298" s="25" t="str">
        <x:v>PRIORITY_RANK=27;ORIGINAL_ROW_CONFIDENCE_NOT_EXPOSED</x:v>
      </x:c>
      <x:c r="L298" s="24" t="str">
        <x:v>NOT_EXPOSED</x:v>
      </x:c>
      <x:c r="M298" s="25" t="str">
        <x:v>PRIORITY_RANK_27</x:v>
      </x:c>
      <x:c r="N298" s="25" t="str">
        <x:v>RECONSTRUCTED_FROM_REPORT</x:v>
      </x:c>
      <x:c r="O298" s="25" t="str">
        <x:v>UNRESOLVED</x:v>
      </x:c>
      <x:c r="P298" s="24" t="str">
        <x:v>Fear of Temperature_ Stratified Lexical Expansion, Voice Mapping, and Semantic-Relational Pre-Valida.pdf</x:v>
      </x:c>
      <x:c r="Q298" s="25" t="str">
        <x:v>RECONSTRUCTED_FROM_REPORT</x:v>
      </x:c>
      <x:c r="R298" s="27" t="str">
        <x:v>New surrogate project ID assigned from the compact report table; never an original later-stage structured candidate ID.</x:v>
      </x:c>
    </x:row>
    <x:row r="299" ht="19" customHeight="1">
      <x:c r="A299" s="23" t="str">
        <x:v>FT-SEED-R1B-P-0607-28</x:v>
      </x:c>
      <x:c r="B299" s="25" t="str">
        <x:v>PRIORITY_180</x:v>
      </x:c>
      <x:c r="C299" s="24" t="str"/>
      <x:c r="D299" s="25" t="str">
        <x:v>10</x:v>
      </x:c>
      <x:c r="E299" s="24" t="str">
        <x:v>FT-A0607</x:v>
      </x:c>
      <x:c r="F299" s="24" t="str">
        <x:v>drastic action</x:v>
      </x:c>
      <x:c r="G299" s="25" t="str">
        <x:v>D</x:v>
      </x:c>
      <x:c r="H299" s="25" t="str">
        <x:v>V5</x:v>
      </x:c>
      <x:c r="I299" s="24" t="str">
        <x:v>S0607-YALE-JUL</x:v>
      </x:c>
      <x:c r="J299" s="25" t="str"/>
      <x:c r="K299" s="25" t="str">
        <x:v>PRIORITY_RANK=28;ORIGINAL_ROW_CONFIDENCE_NOT_EXPOSED</x:v>
      </x:c>
      <x:c r="L299" s="24" t="str">
        <x:v>NOT_EXPOSED</x:v>
      </x:c>
      <x:c r="M299" s="25" t="str">
        <x:v>PRIORITY_RANK_28</x:v>
      </x:c>
      <x:c r="N299" s="25" t="str">
        <x:v>RECONSTRUCTED_FROM_REPORT</x:v>
      </x:c>
      <x:c r="O299" s="25" t="str">
        <x:v>UNRESOLVED</x:v>
      </x:c>
      <x:c r="P299" s="24" t="str">
        <x:v>Fear of Temperature_ Stratified Lexical Expansion, Voice Mapping, and Semantic-Relational Pre-Valida.pdf</x:v>
      </x:c>
      <x:c r="Q299" s="25" t="str">
        <x:v>RECONSTRUCTED_FROM_REPORT</x:v>
      </x:c>
      <x:c r="R299" s="27" t="str">
        <x:v>New surrogate project ID assigned from the compact report table; never an original later-stage structured candidate ID.</x:v>
      </x:c>
    </x:row>
    <x:row r="300" ht="19" customHeight="1">
      <x:c r="A300" s="23" t="str">
        <x:v>FT-SEED-R1B-P-0607-29</x:v>
      </x:c>
      <x:c r="B300" s="25" t="str">
        <x:v>PRIORITY_180</x:v>
      </x:c>
      <x:c r="C300" s="24" t="str"/>
      <x:c r="D300" s="25" t="str">
        <x:v>10</x:v>
      </x:c>
      <x:c r="E300" s="24" t="str">
        <x:v>FT-A0607</x:v>
      </x:c>
      <x:c r="F300" s="24" t="str">
        <x:v>dangerous climate change</x:v>
      </x:c>
      <x:c r="G300" s="25" t="str">
        <x:v>D</x:v>
      </x:c>
      <x:c r="H300" s="25" t="str">
        <x:v>V4</x:v>
      </x:c>
      <x:c r="I300" s="24" t="str">
        <x:v>S0607-CCNI</x:v>
      </x:c>
      <x:c r="J300" s="25" t="str"/>
      <x:c r="K300" s="25" t="str">
        <x:v>PRIORITY_RANK=29;ORIGINAL_ROW_CONFIDENCE_NOT_EXPOSED</x:v>
      </x:c>
      <x:c r="L300" s="24" t="str">
        <x:v>NOT_EXPOSED</x:v>
      </x:c>
      <x:c r="M300" s="25" t="str">
        <x:v>PRIORITY_RANK_29</x:v>
      </x:c>
      <x:c r="N300" s="25" t="str">
        <x:v>RECONSTRUCTED_FROM_REPORT</x:v>
      </x:c>
      <x:c r="O300" s="25" t="str">
        <x:v>UNRESOLVED</x:v>
      </x:c>
      <x:c r="P300" s="24" t="str">
        <x:v>Fear of Temperature_ Stratified Lexical Expansion, Voice Mapping, and Semantic-Relational Pre-Valida.pdf</x:v>
      </x:c>
      <x:c r="Q300" s="25" t="str">
        <x:v>RECONSTRUCTED_FROM_REPORT</x:v>
      </x:c>
      <x:c r="R300" s="27" t="str">
        <x:v>New surrogate project ID assigned from the compact report table; never an original later-stage structured candidate ID.</x:v>
      </x:c>
    </x:row>
    <x:row r="301" ht="19" customHeight="1">
      <x:c r="A301" s="23" t="str">
        <x:v>FT-SEED-R1B-P-0607-30</x:v>
      </x:c>
      <x:c r="B301" s="25" t="str">
        <x:v>PRIORITY_180</x:v>
      </x:c>
      <x:c r="C301" s="24" t="str"/>
      <x:c r="D301" s="25" t="str">
        <x:v>10</x:v>
      </x:c>
      <x:c r="E301" s="24" t="str">
        <x:v>FT-A0607</x:v>
      </x:c>
      <x:c r="F301" s="24" t="str">
        <x:v>threatens serious negative effects</x:v>
      </x:c>
      <x:c r="G301" s="25" t="str">
        <x:v>D</x:v>
      </x:c>
      <x:c r="H301" s="25" t="str">
        <x:v>V4</x:v>
      </x:c>
      <x:c r="I301" s="24" t="str">
        <x:v>S0607-CCNI</x:v>
      </x:c>
      <x:c r="J301" s="25" t="str"/>
      <x:c r="K301" s="25" t="str">
        <x:v>PRIORITY_RANK=30;ORIGINAL_ROW_CONFIDENCE_NOT_EXPOSED</x:v>
      </x:c>
      <x:c r="L301" s="24" t="str">
        <x:v>NOT_EXPOSED</x:v>
      </x:c>
      <x:c r="M301" s="25" t="str">
        <x:v>PRIORITY_RANK_30</x:v>
      </x:c>
      <x:c r="N301" s="25" t="str">
        <x:v>RECONSTRUCTED_FROM_REPORT</x:v>
      </x:c>
      <x:c r="O301" s="25" t="str">
        <x:v>UNRESOLVED</x:v>
      </x:c>
      <x:c r="P301" s="24" t="str">
        <x:v>Fear of Temperature_ Stratified Lexical Expansion, Voice Mapping, and Semantic-Relational Pre-Valida.pdf</x:v>
      </x:c>
      <x:c r="Q301" s="25" t="str">
        <x:v>RECONSTRUCTED_FROM_REPORT</x:v>
      </x:c>
      <x:c r="R301" s="27" t="str">
        <x:v>New surrogate project ID assigned from the compact report table; never an original later-stage structured candidate ID.</x:v>
      </x:c>
    </x:row>
    <x:row r="302" ht="19" customHeight="1">
      <x:c r="A302" s="23" t="str">
        <x:v>FT-SEED-R1B-P-2015-01</x:v>
      </x:c>
      <x:c r="B302" s="25" t="str">
        <x:v>PRIORITY_180</x:v>
      </x:c>
      <x:c r="C302" s="24" t="str"/>
      <x:c r="D302" s="25" t="str">
        <x:v>11</x:v>
      </x:c>
      <x:c r="E302" s="24" t="str">
        <x:v>FT-A2015</x:v>
      </x:c>
      <x:c r="F302" s="24" t="str">
        <x:v>climate change</x:v>
      </x:c>
      <x:c r="G302" s="25" t="str">
        <x:v>B</x:v>
      </x:c>
      <x:c r="H302" s="25" t="str">
        <x:v>V2</x:v>
      </x:c>
      <x:c r="I302" s="24" t="str">
        <x:v>S2015-PARIS</x:v>
      </x:c>
      <x:c r="J302" s="25" t="str"/>
      <x:c r="K302" s="25" t="str">
        <x:v>PRIORITY_RANK=1;ORIGINAL_ROW_CONFIDENCE_NOT_EXPOSED</x:v>
      </x:c>
      <x:c r="L302" s="24" t="str">
        <x:v>NOT_EXPOSED</x:v>
      </x:c>
      <x:c r="M302" s="25" t="str">
        <x:v>PRIORITY_RANK_01</x:v>
      </x:c>
      <x:c r="N302" s="25" t="str">
        <x:v>RECONSTRUCTED_FROM_REPORT</x:v>
      </x:c>
      <x:c r="O302" s="25" t="str">
        <x:v>UNRESOLVED</x:v>
      </x:c>
      <x:c r="P302" s="24" t="str">
        <x:v>Fear of Temperature_ Stratified Lexical Expansion, Voice Mapping, and Semantic-Relational Pre-Valida.pdf</x:v>
      </x:c>
      <x:c r="Q302" s="25" t="str">
        <x:v>RECONSTRUCTED_FROM_REPORT</x:v>
      </x:c>
      <x:c r="R302" s="27" t="str">
        <x:v>New surrogate project ID assigned from the compact report table; never an original later-stage structured candidate ID.</x:v>
      </x:c>
    </x:row>
    <x:row r="303" ht="19" customHeight="1">
      <x:c r="A303" s="23" t="str">
        <x:v>FT-SEED-R1B-P-2015-02</x:v>
      </x:c>
      <x:c r="B303" s="25" t="str">
        <x:v>PRIORITY_180</x:v>
      </x:c>
      <x:c r="C303" s="24" t="str"/>
      <x:c r="D303" s="25" t="str">
        <x:v>11</x:v>
      </x:c>
      <x:c r="E303" s="24" t="str">
        <x:v>FT-A2015</x:v>
      </x:c>
      <x:c r="F303" s="24" t="str">
        <x:v>threat of climate change</x:v>
      </x:c>
      <x:c r="G303" s="25" t="str">
        <x:v>D</x:v>
      </x:c>
      <x:c r="H303" s="25" t="str">
        <x:v>V2</x:v>
      </x:c>
      <x:c r="I303" s="24" t="str">
        <x:v>S2015-PARIS</x:v>
      </x:c>
      <x:c r="J303" s="25" t="str"/>
      <x:c r="K303" s="25" t="str">
        <x:v>PRIORITY_RANK=2;ORIGINAL_ROW_CONFIDENCE_NOT_EXPOSED</x:v>
      </x:c>
      <x:c r="L303" s="24" t="str">
        <x:v>NOT_EXPOSED</x:v>
      </x:c>
      <x:c r="M303" s="25" t="str">
        <x:v>PRIORITY_RANK_02</x:v>
      </x:c>
      <x:c r="N303" s="25" t="str">
        <x:v>RECONSTRUCTED_FROM_REPORT</x:v>
      </x:c>
      <x:c r="O303" s="25" t="str">
        <x:v>UNRESOLVED</x:v>
      </x:c>
      <x:c r="P303" s="24" t="str">
        <x:v>Fear of Temperature_ Stratified Lexical Expansion, Voice Mapping, and Semantic-Relational Pre-Valida.pdf</x:v>
      </x:c>
      <x:c r="Q303" s="25" t="str">
        <x:v>RECONSTRUCTED_FROM_REPORT</x:v>
      </x:c>
      <x:c r="R303" s="27" t="str">
        <x:v>New surrogate project ID assigned from the compact report table; never an original later-stage structured candidate ID.</x:v>
      </x:c>
    </x:row>
    <x:row r="304" ht="19" customHeight="1">
      <x:c r="A304" s="23" t="str">
        <x:v>FT-SEED-R1B-P-2015-03</x:v>
      </x:c>
      <x:c r="B304" s="25" t="str">
        <x:v>PRIORITY_180</x:v>
      </x:c>
      <x:c r="C304" s="24" t="str"/>
      <x:c r="D304" s="25" t="str">
        <x:v>11</x:v>
      </x:c>
      <x:c r="E304" s="24" t="str">
        <x:v>FT-A2015</x:v>
      </x:c>
      <x:c r="F304" s="24" t="str">
        <x:v>global average temperature</x:v>
      </x:c>
      <x:c r="G304" s="25" t="str">
        <x:v>A</x:v>
      </x:c>
      <x:c r="H304" s="25" t="str">
        <x:v>V2</x:v>
      </x:c>
      <x:c r="I304" s="24" t="str">
        <x:v>S2015-PARIS</x:v>
      </x:c>
      <x:c r="J304" s="25" t="str"/>
      <x:c r="K304" s="25" t="str">
        <x:v>PRIORITY_RANK=3;ORIGINAL_ROW_CONFIDENCE_NOT_EXPOSED</x:v>
      </x:c>
      <x:c r="L304" s="24" t="str">
        <x:v>NOT_EXPOSED</x:v>
      </x:c>
      <x:c r="M304" s="25" t="str">
        <x:v>PRIORITY_RANK_03</x:v>
      </x:c>
      <x:c r="N304" s="25" t="str">
        <x:v>RECONSTRUCTED_FROM_REPORT</x:v>
      </x:c>
      <x:c r="O304" s="25" t="str">
        <x:v>UNRESOLVED</x:v>
      </x:c>
      <x:c r="P304" s="24" t="str">
        <x:v>Fear of Temperature_ Stratified Lexical Expansion, Voice Mapping, and Semantic-Relational Pre-Valida.pdf</x:v>
      </x:c>
      <x:c r="Q304" s="25" t="str">
        <x:v>RECONSTRUCTED_FROM_REPORT</x:v>
      </x:c>
      <x:c r="R304" s="27" t="str">
        <x:v>New surrogate project ID assigned from the compact report table; never an original later-stage structured candidate ID.</x:v>
      </x:c>
    </x:row>
    <x:row r="305" ht="19" customHeight="1">
      <x:c r="A305" s="23" t="str">
        <x:v>FT-SEED-R1B-P-2015-04</x:v>
      </x:c>
      <x:c r="B305" s="25" t="str">
        <x:v>PRIORITY_180</x:v>
      </x:c>
      <x:c r="C305" s="24" t="str"/>
      <x:c r="D305" s="25" t="str">
        <x:v>11</x:v>
      </x:c>
      <x:c r="E305" s="24" t="str">
        <x:v>FT-A2015</x:v>
      </x:c>
      <x:c r="F305" s="24" t="str">
        <x:v>well below 2°C above pre-industrial levels</x:v>
      </x:c>
      <x:c r="G305" s="25" t="str">
        <x:v>A</x:v>
      </x:c>
      <x:c r="H305" s="25" t="str">
        <x:v>V2</x:v>
      </x:c>
      <x:c r="I305" s="24" t="str">
        <x:v>S2015-PARIS</x:v>
      </x:c>
      <x:c r="J305" s="25" t="str"/>
      <x:c r="K305" s="25" t="str">
        <x:v>PRIORITY_RANK=4;ORIGINAL_ROW_CONFIDENCE_NOT_EXPOSED</x:v>
      </x:c>
      <x:c r="L305" s="24" t="str">
        <x:v>NOT_EXPOSED</x:v>
      </x:c>
      <x:c r="M305" s="25" t="str">
        <x:v>PRIORITY_RANK_04</x:v>
      </x:c>
      <x:c r="N305" s="25" t="str">
        <x:v>RECONSTRUCTED_FROM_REPORT</x:v>
      </x:c>
      <x:c r="O305" s="25" t="str">
        <x:v>UNRESOLVED</x:v>
      </x:c>
      <x:c r="P305" s="24" t="str">
        <x:v>Fear of Temperature_ Stratified Lexical Expansion, Voice Mapping, and Semantic-Relational Pre-Valida.pdf</x:v>
      </x:c>
      <x:c r="Q305" s="25" t="str">
        <x:v>RECONSTRUCTED_FROM_REPORT</x:v>
      </x:c>
      <x:c r="R305" s="27" t="str">
        <x:v>New surrogate project ID assigned from the compact report table; never an original later-stage structured candidate ID.</x:v>
      </x:c>
    </x:row>
    <x:row r="306" ht="19" customHeight="1">
      <x:c r="A306" s="23" t="str">
        <x:v>FT-SEED-R1B-P-2015-05</x:v>
      </x:c>
      <x:c r="B306" s="25" t="str">
        <x:v>PRIORITY_180</x:v>
      </x:c>
      <x:c r="C306" s="24" t="str"/>
      <x:c r="D306" s="25" t="str">
        <x:v>11</x:v>
      </x:c>
      <x:c r="E306" s="24" t="str">
        <x:v>FT-A2015</x:v>
      </x:c>
      <x:c r="F306" s="24" t="str">
        <x:v>1.5°C above pre-industrial levels</x:v>
      </x:c>
      <x:c r="G306" s="25" t="str">
        <x:v>A</x:v>
      </x:c>
      <x:c r="H306" s="25" t="str">
        <x:v>V2</x:v>
      </x:c>
      <x:c r="I306" s="24" t="str">
        <x:v>S2015-PARIS</x:v>
      </x:c>
      <x:c r="J306" s="25" t="str"/>
      <x:c r="K306" s="25" t="str">
        <x:v>PRIORITY_RANK=5;ORIGINAL_ROW_CONFIDENCE_NOT_EXPOSED</x:v>
      </x:c>
      <x:c r="L306" s="24" t="str">
        <x:v>NOT_EXPOSED</x:v>
      </x:c>
      <x:c r="M306" s="25" t="str">
        <x:v>PRIORITY_RANK_05</x:v>
      </x:c>
      <x:c r="N306" s="25" t="str">
        <x:v>RECONSTRUCTED_FROM_REPORT</x:v>
      </x:c>
      <x:c r="O306" s="25" t="str">
        <x:v>UNRESOLVED</x:v>
      </x:c>
      <x:c r="P306" s="24" t="str">
        <x:v>Fear of Temperature_ Stratified Lexical Expansion, Voice Mapping, and Semantic-Relational Pre-Valida.pdf</x:v>
      </x:c>
      <x:c r="Q306" s="25" t="str">
        <x:v>RECONSTRUCTED_FROM_REPORT</x:v>
      </x:c>
      <x:c r="R306" s="27" t="str">
        <x:v>New surrogate project ID assigned from the compact report table; never an original later-stage structured candidate ID.</x:v>
      </x:c>
    </x:row>
    <x:row r="307" ht="19" customHeight="1">
      <x:c r="A307" s="23" t="str">
        <x:v>FT-SEED-R1B-P-2015-06</x:v>
      </x:c>
      <x:c r="B307" s="25" t="str">
        <x:v>PRIORITY_180</x:v>
      </x:c>
      <x:c r="C307" s="24" t="str"/>
      <x:c r="D307" s="25" t="str">
        <x:v>11</x:v>
      </x:c>
      <x:c r="E307" s="24" t="str">
        <x:v>FT-A2015</x:v>
      </x:c>
      <x:c r="F307" s="24" t="str">
        <x:v>pre-industrial levels</x:v>
      </x:c>
      <x:c r="G307" s="25" t="str">
        <x:v>B</x:v>
      </x:c>
      <x:c r="H307" s="25" t="str">
        <x:v>V2</x:v>
      </x:c>
      <x:c r="I307" s="24" t="str">
        <x:v>S2015-PARIS</x:v>
      </x:c>
      <x:c r="J307" s="25" t="str"/>
      <x:c r="K307" s="25" t="str">
        <x:v>PRIORITY_RANK=6;ORIGINAL_ROW_CONFIDENCE_NOT_EXPOSED</x:v>
      </x:c>
      <x:c r="L307" s="24" t="str">
        <x:v>NOT_EXPOSED</x:v>
      </x:c>
      <x:c r="M307" s="25" t="str">
        <x:v>PRIORITY_RANK_06</x:v>
      </x:c>
      <x:c r="N307" s="25" t="str">
        <x:v>RECONSTRUCTED_FROM_REPORT</x:v>
      </x:c>
      <x:c r="O307" s="25" t="str">
        <x:v>UNRESOLVED</x:v>
      </x:c>
      <x:c r="P307" s="24" t="str">
        <x:v>Fear of Temperature_ Stratified Lexical Expansion, Voice Mapping, and Semantic-Relational Pre-Valida.pdf</x:v>
      </x:c>
      <x:c r="Q307" s="25" t="str">
        <x:v>RECONSTRUCTED_FROM_REPORT</x:v>
      </x:c>
      <x:c r="R307" s="27" t="str">
        <x:v>New surrogate project ID assigned from the compact report table; never an original later-stage structured candidate ID.</x:v>
      </x:c>
    </x:row>
    <x:row r="308" ht="19" customHeight="1">
      <x:c r="A308" s="23" t="str">
        <x:v>FT-SEED-R1B-P-2015-07</x:v>
      </x:c>
      <x:c r="B308" s="25" t="str">
        <x:v>PRIORITY_180</x:v>
      </x:c>
      <x:c r="C308" s="24" t="str"/>
      <x:c r="D308" s="25" t="str">
        <x:v>11</x:v>
      </x:c>
      <x:c r="E308" s="24" t="str">
        <x:v>FT-A2015</x:v>
      </x:c>
      <x:c r="F308" s="24" t="str">
        <x:v>risks and impacts</x:v>
      </x:c>
      <x:c r="G308" s="25" t="str">
        <x:v>D</x:v>
      </x:c>
      <x:c r="H308" s="25" t="str">
        <x:v>V2</x:v>
      </x:c>
      <x:c r="I308" s="24" t="str">
        <x:v>S2015-PARIS</x:v>
      </x:c>
      <x:c r="J308" s="25" t="str"/>
      <x:c r="K308" s="25" t="str">
        <x:v>PRIORITY_RANK=7;ORIGINAL_ROW_CONFIDENCE_NOT_EXPOSED</x:v>
      </x:c>
      <x:c r="L308" s="24" t="str">
        <x:v>NOT_EXPOSED</x:v>
      </x:c>
      <x:c r="M308" s="25" t="str">
        <x:v>PRIORITY_RANK_07</x:v>
      </x:c>
      <x:c r="N308" s="25" t="str">
        <x:v>RECONSTRUCTED_FROM_REPORT</x:v>
      </x:c>
      <x:c r="O308" s="25" t="str">
        <x:v>UNRESOLVED</x:v>
      </x:c>
      <x:c r="P308" s="24" t="str">
        <x:v>Fear of Temperature_ Stratified Lexical Expansion, Voice Mapping, and Semantic-Relational Pre-Valida.pdf</x:v>
      </x:c>
      <x:c r="Q308" s="25" t="str">
        <x:v>RECONSTRUCTED_FROM_REPORT</x:v>
      </x:c>
      <x:c r="R308" s="27" t="str">
        <x:v>New surrogate project ID assigned from the compact report table; never an original later-stage structured candidate ID.</x:v>
      </x:c>
    </x:row>
    <x:row r="309" ht="19" customHeight="1">
      <x:c r="A309" s="23" t="str">
        <x:v>FT-SEED-R1B-P-2015-08</x:v>
      </x:c>
      <x:c r="B309" s="25" t="str">
        <x:v>PRIORITY_180</x:v>
      </x:c>
      <x:c r="C309" s="24" t="str"/>
      <x:c r="D309" s="25" t="str">
        <x:v>11</x:v>
      </x:c>
      <x:c r="E309" s="24" t="str">
        <x:v>FT-A2015</x:v>
      </x:c>
      <x:c r="F309" s="24" t="str">
        <x:v>adverse impacts</x:v>
      </x:c>
      <x:c r="G309" s="25" t="str">
        <x:v>D</x:v>
      </x:c>
      <x:c r="H309" s="25" t="str">
        <x:v>V2</x:v>
      </x:c>
      <x:c r="I309" s="24" t="str">
        <x:v>S2015-PARIS</x:v>
      </x:c>
      <x:c r="J309" s="25" t="str"/>
      <x:c r="K309" s="25" t="str">
        <x:v>PRIORITY_RANK=8;ORIGINAL_ROW_CONFIDENCE_NOT_EXPOSED</x:v>
      </x:c>
      <x:c r="L309" s="24" t="str">
        <x:v>NOT_EXPOSED</x:v>
      </x:c>
      <x:c r="M309" s="25" t="str">
        <x:v>PRIORITY_RANK_08</x:v>
      </x:c>
      <x:c r="N309" s="25" t="str">
        <x:v>RECONSTRUCTED_FROM_REPORT</x:v>
      </x:c>
      <x:c r="O309" s="25" t="str">
        <x:v>UNRESOLVED</x:v>
      </x:c>
      <x:c r="P309" s="24" t="str">
        <x:v>Fear of Temperature_ Stratified Lexical Expansion, Voice Mapping, and Semantic-Relational Pre-Valida.pdf</x:v>
      </x:c>
      <x:c r="Q309" s="25" t="str">
        <x:v>RECONSTRUCTED_FROM_REPORT</x:v>
      </x:c>
      <x:c r="R309" s="27" t="str">
        <x:v>New surrogate project ID assigned from the compact report table; never an original later-stage structured candidate ID.</x:v>
      </x:c>
    </x:row>
    <x:row r="310" ht="19" customHeight="1">
      <x:c r="A310" s="23" t="str">
        <x:v>FT-SEED-R1B-P-2015-09</x:v>
      </x:c>
      <x:c r="B310" s="25" t="str">
        <x:v>PRIORITY_180</x:v>
      </x:c>
      <x:c r="C310" s="24" t="str"/>
      <x:c r="D310" s="25" t="str">
        <x:v>11</x:v>
      </x:c>
      <x:c r="E310" s="24" t="str">
        <x:v>FT-A2015</x:v>
      </x:c>
      <x:c r="F310" s="24" t="str">
        <x:v>adverse effects of climate change</x:v>
      </x:c>
      <x:c r="G310" s="25" t="str">
        <x:v>D</x:v>
      </x:c>
      <x:c r="H310" s="25" t="str">
        <x:v>V2</x:v>
      </x:c>
      <x:c r="I310" s="24" t="str">
        <x:v>S2015-PARIS</x:v>
      </x:c>
      <x:c r="J310" s="25" t="str"/>
      <x:c r="K310" s="25" t="str">
        <x:v>PRIORITY_RANK=9;ORIGINAL_ROW_CONFIDENCE_NOT_EXPOSED</x:v>
      </x:c>
      <x:c r="L310" s="24" t="str">
        <x:v>NOT_EXPOSED</x:v>
      </x:c>
      <x:c r="M310" s="25" t="str">
        <x:v>PRIORITY_RANK_09</x:v>
      </x:c>
      <x:c r="N310" s="25" t="str">
        <x:v>RECONSTRUCTED_FROM_REPORT</x:v>
      </x:c>
      <x:c r="O310" s="25" t="str">
        <x:v>UNRESOLVED</x:v>
      </x:c>
      <x:c r="P310" s="24" t="str">
        <x:v>Fear of Temperature_ Stratified Lexical Expansion, Voice Mapping, and Semantic-Relational Pre-Valida.pdf</x:v>
      </x:c>
      <x:c r="Q310" s="25" t="str">
        <x:v>RECONSTRUCTED_FROM_REPORT</x:v>
      </x:c>
      <x:c r="R310" s="27" t="str">
        <x:v>New surrogate project ID assigned from the compact report table; never an original later-stage structured candidate ID.</x:v>
      </x:c>
    </x:row>
    <x:row r="311" ht="19" customHeight="1">
      <x:c r="A311" s="23" t="str">
        <x:v>FT-SEED-R1B-P-2015-10</x:v>
      </x:c>
      <x:c r="B311" s="25" t="str">
        <x:v>PRIORITY_180</x:v>
      </x:c>
      <x:c r="C311" s="24" t="str"/>
      <x:c r="D311" s="25" t="str">
        <x:v>11</x:v>
      </x:c>
      <x:c r="E311" s="24" t="str">
        <x:v>FT-A2015</x:v>
      </x:c>
      <x:c r="F311" s="24" t="str">
        <x:v>greenhouse gas emissions</x:v>
      </x:c>
      <x:c r="G311" s="25" t="str">
        <x:v>B</x:v>
      </x:c>
      <x:c r="H311" s="25" t="str">
        <x:v>V2</x:v>
      </x:c>
      <x:c r="I311" s="24" t="str">
        <x:v>S2015-PARIS</x:v>
      </x:c>
      <x:c r="J311" s="25" t="str"/>
      <x:c r="K311" s="25" t="str">
        <x:v>PRIORITY_RANK=10;ORIGINAL_ROW_CONFIDENCE_NOT_EXPOSED</x:v>
      </x:c>
      <x:c r="L311" s="24" t="str">
        <x:v>NOT_EXPOSED</x:v>
      </x:c>
      <x:c r="M311" s="25" t="str">
        <x:v>PRIORITY_RANK_10</x:v>
      </x:c>
      <x:c r="N311" s="25" t="str">
        <x:v>RECONSTRUCTED_FROM_REPORT</x:v>
      </x:c>
      <x:c r="O311" s="25" t="str">
        <x:v>UNRESOLVED</x:v>
      </x:c>
      <x:c r="P311" s="24" t="str">
        <x:v>Fear of Temperature_ Stratified Lexical Expansion, Voice Mapping, and Semantic-Relational Pre-Valida.pdf</x:v>
      </x:c>
      <x:c r="Q311" s="25" t="str">
        <x:v>RECONSTRUCTED_FROM_REPORT</x:v>
      </x:c>
      <x:c r="R311" s="27" t="str">
        <x:v>New surrogate project ID assigned from the compact report table; never an original later-stage structured candidate ID.</x:v>
      </x:c>
    </x:row>
    <x:row r="312" ht="19" customHeight="1">
      <x:c r="A312" s="23" t="str">
        <x:v>FT-SEED-R1B-P-2015-11</x:v>
      </x:c>
      <x:c r="B312" s="25" t="str">
        <x:v>PRIORITY_180</x:v>
      </x:c>
      <x:c r="C312" s="24" t="str"/>
      <x:c r="D312" s="25" t="str">
        <x:v>11</x:v>
      </x:c>
      <x:c r="E312" s="24" t="str">
        <x:v>FT-A2015</x:v>
      </x:c>
      <x:c r="F312" s="24" t="str">
        <x:v>climate resilience</x:v>
      </x:c>
      <x:c r="G312" s="25" t="str">
        <x:v>D</x:v>
      </x:c>
      <x:c r="H312" s="25" t="str">
        <x:v>V2</x:v>
      </x:c>
      <x:c r="I312" s="24" t="str">
        <x:v>S2015-PARIS</x:v>
      </x:c>
      <x:c r="J312" s="25" t="str"/>
      <x:c r="K312" s="25" t="str">
        <x:v>PRIORITY_RANK=11;ORIGINAL_ROW_CONFIDENCE_NOT_EXPOSED</x:v>
      </x:c>
      <x:c r="L312" s="24" t="str">
        <x:v>NOT_EXPOSED</x:v>
      </x:c>
      <x:c r="M312" s="25" t="str">
        <x:v>PRIORITY_RANK_11</x:v>
      </x:c>
      <x:c r="N312" s="25" t="str">
        <x:v>RECONSTRUCTED_FROM_REPORT</x:v>
      </x:c>
      <x:c r="O312" s="25" t="str">
        <x:v>UNRESOLVED</x:v>
      </x:c>
      <x:c r="P312" s="24" t="str">
        <x:v>Fear of Temperature_ Stratified Lexical Expansion, Voice Mapping, and Semantic-Relational Pre-Valida.pdf</x:v>
      </x:c>
      <x:c r="Q312" s="25" t="str">
        <x:v>RECONSTRUCTED_FROM_REPORT</x:v>
      </x:c>
      <x:c r="R312" s="27" t="str">
        <x:v>New surrogate project ID assigned from the compact report table; never an original later-stage structured candidate ID.</x:v>
      </x:c>
    </x:row>
    <x:row r="313" ht="19" customHeight="1">
      <x:c r="A313" s="23" t="str">
        <x:v>FT-SEED-R1B-P-2015-12</x:v>
      </x:c>
      <x:c r="B313" s="25" t="str">
        <x:v>PRIORITY_180</x:v>
      </x:c>
      <x:c r="C313" s="24" t="str"/>
      <x:c r="D313" s="25" t="str">
        <x:v>11</x:v>
      </x:c>
      <x:c r="E313" s="24" t="str">
        <x:v>FT-A2015</x:v>
      </x:c>
      <x:c r="F313" s="24" t="str">
        <x:v>vulnerability</x:v>
      </x:c>
      <x:c r="G313" s="25" t="str">
        <x:v>D</x:v>
      </x:c>
      <x:c r="H313" s="25" t="str">
        <x:v>V2</x:v>
      </x:c>
      <x:c r="I313" s="24" t="str">
        <x:v>S2015-PARIS</x:v>
      </x:c>
      <x:c r="J313" s="25" t="str"/>
      <x:c r="K313" s="25" t="str">
        <x:v>PRIORITY_RANK=12;ORIGINAL_ROW_CONFIDENCE_NOT_EXPOSED</x:v>
      </x:c>
      <x:c r="L313" s="24" t="str">
        <x:v>NOT_EXPOSED</x:v>
      </x:c>
      <x:c r="M313" s="25" t="str">
        <x:v>PRIORITY_RANK_12</x:v>
      </x:c>
      <x:c r="N313" s="25" t="str">
        <x:v>RECONSTRUCTED_FROM_REPORT</x:v>
      </x:c>
      <x:c r="O313" s="25" t="str">
        <x:v>UNRESOLVED</x:v>
      </x:c>
      <x:c r="P313" s="24" t="str">
        <x:v>Fear of Temperature_ Stratified Lexical Expansion, Voice Mapping, and Semantic-Relational Pre-Valida.pdf</x:v>
      </x:c>
      <x:c r="Q313" s="25" t="str">
        <x:v>RECONSTRUCTED_FROM_REPORT</x:v>
      </x:c>
      <x:c r="R313" s="27" t="str">
        <x:v>New surrogate project ID assigned from the compact report table; never an original later-stage structured candidate ID.</x:v>
      </x:c>
    </x:row>
    <x:row r="314" ht="19" customHeight="1">
      <x:c r="A314" s="23" t="str">
        <x:v>FT-SEED-R1B-P-2015-13</x:v>
      </x:c>
      <x:c r="B314" s="25" t="str">
        <x:v>PRIORITY_180</x:v>
      </x:c>
      <x:c r="C314" s="24" t="str"/>
      <x:c r="D314" s="25" t="str">
        <x:v>11</x:v>
      </x:c>
      <x:c r="E314" s="24" t="str">
        <x:v>FT-A2015</x:v>
      </x:c>
      <x:c r="F314" s="24" t="str">
        <x:v>vulnerable groups</x:v>
      </x:c>
      <x:c r="G314" s="25" t="str">
        <x:v>D</x:v>
      </x:c>
      <x:c r="H314" s="25" t="str">
        <x:v>V2</x:v>
      </x:c>
      <x:c r="I314" s="24" t="str">
        <x:v>S2015-PARIS</x:v>
      </x:c>
      <x:c r="J314" s="25" t="str"/>
      <x:c r="K314" s="25" t="str">
        <x:v>PRIORITY_RANK=13;ORIGINAL_ROW_CONFIDENCE_NOT_EXPOSED</x:v>
      </x:c>
      <x:c r="L314" s="24" t="str">
        <x:v>NOT_EXPOSED</x:v>
      </x:c>
      <x:c r="M314" s="25" t="str">
        <x:v>PRIORITY_RANK_13</x:v>
      </x:c>
      <x:c r="N314" s="25" t="str">
        <x:v>RECONSTRUCTED_FROM_REPORT</x:v>
      </x:c>
      <x:c r="O314" s="25" t="str">
        <x:v>UNRESOLVED</x:v>
      </x:c>
      <x:c r="P314" s="24" t="str">
        <x:v>Fear of Temperature_ Stratified Lexical Expansion, Voice Mapping, and Semantic-Relational Pre-Valida.pdf</x:v>
      </x:c>
      <x:c r="Q314" s="25" t="str">
        <x:v>RECONSTRUCTED_FROM_REPORT</x:v>
      </x:c>
      <x:c r="R314" s="27" t="str">
        <x:v>New surrogate project ID assigned from the compact report table; never an original later-stage structured candidate ID.</x:v>
      </x:c>
    </x:row>
    <x:row r="315" ht="19" customHeight="1">
      <x:c r="A315" s="23" t="str">
        <x:v>FT-SEED-R1B-P-2015-14</x:v>
      </x:c>
      <x:c r="B315" s="25" t="str">
        <x:v>PRIORITY_180</x:v>
      </x:c>
      <x:c r="C315" s="24" t="str"/>
      <x:c r="D315" s="25" t="str">
        <x:v>11</x:v>
      </x:c>
      <x:c r="E315" s="24" t="str">
        <x:v>FT-A2015</x:v>
      </x:c>
      <x:c r="F315" s="24" t="str">
        <x:v>loss and damage</x:v>
      </x:c>
      <x:c r="G315" s="25" t="str">
        <x:v>D</x:v>
      </x:c>
      <x:c r="H315" s="25" t="str">
        <x:v>V2</x:v>
      </x:c>
      <x:c r="I315" s="24" t="str">
        <x:v>S2015-PARIS</x:v>
      </x:c>
      <x:c r="J315" s="25" t="str"/>
      <x:c r="K315" s="25" t="str">
        <x:v>PRIORITY_RANK=14;ORIGINAL_ROW_CONFIDENCE_NOT_EXPOSED</x:v>
      </x:c>
      <x:c r="L315" s="24" t="str">
        <x:v>NOT_EXPOSED</x:v>
      </x:c>
      <x:c r="M315" s="25" t="str">
        <x:v>PRIORITY_RANK_14</x:v>
      </x:c>
      <x:c r="N315" s="25" t="str">
        <x:v>RECONSTRUCTED_FROM_REPORT</x:v>
      </x:c>
      <x:c r="O315" s="25" t="str">
        <x:v>UNRESOLVED</x:v>
      </x:c>
      <x:c r="P315" s="24" t="str">
        <x:v>Fear of Temperature_ Stratified Lexical Expansion, Voice Mapping, and Semantic-Relational Pre-Valida.pdf</x:v>
      </x:c>
      <x:c r="Q315" s="25" t="str">
        <x:v>RECONSTRUCTED_FROM_REPORT</x:v>
      </x:c>
      <x:c r="R315" s="27" t="str">
        <x:v>New surrogate project ID assigned from the compact report table; never an original later-stage structured candidate ID.</x:v>
      </x:c>
    </x:row>
    <x:row r="316" ht="19" customHeight="1">
      <x:c r="A316" s="23" t="str">
        <x:v>FT-SEED-R1B-P-2015-15</x:v>
      </x:c>
      <x:c r="B316" s="25" t="str">
        <x:v>PRIORITY_180</x:v>
      </x:c>
      <x:c r="C316" s="24" t="str"/>
      <x:c r="D316" s="25" t="str">
        <x:v>11</x:v>
      </x:c>
      <x:c r="E316" s="24" t="str">
        <x:v>FT-A2015</x:v>
      </x:c>
      <x:c r="F316" s="24" t="str">
        <x:v>extreme weather events</x:v>
      </x:c>
      <x:c r="G316" s="25" t="str">
        <x:v>D</x:v>
      </x:c>
      <x:c r="H316" s="25" t="str">
        <x:v>V2</x:v>
      </x:c>
      <x:c r="I316" s="24" t="str">
        <x:v>S2015-PARIS</x:v>
      </x:c>
      <x:c r="J316" s="25" t="str"/>
      <x:c r="K316" s="25" t="str">
        <x:v>PRIORITY_RANK=15;ORIGINAL_ROW_CONFIDENCE_NOT_EXPOSED</x:v>
      </x:c>
      <x:c r="L316" s="24" t="str">
        <x:v>NOT_EXPOSED</x:v>
      </x:c>
      <x:c r="M316" s="25" t="str">
        <x:v>PRIORITY_RANK_15</x:v>
      </x:c>
      <x:c r="N316" s="25" t="str">
        <x:v>RECONSTRUCTED_FROM_REPORT</x:v>
      </x:c>
      <x:c r="O316" s="25" t="str">
        <x:v>UNRESOLVED</x:v>
      </x:c>
      <x:c r="P316" s="24" t="str">
        <x:v>Fear of Temperature_ Stratified Lexical Expansion, Voice Mapping, and Semantic-Relational Pre-Valida.pdf</x:v>
      </x:c>
      <x:c r="Q316" s="25" t="str">
        <x:v>RECONSTRUCTED_FROM_REPORT</x:v>
      </x:c>
      <x:c r="R316" s="27" t="str">
        <x:v>New surrogate project ID assigned from the compact report table; never an original later-stage structured candidate ID.</x:v>
      </x:c>
    </x:row>
    <x:row r="317" ht="19" customHeight="1">
      <x:c r="A317" s="23" t="str">
        <x:v>FT-SEED-R1B-P-2015-16</x:v>
      </x:c>
      <x:c r="B317" s="25" t="str">
        <x:v>PRIORITY_180</x:v>
      </x:c>
      <x:c r="C317" s="24" t="str"/>
      <x:c r="D317" s="25" t="str">
        <x:v>11</x:v>
      </x:c>
      <x:c r="E317" s="24" t="str">
        <x:v>FT-A2015</x:v>
      </x:c>
      <x:c r="F317" s="24" t="str">
        <x:v>slow onset events</x:v>
      </x:c>
      <x:c r="G317" s="25" t="str">
        <x:v>D</x:v>
      </x:c>
      <x:c r="H317" s="25" t="str">
        <x:v>V2</x:v>
      </x:c>
      <x:c r="I317" s="24" t="str">
        <x:v>S2015-PARIS</x:v>
      </x:c>
      <x:c r="J317" s="25" t="str"/>
      <x:c r="K317" s="25" t="str">
        <x:v>PRIORITY_RANK=16;ORIGINAL_ROW_CONFIDENCE_NOT_EXPOSED</x:v>
      </x:c>
      <x:c r="L317" s="24" t="str">
        <x:v>NOT_EXPOSED</x:v>
      </x:c>
      <x:c r="M317" s="25" t="str">
        <x:v>PRIORITY_RANK_16</x:v>
      </x:c>
      <x:c r="N317" s="25" t="str">
        <x:v>RECONSTRUCTED_FROM_REPORT</x:v>
      </x:c>
      <x:c r="O317" s="25" t="str">
        <x:v>UNRESOLVED</x:v>
      </x:c>
      <x:c r="P317" s="24" t="str">
        <x:v>Fear of Temperature_ Stratified Lexical Expansion, Voice Mapping, and Semantic-Relational Pre-Valida.pdf</x:v>
      </x:c>
      <x:c r="Q317" s="25" t="str">
        <x:v>RECONSTRUCTED_FROM_REPORT</x:v>
      </x:c>
      <x:c r="R317" s="27" t="str">
        <x:v>New surrogate project ID assigned from the compact report table; never an original later-stage structured candidate ID.</x:v>
      </x:c>
    </x:row>
    <x:row r="318" ht="19" customHeight="1">
      <x:c r="A318" s="23" t="str">
        <x:v>FT-SEED-R1B-P-2015-17</x:v>
      </x:c>
      <x:c r="B318" s="25" t="str">
        <x:v>PRIORITY_180</x:v>
      </x:c>
      <x:c r="C318" s="24" t="str"/>
      <x:c r="D318" s="25" t="str">
        <x:v>11</x:v>
      </x:c>
      <x:c r="E318" s="24" t="str">
        <x:v>FT-A2015</x:v>
      </x:c>
      <x:c r="F318" s="24" t="str">
        <x:v>risk of loss and damage</x:v>
      </x:c>
      <x:c r="G318" s="25" t="str">
        <x:v>D</x:v>
      </x:c>
      <x:c r="H318" s="25" t="str">
        <x:v>V2</x:v>
      </x:c>
      <x:c r="I318" s="24" t="str">
        <x:v>S2015-PARIS</x:v>
      </x:c>
      <x:c r="J318" s="25" t="str"/>
      <x:c r="K318" s="25" t="str">
        <x:v>PRIORITY_RANK=17;ORIGINAL_ROW_CONFIDENCE_NOT_EXPOSED</x:v>
      </x:c>
      <x:c r="L318" s="24" t="str">
        <x:v>NOT_EXPOSED</x:v>
      </x:c>
      <x:c r="M318" s="25" t="str">
        <x:v>PRIORITY_RANK_17</x:v>
      </x:c>
      <x:c r="N318" s="25" t="str">
        <x:v>RECONSTRUCTED_FROM_REPORT</x:v>
      </x:c>
      <x:c r="O318" s="25" t="str">
        <x:v>UNRESOLVED</x:v>
      </x:c>
      <x:c r="P318" s="24" t="str">
        <x:v>Fear of Temperature_ Stratified Lexical Expansion, Voice Mapping, and Semantic-Relational Pre-Valida.pdf</x:v>
      </x:c>
      <x:c r="Q318" s="25" t="str">
        <x:v>RECONSTRUCTED_FROM_REPORT</x:v>
      </x:c>
      <x:c r="R318" s="27" t="str">
        <x:v>New surrogate project ID assigned from the compact report table; never an original later-stage structured candidate ID.</x:v>
      </x:c>
    </x:row>
    <x:row r="319" ht="19" customHeight="1">
      <x:c r="A319" s="23" t="str">
        <x:v>FT-SEED-R1B-P-2015-18</x:v>
      </x:c>
      <x:c r="B319" s="25" t="str">
        <x:v>PRIORITY_180</x:v>
      </x:c>
      <x:c r="C319" s="24" t="str"/>
      <x:c r="D319" s="25" t="str">
        <x:v>11</x:v>
      </x:c>
      <x:c r="E319" s="24" t="str">
        <x:v>FT-A2015</x:v>
      </x:c>
      <x:c r="F319" s="24" t="str">
        <x:v>early warning systems</x:v>
      </x:c>
      <x:c r="G319" s="25" t="str">
        <x:v>D</x:v>
      </x:c>
      <x:c r="H319" s="25" t="str">
        <x:v>V2</x:v>
      </x:c>
      <x:c r="I319" s="24" t="str">
        <x:v>S2015-PARIS</x:v>
      </x:c>
      <x:c r="J319" s="25" t="str"/>
      <x:c r="K319" s="25" t="str">
        <x:v>PRIORITY_RANK=18;ORIGINAL_ROW_CONFIDENCE_NOT_EXPOSED</x:v>
      </x:c>
      <x:c r="L319" s="24" t="str">
        <x:v>NOT_EXPOSED</x:v>
      </x:c>
      <x:c r="M319" s="25" t="str">
        <x:v>PRIORITY_RANK_18</x:v>
      </x:c>
      <x:c r="N319" s="25" t="str">
        <x:v>RECONSTRUCTED_FROM_REPORT</x:v>
      </x:c>
      <x:c r="O319" s="25" t="str">
        <x:v>UNRESOLVED</x:v>
      </x:c>
      <x:c r="P319" s="24" t="str">
        <x:v>Fear of Temperature_ Stratified Lexical Expansion, Voice Mapping, and Semantic-Relational Pre-Valida.pdf</x:v>
      </x:c>
      <x:c r="Q319" s="25" t="str">
        <x:v>RECONSTRUCTED_FROM_REPORT</x:v>
      </x:c>
      <x:c r="R319" s="27" t="str">
        <x:v>New surrogate project ID assigned from the compact report table; never an original later-stage structured candidate ID.</x:v>
      </x:c>
    </x:row>
    <x:row r="320" ht="19" customHeight="1">
      <x:c r="A320" s="23" t="str">
        <x:v>FT-SEED-R1B-P-2015-19</x:v>
      </x:c>
      <x:c r="B320" s="25" t="str">
        <x:v>PRIORITY_180</x:v>
      </x:c>
      <x:c r="C320" s="24" t="str"/>
      <x:c r="D320" s="25" t="str">
        <x:v>11</x:v>
      </x:c>
      <x:c r="E320" s="24" t="str">
        <x:v>FT-A2015</x:v>
      </x:c>
      <x:c r="F320" s="24" t="str">
        <x:v>emergency preparedness</x:v>
      </x:c>
      <x:c r="G320" s="25" t="str">
        <x:v>D</x:v>
      </x:c>
      <x:c r="H320" s="25" t="str">
        <x:v>V2</x:v>
      </x:c>
      <x:c r="I320" s="24" t="str">
        <x:v>S2015-PARIS</x:v>
      </x:c>
      <x:c r="J320" s="25" t="str"/>
      <x:c r="K320" s="25" t="str">
        <x:v>PRIORITY_RANK=19;ORIGINAL_ROW_CONFIDENCE_NOT_EXPOSED</x:v>
      </x:c>
      <x:c r="L320" s="24" t="str">
        <x:v>NOT_EXPOSED</x:v>
      </x:c>
      <x:c r="M320" s="25" t="str">
        <x:v>PRIORITY_RANK_19</x:v>
      </x:c>
      <x:c r="N320" s="25" t="str">
        <x:v>RECONSTRUCTED_FROM_REPORT</x:v>
      </x:c>
      <x:c r="O320" s="25" t="str">
        <x:v>UNRESOLVED</x:v>
      </x:c>
      <x:c r="P320" s="24" t="str">
        <x:v>Fear of Temperature_ Stratified Lexical Expansion, Voice Mapping, and Semantic-Relational Pre-Valida.pdf</x:v>
      </x:c>
      <x:c r="Q320" s="25" t="str">
        <x:v>RECONSTRUCTED_FROM_REPORT</x:v>
      </x:c>
      <x:c r="R320" s="27" t="str">
        <x:v>New surrogate project ID assigned from the compact report table; never an original later-stage structured candidate ID.</x:v>
      </x:c>
    </x:row>
    <x:row r="321" ht="19" customHeight="1">
      <x:c r="A321" s="23" t="str">
        <x:v>FT-SEED-R1B-P-2015-20</x:v>
      </x:c>
      <x:c r="B321" s="25" t="str">
        <x:v>PRIORITY_180</x:v>
      </x:c>
      <x:c r="C321" s="24" t="str"/>
      <x:c r="D321" s="25" t="str">
        <x:v>11</x:v>
      </x:c>
      <x:c r="E321" s="24" t="str">
        <x:v>FT-A2015</x:v>
      </x:c>
      <x:c r="F321" s="24" t="str">
        <x:v>irreversible and permanent loss and damage</x:v>
      </x:c>
      <x:c r="G321" s="25" t="str">
        <x:v>D</x:v>
      </x:c>
      <x:c r="H321" s="25" t="str">
        <x:v>V2</x:v>
      </x:c>
      <x:c r="I321" s="24" t="str">
        <x:v>S2015-PARIS</x:v>
      </x:c>
      <x:c r="J321" s="25" t="str"/>
      <x:c r="K321" s="25" t="str">
        <x:v>PRIORITY_RANK=20;ORIGINAL_ROW_CONFIDENCE_NOT_EXPOSED</x:v>
      </x:c>
      <x:c r="L321" s="24" t="str">
        <x:v>NOT_EXPOSED</x:v>
      </x:c>
      <x:c r="M321" s="25" t="str">
        <x:v>PRIORITY_RANK_20</x:v>
      </x:c>
      <x:c r="N321" s="25" t="str">
        <x:v>RECONSTRUCTED_FROM_REPORT</x:v>
      </x:c>
      <x:c r="O321" s="25" t="str">
        <x:v>UNRESOLVED</x:v>
      </x:c>
      <x:c r="P321" s="24" t="str">
        <x:v>Fear of Temperature_ Stratified Lexical Expansion, Voice Mapping, and Semantic-Relational Pre-Valida.pdf</x:v>
      </x:c>
      <x:c r="Q321" s="25" t="str">
        <x:v>RECONSTRUCTED_FROM_REPORT</x:v>
      </x:c>
      <x:c r="R321" s="27" t="str">
        <x:v>New surrogate project ID assigned from the compact report table; never an original later-stage structured candidate ID.</x:v>
      </x:c>
    </x:row>
    <x:row r="322" ht="19" customHeight="1">
      <x:c r="A322" s="23" t="str">
        <x:v>FT-SEED-R1B-P-2015-21</x:v>
      </x:c>
      <x:c r="B322" s="25" t="str">
        <x:v>PRIORITY_180</x:v>
      </x:c>
      <x:c r="C322" s="24" t="str"/>
      <x:c r="D322" s="25" t="str">
        <x:v>11</x:v>
      </x:c>
      <x:c r="E322" s="24" t="str">
        <x:v>FT-A2015</x:v>
      </x:c>
      <x:c r="F322" s="24" t="str">
        <x:v>comprehensive risk assessment and management</x:v>
      </x:c>
      <x:c r="G322" s="25" t="str">
        <x:v>D</x:v>
      </x:c>
      <x:c r="H322" s="25" t="str">
        <x:v>V2</x:v>
      </x:c>
      <x:c r="I322" s="24" t="str">
        <x:v>S2015-PARIS</x:v>
      </x:c>
      <x:c r="J322" s="25" t="str"/>
      <x:c r="K322" s="25" t="str">
        <x:v>PRIORITY_RANK=21;ORIGINAL_ROW_CONFIDENCE_NOT_EXPOSED</x:v>
      </x:c>
      <x:c r="L322" s="24" t="str">
        <x:v>NOT_EXPOSED</x:v>
      </x:c>
      <x:c r="M322" s="25" t="str">
        <x:v>PRIORITY_RANK_21</x:v>
      </x:c>
      <x:c r="N322" s="25" t="str">
        <x:v>RECONSTRUCTED_FROM_REPORT</x:v>
      </x:c>
      <x:c r="O322" s="25" t="str">
        <x:v>UNRESOLVED</x:v>
      </x:c>
      <x:c r="P322" s="24" t="str">
        <x:v>Fear of Temperature_ Stratified Lexical Expansion, Voice Mapping, and Semantic-Relational Pre-Valida.pdf</x:v>
      </x:c>
      <x:c r="Q322" s="25" t="str">
        <x:v>RECONSTRUCTED_FROM_REPORT</x:v>
      </x:c>
      <x:c r="R322" s="27" t="str">
        <x:v>New surrogate project ID assigned from the compact report table; never an original later-stage structured candidate ID.</x:v>
      </x:c>
    </x:row>
    <x:row r="323" ht="19" customHeight="1">
      <x:c r="A323" s="23" t="str">
        <x:v>FT-SEED-R1B-P-2015-22</x:v>
      </x:c>
      <x:c r="B323" s="25" t="str">
        <x:v>PRIORITY_180</x:v>
      </x:c>
      <x:c r="C323" s="24" t="str"/>
      <x:c r="D323" s="25" t="str">
        <x:v>11</x:v>
      </x:c>
      <x:c r="E323" s="24" t="str">
        <x:v>FT-A2015</x:v>
      </x:c>
      <x:c r="F323" s="24" t="str">
        <x:v>non-economic losses</x:v>
      </x:c>
      <x:c r="G323" s="25" t="str">
        <x:v>D</x:v>
      </x:c>
      <x:c r="H323" s="25" t="str">
        <x:v>V2</x:v>
      </x:c>
      <x:c r="I323" s="24" t="str">
        <x:v>S2015-PARIS</x:v>
      </x:c>
      <x:c r="J323" s="25" t="str"/>
      <x:c r="K323" s="25" t="str">
        <x:v>PRIORITY_RANK=22;ORIGINAL_ROW_CONFIDENCE_NOT_EXPOSED</x:v>
      </x:c>
      <x:c r="L323" s="24" t="str">
        <x:v>NOT_EXPOSED</x:v>
      </x:c>
      <x:c r="M323" s="25" t="str">
        <x:v>PRIORITY_RANK_22</x:v>
      </x:c>
      <x:c r="N323" s="25" t="str">
        <x:v>RECONSTRUCTED_FROM_REPORT</x:v>
      </x:c>
      <x:c r="O323" s="25" t="str">
        <x:v>UNRESOLVED</x:v>
      </x:c>
      <x:c r="P323" s="24" t="str">
        <x:v>Fear of Temperature_ Stratified Lexical Expansion, Voice Mapping, and Semantic-Relational Pre-Valida.pdf</x:v>
      </x:c>
      <x:c r="Q323" s="25" t="str">
        <x:v>RECONSTRUCTED_FROM_REPORT</x:v>
      </x:c>
      <x:c r="R323" s="27" t="str">
        <x:v>New surrogate project ID assigned from the compact report table; never an original later-stage structured candidate ID.</x:v>
      </x:c>
    </x:row>
    <x:row r="324" ht="19" customHeight="1">
      <x:c r="A324" s="23" t="str">
        <x:v>FT-SEED-R1B-P-2015-23</x:v>
      </x:c>
      <x:c r="B324" s="25" t="str">
        <x:v>PRIORITY_180</x:v>
      </x:c>
      <x:c r="C324" s="24" t="str"/>
      <x:c r="D324" s="25" t="str">
        <x:v>11</x:v>
      </x:c>
      <x:c r="E324" s="24" t="str">
        <x:v>FT-A2015</x:v>
      </x:c>
      <x:c r="F324" s="24" t="str">
        <x:v>common concern of humankind</x:v>
      </x:c>
      <x:c r="G324" s="25" t="str">
        <x:v>C</x:v>
      </x:c>
      <x:c r="H324" s="25" t="str">
        <x:v>V2</x:v>
      </x:c>
      <x:c r="I324" s="24" t="str">
        <x:v>S2015-PARIS</x:v>
      </x:c>
      <x:c r="J324" s="25" t="str">
        <x:v>E1</x:v>
      </x:c>
      <x:c r="K324" s="25" t="str">
        <x:v>PRIORITY_RANK=23;ORIGINAL_ROW_CONFIDENCE_NOT_EXPOSED</x:v>
      </x:c>
      <x:c r="L324" s="24" t="str">
        <x:v>NOT_EXPOSED</x:v>
      </x:c>
      <x:c r="M324" s="25" t="str">
        <x:v>PRIORITY_RANK_23</x:v>
      </x:c>
      <x:c r="N324" s="25" t="str">
        <x:v>RECONSTRUCTED_FROM_REPORT</x:v>
      </x:c>
      <x:c r="O324" s="25" t="str">
        <x:v>UNRESOLVED</x:v>
      </x:c>
      <x:c r="P324" s="24" t="str">
        <x:v>Fear of Temperature_ Stratified Lexical Expansion, Voice Mapping, and Semantic-Relational Pre-Valida.pdf</x:v>
      </x:c>
      <x:c r="Q324" s="25" t="str">
        <x:v>RECONSTRUCTED_FROM_REPORT</x:v>
      </x:c>
      <x:c r="R324" s="27" t="str">
        <x:v>New surrogate project ID assigned from the compact report table; never an original later-stage structured candidate ID.</x:v>
      </x:c>
    </x:row>
    <x:row r="325" ht="19" customHeight="1">
      <x:c r="A325" s="23" t="str">
        <x:v>FT-SEED-R1B-P-2015-24</x:v>
      </x:c>
      <x:c r="B325" s="25" t="str">
        <x:v>PRIORITY_180</x:v>
      </x:c>
      <x:c r="C325" s="24" t="str"/>
      <x:c r="D325" s="25" t="str">
        <x:v>11</x:v>
      </x:c>
      <x:c r="E325" s="24" t="str">
        <x:v>FT-A2015</x:v>
      </x:c>
      <x:c r="F325" s="24" t="str">
        <x:v>climate justice</x:v>
      </x:c>
      <x:c r="G325" s="25" t="str">
        <x:v>D</x:v>
      </x:c>
      <x:c r="H325" s="25" t="str">
        <x:v>V2</x:v>
      </x:c>
      <x:c r="I325" s="24" t="str">
        <x:v>S2015-PARIS</x:v>
      </x:c>
      <x:c r="J325" s="25" t="str"/>
      <x:c r="K325" s="25" t="str">
        <x:v>PRIORITY_RANK=24;ORIGINAL_ROW_CONFIDENCE_NOT_EXPOSED</x:v>
      </x:c>
      <x:c r="L325" s="24" t="str">
        <x:v>NOT_EXPOSED</x:v>
      </x:c>
      <x:c r="M325" s="25" t="str">
        <x:v>PRIORITY_RANK_24</x:v>
      </x:c>
      <x:c r="N325" s="25" t="str">
        <x:v>RECONSTRUCTED_FROM_REPORT</x:v>
      </x:c>
      <x:c r="O325" s="25" t="str">
        <x:v>UNRESOLVED</x:v>
      </x:c>
      <x:c r="P325" s="24" t="str">
        <x:v>Fear of Temperature_ Stratified Lexical Expansion, Voice Mapping, and Semantic-Relational Pre-Valida.pdf</x:v>
      </x:c>
      <x:c r="Q325" s="25" t="str">
        <x:v>RECONSTRUCTED_FROM_REPORT</x:v>
      </x:c>
      <x:c r="R325" s="27" t="str">
        <x:v>New surrogate project ID assigned from the compact report table; never an original later-stage structured candidate ID.</x:v>
      </x:c>
    </x:row>
    <x:row r="326" ht="19" customHeight="1">
      <x:c r="A326" s="23" t="str">
        <x:v>FT-SEED-R1B-P-2015-25</x:v>
      </x:c>
      <x:c r="B326" s="25" t="str">
        <x:v>PRIORITY_180</x:v>
      </x:c>
      <x:c r="C326" s="24" t="str"/>
      <x:c r="D326" s="25" t="str">
        <x:v>11</x:v>
      </x:c>
      <x:c r="E326" s="24" t="str">
        <x:v>FT-A2015</x:v>
      </x:c>
      <x:c r="F326" s="24" t="str">
        <x:v>very worried</x:v>
      </x:c>
      <x:c r="G326" s="25" t="str">
        <x:v>C</x:v>
      </x:c>
      <x:c r="H326" s="25" t="str">
        <x:v>V5</x:v>
      </x:c>
      <x:c r="I326" s="24" t="str">
        <x:v>S2015-YALE</x:v>
      </x:c>
      <x:c r="J326" s="25" t="str"/>
      <x:c r="K326" s="25" t="str">
        <x:v>PRIORITY_RANK=25;ORIGINAL_ROW_CONFIDENCE_NOT_EXPOSED</x:v>
      </x:c>
      <x:c r="L326" s="24" t="str">
        <x:v>NOT_EXPOSED</x:v>
      </x:c>
      <x:c r="M326" s="25" t="str">
        <x:v>PRIORITY_RANK_25</x:v>
      </x:c>
      <x:c r="N326" s="25" t="str">
        <x:v>RECONSTRUCTED_FROM_REPORT</x:v>
      </x:c>
      <x:c r="O326" s="25" t="str">
        <x:v>UNRESOLVED</x:v>
      </x:c>
      <x:c r="P326" s="24" t="str">
        <x:v>Fear of Temperature_ Stratified Lexical Expansion, Voice Mapping, and Semantic-Relational Pre-Valida.pdf</x:v>
      </x:c>
      <x:c r="Q326" s="25" t="str">
        <x:v>RECONSTRUCTED_FROM_REPORT</x:v>
      </x:c>
      <x:c r="R326" s="27" t="str">
        <x:v>New surrogate project ID assigned from the compact report table; never an original later-stage structured candidate ID.</x:v>
      </x:c>
    </x:row>
    <x:row r="327" ht="19" customHeight="1">
      <x:c r="A327" s="23" t="str">
        <x:v>FT-SEED-R1B-P-2015-26</x:v>
      </x:c>
      <x:c r="B327" s="25" t="str">
        <x:v>PRIORITY_180</x:v>
      </x:c>
      <x:c r="C327" s="24" t="str"/>
      <x:c r="D327" s="25" t="str">
        <x:v>11</x:v>
      </x:c>
      <x:c r="E327" s="24" t="str">
        <x:v>FT-A2015</x:v>
      </x:c>
      <x:c r="F327" s="24" t="str">
        <x:v>somewhat worried</x:v>
      </x:c>
      <x:c r="G327" s="25" t="str">
        <x:v>C</x:v>
      </x:c>
      <x:c r="H327" s="25" t="str">
        <x:v>V5</x:v>
      </x:c>
      <x:c r="I327" s="24" t="str">
        <x:v>S2015-YALE</x:v>
      </x:c>
      <x:c r="J327" s="25" t="str"/>
      <x:c r="K327" s="25" t="str">
        <x:v>PRIORITY_RANK=26;ORIGINAL_ROW_CONFIDENCE_NOT_EXPOSED</x:v>
      </x:c>
      <x:c r="L327" s="24" t="str">
        <x:v>NOT_EXPOSED</x:v>
      </x:c>
      <x:c r="M327" s="25" t="str">
        <x:v>PRIORITY_RANK_26</x:v>
      </x:c>
      <x:c r="N327" s="25" t="str">
        <x:v>RECONSTRUCTED_FROM_REPORT</x:v>
      </x:c>
      <x:c r="O327" s="25" t="str">
        <x:v>UNRESOLVED</x:v>
      </x:c>
      <x:c r="P327" s="24" t="str">
        <x:v>Fear of Temperature_ Stratified Lexical Expansion, Voice Mapping, and Semantic-Relational Pre-Valida.pdf</x:v>
      </x:c>
      <x:c r="Q327" s="25" t="str">
        <x:v>RECONSTRUCTED_FROM_REPORT</x:v>
      </x:c>
      <x:c r="R327" s="27" t="str">
        <x:v>New surrogate project ID assigned from the compact report table; never an original later-stage structured candidate ID.</x:v>
      </x:c>
    </x:row>
    <x:row r="328" ht="19" customHeight="1">
      <x:c r="A328" s="23" t="str">
        <x:v>FT-SEED-R1B-P-2015-27</x:v>
      </x:c>
      <x:c r="B328" s="25" t="str">
        <x:v>PRIORITY_180</x:v>
      </x:c>
      <x:c r="C328" s="24" t="str"/>
      <x:c r="D328" s="25" t="str">
        <x:v>11</x:v>
      </x:c>
      <x:c r="E328" s="24" t="str">
        <x:v>FT-A2015</x:v>
      </x:c>
      <x:c r="F328" s="24" t="str">
        <x:v>very serious problem</x:v>
      </x:c>
      <x:c r="G328" s="25" t="str">
        <x:v>D</x:v>
      </x:c>
      <x:c r="H328" s="25" t="str">
        <x:v>V5</x:v>
      </x:c>
      <x:c r="I328" s="24" t="str">
        <x:v>S2015-PEW</x:v>
      </x:c>
      <x:c r="J328" s="25" t="str"/>
      <x:c r="K328" s="25" t="str">
        <x:v>PRIORITY_RANK=27;ORIGINAL_ROW_CONFIDENCE_NOT_EXPOSED</x:v>
      </x:c>
      <x:c r="L328" s="24" t="str">
        <x:v>NOT_EXPOSED</x:v>
      </x:c>
      <x:c r="M328" s="25" t="str">
        <x:v>PRIORITY_RANK_27</x:v>
      </x:c>
      <x:c r="N328" s="25" t="str">
        <x:v>RECONSTRUCTED_FROM_REPORT</x:v>
      </x:c>
      <x:c r="O328" s="25" t="str">
        <x:v>UNRESOLVED</x:v>
      </x:c>
      <x:c r="P328" s="24" t="str">
        <x:v>Fear of Temperature_ Stratified Lexical Expansion, Voice Mapping, and Semantic-Relational Pre-Valida.pdf</x:v>
      </x:c>
      <x:c r="Q328" s="25" t="str">
        <x:v>RECONSTRUCTED_FROM_REPORT</x:v>
      </x:c>
      <x:c r="R328" s="27" t="str">
        <x:v>New surrogate project ID assigned from the compact report table; never an original later-stage structured candidate ID.</x:v>
      </x:c>
    </x:row>
    <x:row r="329" ht="19" customHeight="1">
      <x:c r="A329" s="23" t="str">
        <x:v>FT-SEED-R1B-P-2015-28</x:v>
      </x:c>
      <x:c r="B329" s="25" t="str">
        <x:v>PRIORITY_180</x:v>
      </x:c>
      <x:c r="C329" s="24" t="str"/>
      <x:c r="D329" s="25" t="str">
        <x:v>11</x:v>
      </x:c>
      <x:c r="E329" s="24" t="str">
        <x:v>FT-A2015</x:v>
      </x:c>
      <x:c r="F329" s="24" t="str">
        <x:v>harm them personally</x:v>
      </x:c>
      <x:c r="G329" s="25" t="str">
        <x:v>D</x:v>
      </x:c>
      <x:c r="H329" s="25" t="str">
        <x:v>V5</x:v>
      </x:c>
      <x:c r="I329" s="24" t="str">
        <x:v>S2015-PEW</x:v>
      </x:c>
      <x:c r="J329" s="25" t="str"/>
      <x:c r="K329" s="25" t="str">
        <x:v>PRIORITY_RANK=28;ORIGINAL_ROW_CONFIDENCE_NOT_EXPOSED</x:v>
      </x:c>
      <x:c r="L329" s="24" t="str">
        <x:v>NOT_EXPOSED</x:v>
      </x:c>
      <x:c r="M329" s="25" t="str">
        <x:v>PRIORITY_RANK_28</x:v>
      </x:c>
      <x:c r="N329" s="25" t="str">
        <x:v>RECONSTRUCTED_FROM_REPORT</x:v>
      </x:c>
      <x:c r="O329" s="25" t="str">
        <x:v>UNRESOLVED</x:v>
      </x:c>
      <x:c r="P329" s="24" t="str">
        <x:v>Fear of Temperature_ Stratified Lexical Expansion, Voice Mapping, and Semantic-Relational Pre-Valida.pdf</x:v>
      </x:c>
      <x:c r="Q329" s="25" t="str">
        <x:v>RECONSTRUCTED_FROM_REPORT</x:v>
      </x:c>
      <x:c r="R329" s="27" t="str">
        <x:v>New surrogate project ID assigned from the compact report table; never an original later-stage structured candidate ID.</x:v>
      </x:c>
    </x:row>
    <x:row r="330" ht="19" customHeight="1">
      <x:c r="A330" s="23" t="str">
        <x:v>FT-SEED-R1B-P-2015-29</x:v>
      </x:c>
      <x:c r="B330" s="25" t="str">
        <x:v>PRIORITY_180</x:v>
      </x:c>
      <x:c r="C330" s="24" t="str"/>
      <x:c r="D330" s="25" t="str">
        <x:v>11</x:v>
      </x:c>
      <x:c r="E330" s="24" t="str">
        <x:v>FT-A2015</x:v>
      </x:c>
      <x:c r="F330" s="24" t="str">
        <x:v>drought or water shortages</x:v>
      </x:c>
      <x:c r="G330" s="25" t="str">
        <x:v>D</x:v>
      </x:c>
      <x:c r="H330" s="25" t="str">
        <x:v>V5</x:v>
      </x:c>
      <x:c r="I330" s="24" t="str">
        <x:v>S2015-PEW</x:v>
      </x:c>
      <x:c r="J330" s="25" t="str"/>
      <x:c r="K330" s="25" t="str">
        <x:v>PRIORITY_RANK=29;ORIGINAL_ROW_CONFIDENCE_NOT_EXPOSED</x:v>
      </x:c>
      <x:c r="L330" s="24" t="str">
        <x:v>NOT_EXPOSED</x:v>
      </x:c>
      <x:c r="M330" s="25" t="str">
        <x:v>PRIORITY_RANK_29</x:v>
      </x:c>
      <x:c r="N330" s="25" t="str">
        <x:v>RECONSTRUCTED_FROM_REPORT</x:v>
      </x:c>
      <x:c r="O330" s="25" t="str">
        <x:v>UNRESOLVED</x:v>
      </x:c>
      <x:c r="P330" s="24" t="str">
        <x:v>Fear of Temperature_ Stratified Lexical Expansion, Voice Mapping, and Semantic-Relational Pre-Valida.pdf</x:v>
      </x:c>
      <x:c r="Q330" s="25" t="str">
        <x:v>RECONSTRUCTED_FROM_REPORT</x:v>
      </x:c>
      <x:c r="R330" s="27" t="str">
        <x:v>New surrogate project ID assigned from the compact report table; never an original later-stage structured candidate ID.</x:v>
      </x:c>
    </x:row>
    <x:row r="331" ht="19" customHeight="1">
      <x:c r="A331" s="23" t="str">
        <x:v>FT-SEED-R1B-P-2015-30</x:v>
      </x:c>
      <x:c r="B331" s="25" t="str">
        <x:v>PRIORITY_180</x:v>
      </x:c>
      <x:c r="C331" s="24" t="str"/>
      <x:c r="D331" s="25" t="str">
        <x:v>11</x:v>
      </x:c>
      <x:c r="E331" s="24" t="str">
        <x:v>FT-A2015</x:v>
      </x:c>
      <x:c r="F331" s="24" t="str">
        <x:v>We are nature defending itself</x:v>
      </x:c>
      <x:c r="G331" s="25" t="str">
        <x:v>C</x:v>
      </x:c>
      <x:c r="H331" s="25" t="str">
        <x:v>V4</x:v>
      </x:c>
      <x:c r="I331" s="24" t="str">
        <x:v>S2015-COPPROTEST</x:v>
      </x:c>
      <x:c r="J331" s="25" t="str"/>
      <x:c r="K331" s="25" t="str">
        <x:v>PRIORITY_RANK=30;ORIGINAL_ROW_CONFIDENCE_NOT_EXPOSED</x:v>
      </x:c>
      <x:c r="L331" s="24" t="str">
        <x:v>NOT_EXPOSED</x:v>
      </x:c>
      <x:c r="M331" s="25" t="str">
        <x:v>PRIORITY_RANK_30</x:v>
      </x:c>
      <x:c r="N331" s="25" t="str">
        <x:v>RECONSTRUCTED_FROM_REPORT</x:v>
      </x:c>
      <x:c r="O331" s="25" t="str">
        <x:v>UNRESOLVED</x:v>
      </x:c>
      <x:c r="P331" s="24" t="str">
        <x:v>Fear of Temperature_ Stratified Lexical Expansion, Voice Mapping, and Semantic-Relational Pre-Valida.pdf</x:v>
      </x:c>
      <x:c r="Q331" s="25" t="str">
        <x:v>RECONSTRUCTED_FROM_REPORT</x:v>
      </x:c>
      <x:c r="R331" s="27" t="str">
        <x:v>New surrogate project ID assigned from the compact report table; never an original later-stage structured candidate ID.</x:v>
      </x:c>
    </x:row>
    <x:row r="332" ht="19" customHeight="1">
      <x:c r="A332" s="23" t="str">
        <x:v>FT-SEED-R1B-P-2022-01</x:v>
      </x:c>
      <x:c r="B332" s="25" t="str">
        <x:v>PRIORITY_180</x:v>
      </x:c>
      <x:c r="C332" s="24" t="str"/>
      <x:c r="D332" s="25" t="str">
        <x:v>12</x:v>
      </x:c>
      <x:c r="E332" s="24" t="str">
        <x:v>FT-A2022</x:v>
      </x:c>
      <x:c r="F332" s="24" t="str">
        <x:v>climate change</x:v>
      </x:c>
      <x:c r="G332" s="25" t="str">
        <x:v>B</x:v>
      </x:c>
      <x:c r="H332" s="25" t="str">
        <x:v>V5</x:v>
      </x:c>
      <x:c r="I332" s="24" t="str">
        <x:v>S2022-YALE-INT</x:v>
      </x:c>
      <x:c r="J332" s="25" t="str"/>
      <x:c r="K332" s="25" t="str">
        <x:v>PRIORITY_RANK=1;ORIGINAL_ROW_CONFIDENCE_NOT_EXPOSED</x:v>
      </x:c>
      <x:c r="L332" s="24" t="str">
        <x:v>NOT_EXPOSED</x:v>
      </x:c>
      <x:c r="M332" s="25" t="str">
        <x:v>PRIORITY_RANK_01</x:v>
      </x:c>
      <x:c r="N332" s="25" t="str">
        <x:v>RECONSTRUCTED_FROM_REPORT</x:v>
      </x:c>
      <x:c r="O332" s="25" t="str">
        <x:v>UNRESOLVED</x:v>
      </x:c>
      <x:c r="P332" s="24" t="str">
        <x:v>Fear of Temperature_ Stratified Lexical Expansion, Voice Mapping, and Semantic-Relational Pre-Valida.pdf</x:v>
      </x:c>
      <x:c r="Q332" s="25" t="str">
        <x:v>RECONSTRUCTED_FROM_REPORT</x:v>
      </x:c>
      <x:c r="R332" s="27" t="str">
        <x:v>New surrogate project ID assigned from the compact report table; never an original later-stage structured candidate ID.</x:v>
      </x:c>
    </x:row>
    <x:row r="333" ht="19" customHeight="1">
      <x:c r="A333" s="23" t="str">
        <x:v>FT-SEED-R1B-P-2022-02</x:v>
      </x:c>
      <x:c r="B333" s="25" t="str">
        <x:v>PRIORITY_180</x:v>
      </x:c>
      <x:c r="C333" s="24" t="str"/>
      <x:c r="D333" s="25" t="str">
        <x:v>12</x:v>
      </x:c>
      <x:c r="E333" s="24" t="str">
        <x:v>FT-A2022</x:v>
      </x:c>
      <x:c r="F333" s="24" t="str">
        <x:v>global warming</x:v>
      </x:c>
      <x:c r="G333" s="25" t="str">
        <x:v>A</x:v>
      </x:c>
      <x:c r="H333" s="25" t="str">
        <x:v>V5</x:v>
      </x:c>
      <x:c r="I333" s="24" t="str">
        <x:v>S2022-YALE-US</x:v>
      </x:c>
      <x:c r="J333" s="25" t="str"/>
      <x:c r="K333" s="25" t="str">
        <x:v>PRIORITY_RANK=2;ORIGINAL_ROW_CONFIDENCE_NOT_EXPOSED</x:v>
      </x:c>
      <x:c r="L333" s="24" t="str">
        <x:v>NOT_EXPOSED</x:v>
      </x:c>
      <x:c r="M333" s="25" t="str">
        <x:v>PRIORITY_RANK_02</x:v>
      </x:c>
      <x:c r="N333" s="25" t="str">
        <x:v>RECONSTRUCTED_FROM_REPORT</x:v>
      </x:c>
      <x:c r="O333" s="25" t="str">
        <x:v>UNRESOLVED</x:v>
      </x:c>
      <x:c r="P333" s="24" t="str">
        <x:v>Fear of Temperature_ Stratified Lexical Expansion, Voice Mapping, and Semantic-Relational Pre-Valida.pdf</x:v>
      </x:c>
      <x:c r="Q333" s="25" t="str">
        <x:v>RECONSTRUCTED_FROM_REPORT</x:v>
      </x:c>
      <x:c r="R333" s="27" t="str">
        <x:v>New surrogate project ID assigned from the compact report table; never an original later-stage structured candidate ID.</x:v>
      </x:c>
    </x:row>
    <x:row r="334" ht="19" customHeight="1">
      <x:c r="A334" s="23" t="str">
        <x:v>FT-SEED-R1B-P-2022-03</x:v>
      </x:c>
      <x:c r="B334" s="25" t="str">
        <x:v>PRIORITY_180</x:v>
      </x:c>
      <x:c r="C334" s="24" t="str"/>
      <x:c r="D334" s="25" t="str">
        <x:v>12</x:v>
      </x:c>
      <x:c r="E334" s="24" t="str">
        <x:v>FT-A2022</x:v>
      </x:c>
      <x:c r="F334" s="24" t="str">
        <x:v>very worried</x:v>
      </x:c>
      <x:c r="G334" s="25" t="str">
        <x:v>C</x:v>
      </x:c>
      <x:c r="H334" s="25" t="str">
        <x:v>V5</x:v>
      </x:c>
      <x:c r="I334" s="24" t="str">
        <x:v>S2022-YALE-INT</x:v>
      </x:c>
      <x:c r="J334" s="25" t="str">
        <x:v>E3</x:v>
      </x:c>
      <x:c r="K334" s="25" t="str">
        <x:v>PRIORITY_RANK=3;ORIGINAL_ROW_CONFIDENCE_NOT_EXPOSED</x:v>
      </x:c>
      <x:c r="L334" s="24" t="str">
        <x:v>NOT_EXPOSED</x:v>
      </x:c>
      <x:c r="M334" s="25" t="str">
        <x:v>PRIORITY_RANK_03</x:v>
      </x:c>
      <x:c r="N334" s="25" t="str">
        <x:v>RECONSTRUCTED_FROM_REPORT</x:v>
      </x:c>
      <x:c r="O334" s="25" t="str">
        <x:v>UNRESOLVED</x:v>
      </x:c>
      <x:c r="P334" s="24" t="str">
        <x:v>Fear of Temperature_ Stratified Lexical Expansion, Voice Mapping, and Semantic-Relational Pre-Valida.pdf</x:v>
      </x:c>
      <x:c r="Q334" s="25" t="str">
        <x:v>RECONSTRUCTED_FROM_REPORT</x:v>
      </x:c>
      <x:c r="R334" s="27" t="str">
        <x:v>New surrogate project ID assigned from the compact report table; never an original later-stage structured candidate ID.</x:v>
      </x:c>
    </x:row>
    <x:row r="335" ht="19" customHeight="1">
      <x:c r="A335" s="23" t="str">
        <x:v>FT-SEED-R1B-P-2022-04</x:v>
      </x:c>
      <x:c r="B335" s="25" t="str">
        <x:v>PRIORITY_180</x:v>
      </x:c>
      <x:c r="C335" s="24" t="str"/>
      <x:c r="D335" s="25" t="str">
        <x:v>12</x:v>
      </x:c>
      <x:c r="E335" s="24" t="str">
        <x:v>FT-A2022</x:v>
      </x:c>
      <x:c r="F335" s="24" t="str">
        <x:v>somewhat worried</x:v>
      </x:c>
      <x:c r="G335" s="25" t="str">
        <x:v>C</x:v>
      </x:c>
      <x:c r="H335" s="25" t="str">
        <x:v>V5</x:v>
      </x:c>
      <x:c r="I335" s="24" t="str">
        <x:v>S2022-YALE-INT</x:v>
      </x:c>
      <x:c r="J335" s="25" t="str"/>
      <x:c r="K335" s="25" t="str">
        <x:v>PRIORITY_RANK=4;ORIGINAL_ROW_CONFIDENCE_NOT_EXPOSED</x:v>
      </x:c>
      <x:c r="L335" s="24" t="str">
        <x:v>NOT_EXPOSED</x:v>
      </x:c>
      <x:c r="M335" s="25" t="str">
        <x:v>PRIORITY_RANK_04</x:v>
      </x:c>
      <x:c r="N335" s="25" t="str">
        <x:v>RECONSTRUCTED_FROM_REPORT</x:v>
      </x:c>
      <x:c r="O335" s="25" t="str">
        <x:v>UNRESOLVED</x:v>
      </x:c>
      <x:c r="P335" s="24" t="str">
        <x:v>Fear of Temperature_ Stratified Lexical Expansion, Voice Mapping, and Semantic-Relational Pre-Valida.pdf</x:v>
      </x:c>
      <x:c r="Q335" s="25" t="str">
        <x:v>RECONSTRUCTED_FROM_REPORT</x:v>
      </x:c>
      <x:c r="R335" s="27" t="str">
        <x:v>New surrogate project ID assigned from the compact report table; never an original later-stage structured candidate ID.</x:v>
      </x:c>
    </x:row>
    <x:row r="336" ht="19" customHeight="1">
      <x:c r="A336" s="23" t="str">
        <x:v>FT-SEED-R1B-P-2022-05</x:v>
      </x:c>
      <x:c r="B336" s="25" t="str">
        <x:v>PRIORITY_180</x:v>
      </x:c>
      <x:c r="C336" s="24" t="str"/>
      <x:c r="D336" s="25" t="str">
        <x:v>12</x:v>
      </x:c>
      <x:c r="E336" s="24" t="str">
        <x:v>FT-A2022</x:v>
      </x:c>
      <x:c r="F336" s="24" t="str">
        <x:v>afraid</x:v>
      </x:c>
      <x:c r="G336" s="25" t="str">
        <x:v>C</x:v>
      </x:c>
      <x:c r="H336" s="25" t="str">
        <x:v>V5</x:v>
      </x:c>
      <x:c r="I336" s="24" t="str">
        <x:v>S2022-YALE-US</x:v>
      </x:c>
      <x:c r="J336" s="25" t="str"/>
      <x:c r="K336" s="25" t="str">
        <x:v>PRIORITY_RANK=5;ORIGINAL_ROW_CONFIDENCE_NOT_EXPOSED</x:v>
      </x:c>
      <x:c r="L336" s="24" t="str">
        <x:v>NOT_EXPOSED</x:v>
      </x:c>
      <x:c r="M336" s="25" t="str">
        <x:v>PRIORITY_RANK_05</x:v>
      </x:c>
      <x:c r="N336" s="25" t="str">
        <x:v>RECONSTRUCTED_FROM_REPORT</x:v>
      </x:c>
      <x:c r="O336" s="25" t="str">
        <x:v>UNRESOLVED</x:v>
      </x:c>
      <x:c r="P336" s="24" t="str">
        <x:v>Fear of Temperature_ Stratified Lexical Expansion, Voice Mapping, and Semantic-Relational Pre-Valida.pdf</x:v>
      </x:c>
      <x:c r="Q336" s="25" t="str">
        <x:v>RECONSTRUCTED_FROM_REPORT</x:v>
      </x:c>
      <x:c r="R336" s="27" t="str">
        <x:v>New surrogate project ID assigned from the compact report table; never an original later-stage structured candidate ID.</x:v>
      </x:c>
    </x:row>
    <x:row r="337" ht="19" customHeight="1">
      <x:c r="A337" s="23" t="str">
        <x:v>FT-SEED-R1B-P-2022-06</x:v>
      </x:c>
      <x:c r="B337" s="25" t="str">
        <x:v>PRIORITY_180</x:v>
      </x:c>
      <x:c r="C337" s="24" t="str"/>
      <x:c r="D337" s="25" t="str">
        <x:v>12</x:v>
      </x:c>
      <x:c r="E337" s="24" t="str">
        <x:v>FT-A2022</x:v>
      </x:c>
      <x:c r="F337" s="24" t="str">
        <x:v>anxious</x:v>
      </x:c>
      <x:c r="G337" s="25" t="str">
        <x:v>C</x:v>
      </x:c>
      <x:c r="H337" s="25" t="str">
        <x:v>V5</x:v>
      </x:c>
      <x:c r="I337" s="24" t="str">
        <x:v>S2022-YALE-US</x:v>
      </x:c>
      <x:c r="J337" s="25" t="str"/>
      <x:c r="K337" s="25" t="str">
        <x:v>PRIORITY_RANK=6;ORIGINAL_ROW_CONFIDENCE_NOT_EXPOSED</x:v>
      </x:c>
      <x:c r="L337" s="24" t="str">
        <x:v>NOT_EXPOSED</x:v>
      </x:c>
      <x:c r="M337" s="25" t="str">
        <x:v>PRIORITY_RANK_06</x:v>
      </x:c>
      <x:c r="N337" s="25" t="str">
        <x:v>RECONSTRUCTED_FROM_REPORT</x:v>
      </x:c>
      <x:c r="O337" s="25" t="str">
        <x:v>UNRESOLVED</x:v>
      </x:c>
      <x:c r="P337" s="24" t="str">
        <x:v>Fear of Temperature_ Stratified Lexical Expansion, Voice Mapping, and Semantic-Relational Pre-Valida.pdf</x:v>
      </x:c>
      <x:c r="Q337" s="25" t="str">
        <x:v>RECONSTRUCTED_FROM_REPORT</x:v>
      </x:c>
      <x:c r="R337" s="27" t="str">
        <x:v>New surrogate project ID assigned from the compact report table; never an original later-stage structured candidate ID.</x:v>
      </x:c>
    </x:row>
    <x:row r="338" ht="19" customHeight="1">
      <x:c r="A338" s="23" t="str">
        <x:v>FT-SEED-R1B-P-2022-07</x:v>
      </x:c>
      <x:c r="B338" s="25" t="str">
        <x:v>PRIORITY_180</x:v>
      </x:c>
      <x:c r="C338" s="24" t="str"/>
      <x:c r="D338" s="25" t="str">
        <x:v>12</x:v>
      </x:c>
      <x:c r="E338" s="24" t="str">
        <x:v>FT-A2022</x:v>
      </x:c>
      <x:c r="F338" s="24" t="str">
        <x:v>hopeless</x:v>
      </x:c>
      <x:c r="G338" s="25" t="str">
        <x:v>C</x:v>
      </x:c>
      <x:c r="H338" s="25" t="str">
        <x:v>V5</x:v>
      </x:c>
      <x:c r="I338" s="24" t="str">
        <x:v>S2022-YALE-US</x:v>
      </x:c>
      <x:c r="J338" s="25" t="str"/>
      <x:c r="K338" s="25" t="str">
        <x:v>PRIORITY_RANK=7;ORIGINAL_ROW_CONFIDENCE_NOT_EXPOSED</x:v>
      </x:c>
      <x:c r="L338" s="24" t="str">
        <x:v>NOT_EXPOSED</x:v>
      </x:c>
      <x:c r="M338" s="25" t="str">
        <x:v>PRIORITY_RANK_07</x:v>
      </x:c>
      <x:c r="N338" s="25" t="str">
        <x:v>RECONSTRUCTED_FROM_REPORT</x:v>
      </x:c>
      <x:c r="O338" s="25" t="str">
        <x:v>UNRESOLVED</x:v>
      </x:c>
      <x:c r="P338" s="24" t="str">
        <x:v>Fear of Temperature_ Stratified Lexical Expansion, Voice Mapping, and Semantic-Relational Pre-Valida.pdf</x:v>
      </x:c>
      <x:c r="Q338" s="25" t="str">
        <x:v>RECONSTRUCTED_FROM_REPORT</x:v>
      </x:c>
      <x:c r="R338" s="27" t="str">
        <x:v>New surrogate project ID assigned from the compact report table; never an original later-stage structured candidate ID.</x:v>
      </x:c>
    </x:row>
    <x:row r="339" ht="19" customHeight="1">
      <x:c r="A339" s="23" t="str">
        <x:v>FT-SEED-R1B-P-2022-08</x:v>
      </x:c>
      <x:c r="B339" s="25" t="str">
        <x:v>PRIORITY_180</x:v>
      </x:c>
      <x:c r="C339" s="24" t="str"/>
      <x:c r="D339" s="25" t="str">
        <x:v>12</x:v>
      </x:c>
      <x:c r="E339" s="24" t="str">
        <x:v>FT-A2022</x:v>
      </x:c>
      <x:c r="F339" s="24" t="str">
        <x:v>sad</x:v>
      </x:c>
      <x:c r="G339" s="25" t="str">
        <x:v>C</x:v>
      </x:c>
      <x:c r="H339" s="25" t="str">
        <x:v>V5</x:v>
      </x:c>
      <x:c r="I339" s="24" t="str">
        <x:v>S2022-YALE-US</x:v>
      </x:c>
      <x:c r="J339" s="25" t="str"/>
      <x:c r="K339" s="25" t="str">
        <x:v>PRIORITY_RANK=8;ORIGINAL_ROW_CONFIDENCE_NOT_EXPOSED</x:v>
      </x:c>
      <x:c r="L339" s="24" t="str">
        <x:v>NOT_EXPOSED</x:v>
      </x:c>
      <x:c r="M339" s="25" t="str">
        <x:v>PRIORITY_RANK_08</x:v>
      </x:c>
      <x:c r="N339" s="25" t="str">
        <x:v>RECONSTRUCTED_FROM_REPORT</x:v>
      </x:c>
      <x:c r="O339" s="25" t="str">
        <x:v>UNRESOLVED</x:v>
      </x:c>
      <x:c r="P339" s="24" t="str">
        <x:v>Fear of Temperature_ Stratified Lexical Expansion, Voice Mapping, and Semantic-Relational Pre-Valida.pdf</x:v>
      </x:c>
      <x:c r="Q339" s="25" t="str">
        <x:v>RECONSTRUCTED_FROM_REPORT</x:v>
      </x:c>
      <x:c r="R339" s="27" t="str">
        <x:v>New surrogate project ID assigned from the compact report table; never an original later-stage structured candidate ID.</x:v>
      </x:c>
    </x:row>
    <x:row r="340" ht="19" customHeight="1">
      <x:c r="A340" s="23" t="str">
        <x:v>FT-SEED-R1B-P-2022-11</x:v>
      </x:c>
      <x:c r="B340" s="25" t="str">
        <x:v>PRIORITY_180</x:v>
      </x:c>
      <x:c r="C340" s="24" t="str"/>
      <x:c r="D340" s="25" t="str">
        <x:v>12</x:v>
      </x:c>
      <x:c r="E340" s="24" t="str">
        <x:v>FT-A2022</x:v>
      </x:c>
      <x:c r="F340" s="24" t="str">
        <x:v>hopeful</x:v>
      </x:c>
      <x:c r="G340" s="25" t="str">
        <x:v>C</x:v>
      </x:c>
      <x:c r="H340" s="25" t="str">
        <x:v>V5</x:v>
      </x:c>
      <x:c r="I340" s="24" t="str">
        <x:v>S2022-YALE-US</x:v>
      </x:c>
      <x:c r="J340" s="25" t="str"/>
      <x:c r="K340" s="25" t="str">
        <x:v>PRIORITY_RANK=11;ORIGINAL_ROW_CONFIDENCE_NOT_EXPOSED</x:v>
      </x:c>
      <x:c r="L340" s="24" t="str">
        <x:v>NOT_EXPOSED</x:v>
      </x:c>
      <x:c r="M340" s="25" t="str">
        <x:v>PRIORITY_RANK_11</x:v>
      </x:c>
      <x:c r="N340" s="25" t="str">
        <x:v>RECONSTRUCTED_FROM_REPORT</x:v>
      </x:c>
      <x:c r="O340" s="25" t="str">
        <x:v>UNRESOLVED</x:v>
      </x:c>
      <x:c r="P340" s="24" t="str">
        <x:v>Fear of Temperature_ Stratified Lexical Expansion, Voice Mapping, and Semantic-Relational Pre-Valida.pdf</x:v>
      </x:c>
      <x:c r="Q340" s="25" t="str">
        <x:v>RECONSTRUCTED_FROM_REPORT</x:v>
      </x:c>
      <x:c r="R340" s="27" t="str">
        <x:v>New surrogate project ID assigned from the compact report table; never an original later-stage structured candidate ID.</x:v>
      </x:c>
    </x:row>
    <x:row r="341" ht="19" customHeight="1">
      <x:c r="A341" s="23" t="str">
        <x:v>FT-SEED-R1B-P-2022-12</x:v>
      </x:c>
      <x:c r="B341" s="25" t="str">
        <x:v>PRIORITY_180</x:v>
      </x:c>
      <x:c r="C341" s="24" t="str"/>
      <x:c r="D341" s="25" t="str">
        <x:v>12</x:v>
      </x:c>
      <x:c r="E341" s="24" t="str">
        <x:v>FT-A2022</x:v>
      </x:c>
      <x:c r="F341" s="24" t="str">
        <x:v>disgusted</x:v>
      </x:c>
      <x:c r="G341" s="25" t="str">
        <x:v>C</x:v>
      </x:c>
      <x:c r="H341" s="25" t="str">
        <x:v>V5</x:v>
      </x:c>
      <x:c r="I341" s="24" t="str">
        <x:v>S2022-YALE-US</x:v>
      </x:c>
      <x:c r="J341" s="25" t="str"/>
      <x:c r="K341" s="25" t="str">
        <x:v>PRIORITY_RANK=12;ORIGINAL_ROW_CONFIDENCE_NOT_EXPOSED</x:v>
      </x:c>
      <x:c r="L341" s="24" t="str">
        <x:v>NOT_EXPOSED</x:v>
      </x:c>
      <x:c r="M341" s="25" t="str">
        <x:v>PRIORITY_RANK_12</x:v>
      </x:c>
      <x:c r="N341" s="25" t="str">
        <x:v>RECONSTRUCTED_FROM_REPORT</x:v>
      </x:c>
      <x:c r="O341" s="25" t="str">
        <x:v>UNRESOLVED</x:v>
      </x:c>
      <x:c r="P341" s="24" t="str">
        <x:v>Fear of Temperature_ Stratified Lexical Expansion, Voice Mapping, and Semantic-Relational Pre-Valida.pdf</x:v>
      </x:c>
      <x:c r="Q341" s="25" t="str">
        <x:v>RECONSTRUCTED_FROM_REPORT</x:v>
      </x:c>
      <x:c r="R341" s="27" t="str">
        <x:v>New surrogate project ID assigned from the compact report table; never an original later-stage structured candidate ID.</x:v>
      </x:c>
    </x:row>
    <x:row r="342" ht="19" customHeight="1">
      <x:c r="A342" s="23" t="str">
        <x:v>FT-SEED-R1B-P-2022-13</x:v>
      </x:c>
      <x:c r="B342" s="25" t="str">
        <x:v>PRIORITY_180</x:v>
      </x:c>
      <x:c r="C342" s="24" t="str"/>
      <x:c r="D342" s="25" t="str">
        <x:v>12</x:v>
      </x:c>
      <x:c r="E342" s="24" t="str">
        <x:v>FT-A2022</x:v>
      </x:c>
      <x:c r="F342" s="24" t="str">
        <x:v>outraged</x:v>
      </x:c>
      <x:c r="G342" s="25" t="str">
        <x:v>C</x:v>
      </x:c>
      <x:c r="H342" s="25" t="str">
        <x:v>V5</x:v>
      </x:c>
      <x:c r="I342" s="24" t="str">
        <x:v>S2022-YALE-US</x:v>
      </x:c>
      <x:c r="J342" s="25" t="str"/>
      <x:c r="K342" s="25" t="str">
        <x:v>PRIORITY_RANK=13;ORIGINAL_ROW_CONFIDENCE_NOT_EXPOSED</x:v>
      </x:c>
      <x:c r="L342" s="24" t="str">
        <x:v>NOT_EXPOSED</x:v>
      </x:c>
      <x:c r="M342" s="25" t="str">
        <x:v>PRIORITY_RANK_13</x:v>
      </x:c>
      <x:c r="N342" s="25" t="str">
        <x:v>RECONSTRUCTED_FROM_REPORT</x:v>
      </x:c>
      <x:c r="O342" s="25" t="str">
        <x:v>UNRESOLVED</x:v>
      </x:c>
      <x:c r="P342" s="24" t="str">
        <x:v>Fear of Temperature_ Stratified Lexical Expansion, Voice Mapping, and Semantic-Relational Pre-Valida.pdf</x:v>
      </x:c>
      <x:c r="Q342" s="25" t="str">
        <x:v>RECONSTRUCTED_FROM_REPORT</x:v>
      </x:c>
      <x:c r="R342" s="27" t="str">
        <x:v>New surrogate project ID assigned from the compact report table; never an original later-stage structured candidate ID.</x:v>
      </x:c>
    </x:row>
    <x:row r="343" ht="19" customHeight="1">
      <x:c r="A343" s="23" t="str">
        <x:v>FT-SEED-R1B-P-2022-14</x:v>
      </x:c>
      <x:c r="B343" s="25" t="str">
        <x:v>PRIORITY_180</x:v>
      </x:c>
      <x:c r="C343" s="24" t="str"/>
      <x:c r="D343" s="25" t="str">
        <x:v>12</x:v>
      </x:c>
      <x:c r="E343" s="24" t="str">
        <x:v>FT-A2022</x:v>
      </x:c>
      <x:c r="F343" s="24" t="str">
        <x:v>depressed</x:v>
      </x:c>
      <x:c r="G343" s="25" t="str">
        <x:v>C</x:v>
      </x:c>
      <x:c r="H343" s="25" t="str">
        <x:v>V5</x:v>
      </x:c>
      <x:c r="I343" s="24" t="str">
        <x:v>S2022-YALE-US</x:v>
      </x:c>
      <x:c r="J343" s="25" t="str"/>
      <x:c r="K343" s="25" t="str">
        <x:v>PRIORITY_RANK=14;ORIGINAL_ROW_CONFIDENCE_NOT_EXPOSED</x:v>
      </x:c>
      <x:c r="L343" s="24" t="str">
        <x:v>NOT_EXPOSED</x:v>
      </x:c>
      <x:c r="M343" s="25" t="str">
        <x:v>PRIORITY_RANK_14</x:v>
      </x:c>
      <x:c r="N343" s="25" t="str">
        <x:v>RECONSTRUCTED_FROM_REPORT</x:v>
      </x:c>
      <x:c r="O343" s="25" t="str">
        <x:v>UNRESOLVED</x:v>
      </x:c>
      <x:c r="P343" s="24" t="str">
        <x:v>Fear of Temperature_ Stratified Lexical Expansion, Voice Mapping, and Semantic-Relational Pre-Valida.pdf</x:v>
      </x:c>
      <x:c r="Q343" s="25" t="str">
        <x:v>RECONSTRUCTED_FROM_REPORT</x:v>
      </x:c>
      <x:c r="R343" s="27" t="str">
        <x:v>New surrogate project ID assigned from the compact report table; never an original later-stage structured candidate ID.</x:v>
      </x:c>
    </x:row>
    <x:row r="344" ht="19" customHeight="1">
      <x:c r="A344" s="23" t="str">
        <x:v>FT-SEED-R1B-P-2022-15</x:v>
      </x:c>
      <x:c r="B344" s="25" t="str">
        <x:v>PRIORITY_180</x:v>
      </x:c>
      <x:c r="C344" s="24" t="str"/>
      <x:c r="D344" s="25" t="str">
        <x:v>12</x:v>
      </x:c>
      <x:c r="E344" s="24" t="str">
        <x:v>FT-A2022</x:v>
      </x:c>
      <x:c r="F344" s="24" t="str">
        <x:v>symptoms of anxiety</x:v>
      </x:c>
      <x:c r="G344" s="25" t="str">
        <x:v>C</x:v>
      </x:c>
      <x:c r="H344" s="25" t="str">
        <x:v>V5</x:v>
      </x:c>
      <x:c r="I344" s="24" t="str">
        <x:v>S2022-YALE-US</x:v>
      </x:c>
      <x:c r="J344" s="25" t="str"/>
      <x:c r="K344" s="25" t="str">
        <x:v>PRIORITY_RANK=15;ORIGINAL_ROW_CONFIDENCE_NOT_EXPOSED</x:v>
      </x:c>
      <x:c r="L344" s="24" t="str">
        <x:v>NOT_EXPOSED</x:v>
      </x:c>
      <x:c r="M344" s="25" t="str">
        <x:v>PRIORITY_RANK_15</x:v>
      </x:c>
      <x:c r="N344" s="25" t="str">
        <x:v>RECONSTRUCTED_FROM_REPORT</x:v>
      </x:c>
      <x:c r="O344" s="25" t="str">
        <x:v>UNRESOLVED</x:v>
      </x:c>
      <x:c r="P344" s="24" t="str">
        <x:v>Fear of Temperature_ Stratified Lexical Expansion, Voice Mapping, and Semantic-Relational Pre-Valida.pdf</x:v>
      </x:c>
      <x:c r="Q344" s="25" t="str">
        <x:v>RECONSTRUCTED_FROM_REPORT</x:v>
      </x:c>
      <x:c r="R344" s="27" t="str">
        <x:v>New surrogate project ID assigned from the compact report table; never an original later-stage structured candidate ID.</x:v>
      </x:c>
    </x:row>
    <x:row r="345" ht="19" customHeight="1">
      <x:c r="A345" s="23" t="str">
        <x:v>FT-SEED-R1B-P-2022-16</x:v>
      </x:c>
      <x:c r="B345" s="25" t="str">
        <x:v>PRIORITY_180</x:v>
      </x:c>
      <x:c r="C345" s="24" t="str"/>
      <x:c r="D345" s="25" t="str">
        <x:v>12</x:v>
      </x:c>
      <x:c r="E345" s="24" t="str">
        <x:v>FT-A2022</x:v>
      </x:c>
      <x:c r="F345" s="24" t="str">
        <x:v>climate anxiety</x:v>
      </x:c>
      <x:c r="G345" s="25" t="str">
        <x:v>C</x:v>
      </x:c>
      <x:c r="H345" s="25" t="str">
        <x:v>V1</x:v>
      </x:c>
      <x:c r="I345" s="24" t="str">
        <x:v>S2022-NATURE</x:v>
      </x:c>
      <x:c r="J345" s="25" t="str">
        <x:v>E4</x:v>
      </x:c>
      <x:c r="K345" s="25" t="str">
        <x:v>PRIORITY_RANK=16;ORIGINAL_ROW_CONFIDENCE_NOT_EXPOSED</x:v>
      </x:c>
      <x:c r="L345" s="24" t="str">
        <x:v>NOT_EXPOSED</x:v>
      </x:c>
      <x:c r="M345" s="25" t="str">
        <x:v>PRIORITY_RANK_16</x:v>
      </x:c>
      <x:c r="N345" s="25" t="str">
        <x:v>RECONSTRUCTED_FROM_REPORT</x:v>
      </x:c>
      <x:c r="O345" s="25" t="str">
        <x:v>UNRESOLVED</x:v>
      </x:c>
      <x:c r="P345" s="24" t="str">
        <x:v>Fear of Temperature_ Stratified Lexical Expansion, Voice Mapping, and Semantic-Relational Pre-Valida.pdf</x:v>
      </x:c>
      <x:c r="Q345" s="25" t="str">
        <x:v>RECONSTRUCTED_FROM_REPORT</x:v>
      </x:c>
      <x:c r="R345" s="27" t="str">
        <x:v>New surrogate project ID assigned from the compact report table; never an original later-stage structured candidate ID.</x:v>
      </x:c>
    </x:row>
    <x:row r="346" ht="19" customHeight="1">
      <x:c r="A346" s="23" t="str">
        <x:v>FT-SEED-R1B-P-2022-17</x:v>
      </x:c>
      <x:c r="B346" s="25" t="str">
        <x:v>PRIORITY_180</x:v>
      </x:c>
      <x:c r="C346" s="24" t="str"/>
      <x:c r="D346" s="25" t="str">
        <x:v>12</x:v>
      </x:c>
      <x:c r="E346" s="24" t="str">
        <x:v>FT-A2022</x:v>
      </x:c>
      <x:c r="F346" s="24" t="str">
        <x:v>eco-anxiety</x:v>
      </x:c>
      <x:c r="G346" s="25" t="str">
        <x:v>C</x:v>
      </x:c>
      <x:c r="H346" s="25" t="str">
        <x:v>V1</x:v>
      </x:c>
      <x:c r="I346" s="24" t="str">
        <x:v>S2022-REHLING</x:v>
      </x:c>
      <x:c r="J346" s="25" t="str"/>
      <x:c r="K346" s="25" t="str">
        <x:v>PRIORITY_RANK=17;ORIGINAL_ROW_CONFIDENCE_NOT_EXPOSED</x:v>
      </x:c>
      <x:c r="L346" s="24" t="str">
        <x:v>NOT_EXPOSED</x:v>
      </x:c>
      <x:c r="M346" s="25" t="str">
        <x:v>PRIORITY_RANK_17</x:v>
      </x:c>
      <x:c r="N346" s="25" t="str">
        <x:v>RECONSTRUCTED_FROM_REPORT</x:v>
      </x:c>
      <x:c r="O346" s="25" t="str">
        <x:v>UNRESOLVED</x:v>
      </x:c>
      <x:c r="P346" s="24" t="str">
        <x:v>Fear of Temperature_ Stratified Lexical Expansion, Voice Mapping, and Semantic-Relational Pre-Valida.pdf</x:v>
      </x:c>
      <x:c r="Q346" s="25" t="str">
        <x:v>RECONSTRUCTED_FROM_REPORT</x:v>
      </x:c>
      <x:c r="R346" s="27" t="str">
        <x:v>New surrogate project ID assigned from the compact report table; never an original later-stage structured candidate ID.</x:v>
      </x:c>
    </x:row>
    <x:row r="347" ht="19" customHeight="1">
      <x:c r="A347" s="23" t="str">
        <x:v>FT-SEED-R1B-P-2022-18</x:v>
      </x:c>
      <x:c r="B347" s="25" t="str">
        <x:v>PRIORITY_180</x:v>
      </x:c>
      <x:c r="C347" s="24" t="str"/>
      <x:c r="D347" s="25" t="str">
        <x:v>12</x:v>
      </x:c>
      <x:c r="E347" s="24" t="str">
        <x:v>FT-A2022</x:v>
      </x:c>
      <x:c r="F347" s="24" t="str">
        <x:v>psychological distress</x:v>
      </x:c>
      <x:c r="G347" s="25" t="str">
        <x:v>C</x:v>
      </x:c>
      <x:c r="H347" s="25" t="str">
        <x:v>V1</x:v>
      </x:c>
      <x:c r="I347" s="24" t="str">
        <x:v>S2022-ANU</x:v>
      </x:c>
      <x:c r="J347" s="25" t="str"/>
      <x:c r="K347" s="25" t="str">
        <x:v>PRIORITY_RANK=18;ORIGINAL_ROW_CONFIDENCE_NOT_EXPOSED</x:v>
      </x:c>
      <x:c r="L347" s="24" t="str">
        <x:v>NOT_EXPOSED</x:v>
      </x:c>
      <x:c r="M347" s="25" t="str">
        <x:v>PRIORITY_RANK_18</x:v>
      </x:c>
      <x:c r="N347" s="25" t="str">
        <x:v>RECONSTRUCTED_FROM_REPORT</x:v>
      </x:c>
      <x:c r="O347" s="25" t="str">
        <x:v>UNRESOLVED</x:v>
      </x:c>
      <x:c r="P347" s="24" t="str">
        <x:v>Fear of Temperature_ Stratified Lexical Expansion, Voice Mapping, and Semantic-Relational Pre-Valida.pdf</x:v>
      </x:c>
      <x:c r="Q347" s="25" t="str">
        <x:v>RECONSTRUCTED_FROM_REPORT</x:v>
      </x:c>
      <x:c r="R347" s="27" t="str">
        <x:v>New surrogate project ID assigned from the compact report table; never an original later-stage structured candidate ID.</x:v>
      </x:c>
    </x:row>
    <x:row r="348" ht="19" customHeight="1">
      <x:c r="A348" s="23" t="str">
        <x:v>FT-SEED-R1B-P-2022-21</x:v>
      </x:c>
      <x:c r="B348" s="25" t="str">
        <x:v>PRIORITY_180</x:v>
      </x:c>
      <x:c r="C348" s="24" t="str"/>
      <x:c r="D348" s="25" t="str">
        <x:v>12</x:v>
      </x:c>
      <x:c r="E348" s="24" t="str">
        <x:v>FT-A2022</x:v>
      </x:c>
      <x:c r="F348" s="24" t="str">
        <x:v>guilt</x:v>
      </x:c>
      <x:c r="G348" s="25" t="str">
        <x:v>C</x:v>
      </x:c>
      <x:c r="H348" s="25" t="str">
        <x:v>V1</x:v>
      </x:c>
      <x:c r="I348" s="24" t="str">
        <x:v>S2022-REHLING</x:v>
      </x:c>
      <x:c r="J348" s="25" t="str"/>
      <x:c r="K348" s="25" t="str">
        <x:v>PRIORITY_RANK=21;ORIGINAL_ROW_CONFIDENCE_NOT_EXPOSED</x:v>
      </x:c>
      <x:c r="L348" s="24" t="str">
        <x:v>NOT_EXPOSED</x:v>
      </x:c>
      <x:c r="M348" s="25" t="str">
        <x:v>PRIORITY_RANK_21</x:v>
      </x:c>
      <x:c r="N348" s="25" t="str">
        <x:v>RECONSTRUCTED_FROM_REPORT</x:v>
      </x:c>
      <x:c r="O348" s="25" t="str">
        <x:v>UNRESOLVED</x:v>
      </x:c>
      <x:c r="P348" s="24" t="str">
        <x:v>Fear of Temperature_ Stratified Lexical Expansion, Voice Mapping, and Semantic-Relational Pre-Valida.pdf</x:v>
      </x:c>
      <x:c r="Q348" s="25" t="str">
        <x:v>RECONSTRUCTED_FROM_REPORT</x:v>
      </x:c>
      <x:c r="R348" s="27" t="str">
        <x:v>New surrogate project ID assigned from the compact report table; never an original later-stage structured candidate ID.</x:v>
      </x:c>
    </x:row>
    <x:row r="349" ht="19" customHeight="1">
      <x:c r="A349" s="23" t="str">
        <x:v>FT-SEED-R1B-P-2022-22</x:v>
      </x:c>
      <x:c r="B349" s="25" t="str">
        <x:v>PRIORITY_180</x:v>
      </x:c>
      <x:c r="C349" s="24" t="str"/>
      <x:c r="D349" s="25" t="str">
        <x:v>12</x:v>
      </x:c>
      <x:c r="E349" s="24" t="str">
        <x:v>FT-A2022</x:v>
      </x:c>
      <x:c r="F349" s="24" t="str">
        <x:v>heatwaves</x:v>
      </x:c>
      <x:c r="G349" s="25" t="str">
        <x:v>A</x:v>
      </x:c>
      <x:c r="H349" s="25" t="str">
        <x:v>V1</x:v>
      </x:c>
      <x:c r="I349" s="24" t="str">
        <x:v>S2022-IPCC</x:v>
      </x:c>
      <x:c r="J349" s="25" t="str"/>
      <x:c r="K349" s="25" t="str">
        <x:v>PRIORITY_RANK=22;ORIGINAL_ROW_CONFIDENCE_NOT_EXPOSED</x:v>
      </x:c>
      <x:c r="L349" s="24" t="str">
        <x:v>NOT_EXPOSED</x:v>
      </x:c>
      <x:c r="M349" s="25" t="str">
        <x:v>PRIORITY_RANK_22</x:v>
      </x:c>
      <x:c r="N349" s="25" t="str">
        <x:v>RECONSTRUCTED_FROM_REPORT</x:v>
      </x:c>
      <x:c r="O349" s="25" t="str">
        <x:v>UNRESOLVED</x:v>
      </x:c>
      <x:c r="P349" s="24" t="str">
        <x:v>Fear of Temperature_ Stratified Lexical Expansion, Voice Mapping, and Semantic-Relational Pre-Valida.pdf</x:v>
      </x:c>
      <x:c r="Q349" s="25" t="str">
        <x:v>RECONSTRUCTED_FROM_REPORT</x:v>
      </x:c>
      <x:c r="R349" s="27" t="str">
        <x:v>New surrogate project ID assigned from the compact report table; never an original later-stage structured candidate ID.</x:v>
      </x:c>
    </x:row>
    <x:row r="350" ht="19" customHeight="1">
      <x:c r="A350" s="23" t="str">
        <x:v>FT-SEED-R1B-P-2022-23</x:v>
      </x:c>
      <x:c r="B350" s="25" t="str">
        <x:v>PRIORITY_180</x:v>
      </x:c>
      <x:c r="C350" s="24" t="str"/>
      <x:c r="D350" s="25" t="str">
        <x:v>12</x:v>
      </x:c>
      <x:c r="E350" s="24" t="str">
        <x:v>FT-A2022</x:v>
      </x:c>
      <x:c r="F350" s="24" t="str">
        <x:v>heat-related mortality</x:v>
      </x:c>
      <x:c r="G350" s="25" t="str">
        <x:v>D</x:v>
      </x:c>
      <x:c r="H350" s="25" t="str">
        <x:v>V1</x:v>
      </x:c>
      <x:c r="I350" s="24" t="str">
        <x:v>S2022-IPCC</x:v>
      </x:c>
      <x:c r="J350" s="25" t="str"/>
      <x:c r="K350" s="25" t="str">
        <x:v>PRIORITY_RANK=23;ORIGINAL_ROW_CONFIDENCE_NOT_EXPOSED</x:v>
      </x:c>
      <x:c r="L350" s="24" t="str">
        <x:v>NOT_EXPOSED</x:v>
      </x:c>
      <x:c r="M350" s="25" t="str">
        <x:v>PRIORITY_RANK_23</x:v>
      </x:c>
      <x:c r="N350" s="25" t="str">
        <x:v>RECONSTRUCTED_FROM_REPORT</x:v>
      </x:c>
      <x:c r="O350" s="25" t="str">
        <x:v>UNRESOLVED</x:v>
      </x:c>
      <x:c r="P350" s="24" t="str">
        <x:v>Fear of Temperature_ Stratified Lexical Expansion, Voice Mapping, and Semantic-Relational Pre-Valida.pdf</x:v>
      </x:c>
      <x:c r="Q350" s="25" t="str">
        <x:v>RECONSTRUCTED_FROM_REPORT</x:v>
      </x:c>
      <x:c r="R350" s="27" t="str">
        <x:v>New surrogate project ID assigned from the compact report table; never an original later-stage structured candidate ID.</x:v>
      </x:c>
    </x:row>
    <x:row r="351" ht="19" customHeight="1">
      <x:c r="A351" s="23" t="str">
        <x:v>FT-SEED-R1B-P-2022-24</x:v>
      </x:c>
      <x:c r="B351" s="25" t="str">
        <x:v>PRIORITY_180</x:v>
      </x:c>
      <x:c r="C351" s="24" t="str"/>
      <x:c r="D351" s="25" t="str">
        <x:v>12</x:v>
      </x:c>
      <x:c r="E351" s="24" t="str">
        <x:v>FT-A2022</x:v>
      </x:c>
      <x:c r="F351" s="24" t="str">
        <x:v>mental health challenges</x:v>
      </x:c>
      <x:c r="G351" s="25" t="str">
        <x:v>D</x:v>
      </x:c>
      <x:c r="H351" s="25" t="str">
        <x:v>V1</x:v>
      </x:c>
      <x:c r="I351" s="24" t="str">
        <x:v>S2022-IPCC</x:v>
      </x:c>
      <x:c r="J351" s="25" t="str"/>
      <x:c r="K351" s="25" t="str">
        <x:v>PRIORITY_RANK=24;ORIGINAL_ROW_CONFIDENCE_NOT_EXPOSED</x:v>
      </x:c>
      <x:c r="L351" s="24" t="str">
        <x:v>NOT_EXPOSED</x:v>
      </x:c>
      <x:c r="M351" s="25" t="str">
        <x:v>PRIORITY_RANK_24</x:v>
      </x:c>
      <x:c r="N351" s="25" t="str">
        <x:v>RECONSTRUCTED_FROM_REPORT</x:v>
      </x:c>
      <x:c r="O351" s="25" t="str">
        <x:v>UNRESOLVED</x:v>
      </x:c>
      <x:c r="P351" s="24" t="str">
        <x:v>Fear of Temperature_ Stratified Lexical Expansion, Voice Mapping, and Semantic-Relational Pre-Valida.pdf</x:v>
      </x:c>
      <x:c r="Q351" s="25" t="str">
        <x:v>RECONSTRUCTED_FROM_REPORT</x:v>
      </x:c>
      <x:c r="R351" s="27" t="str">
        <x:v>New surrogate project ID assigned from the compact report table; never an original later-stage structured candidate ID.</x:v>
      </x:c>
    </x:row>
    <x:row r="352" ht="19" customHeight="1">
      <x:c r="A352" s="23" t="str">
        <x:v>FT-SEED-R1B-P-2022-25</x:v>
      </x:c>
      <x:c r="B352" s="25" t="str">
        <x:v>PRIORITY_180</x:v>
      </x:c>
      <x:c r="C352" s="24" t="str"/>
      <x:c r="D352" s="25" t="str">
        <x:v>12</x:v>
      </x:c>
      <x:c r="E352" s="24" t="str">
        <x:v>FT-A2022</x:v>
      </x:c>
      <x:c r="F352" s="24" t="str">
        <x:v>anxiety and stress</x:v>
      </x:c>
      <x:c r="G352" s="25" t="str">
        <x:v>C</x:v>
      </x:c>
      <x:c r="H352" s="25" t="str">
        <x:v>V1</x:v>
      </x:c>
      <x:c r="I352" s="24" t="str">
        <x:v>S2022-IPCC</x:v>
      </x:c>
      <x:c r="J352" s="25" t="str"/>
      <x:c r="K352" s="25" t="str">
        <x:v>PRIORITY_RANK=25;ORIGINAL_ROW_CONFIDENCE_NOT_EXPOSED</x:v>
      </x:c>
      <x:c r="L352" s="24" t="str">
        <x:v>NOT_EXPOSED</x:v>
      </x:c>
      <x:c r="M352" s="25" t="str">
        <x:v>PRIORITY_RANK_25</x:v>
      </x:c>
      <x:c r="N352" s="25" t="str">
        <x:v>RECONSTRUCTED_FROM_REPORT</x:v>
      </x:c>
      <x:c r="O352" s="25" t="str">
        <x:v>UNRESOLVED</x:v>
      </x:c>
      <x:c r="P352" s="24" t="str">
        <x:v>Fear of Temperature_ Stratified Lexical Expansion, Voice Mapping, and Semantic-Relational Pre-Valida.pdf</x:v>
      </x:c>
      <x:c r="Q352" s="25" t="str">
        <x:v>RECONSTRUCTED_FROM_REPORT</x:v>
      </x:c>
      <x:c r="R352" s="27" t="str">
        <x:v>New surrogate project ID assigned from the compact report table; never an original later-stage structured candidate ID.</x:v>
      </x:c>
    </x:row>
    <x:row r="353" ht="19" customHeight="1">
      <x:c r="A353" s="23" t="str">
        <x:v>FT-SEED-R1B-P-2022-26</x:v>
      </x:c>
      <x:c r="B353" s="25" t="str">
        <x:v>PRIORITY_180</x:v>
      </x:c>
      <x:c r="C353" s="24" t="str"/>
      <x:c r="D353" s="25" t="str">
        <x:v>12</x:v>
      </x:c>
      <x:c r="E353" s="24" t="str">
        <x:v>FT-A2022</x:v>
      </x:c>
      <x:c r="F353" s="24" t="str">
        <x:v>ill health</x:v>
      </x:c>
      <x:c r="G353" s="25" t="str">
        <x:v>D</x:v>
      </x:c>
      <x:c r="H353" s="25" t="str">
        <x:v>V1</x:v>
      </x:c>
      <x:c r="I353" s="24" t="str">
        <x:v>S2022-IPCC</x:v>
      </x:c>
      <x:c r="J353" s="25" t="str"/>
      <x:c r="K353" s="25" t="str">
        <x:v>PRIORITY_RANK=26;ORIGINAL_ROW_CONFIDENCE_NOT_EXPOSED</x:v>
      </x:c>
      <x:c r="L353" s="24" t="str">
        <x:v>NOT_EXPOSED</x:v>
      </x:c>
      <x:c r="M353" s="25" t="str">
        <x:v>PRIORITY_RANK_26</x:v>
      </x:c>
      <x:c r="N353" s="25" t="str">
        <x:v>RECONSTRUCTED_FROM_REPORT</x:v>
      </x:c>
      <x:c r="O353" s="25" t="str">
        <x:v>UNRESOLVED</x:v>
      </x:c>
      <x:c r="P353" s="24" t="str">
        <x:v>Fear of Temperature_ Stratified Lexical Expansion, Voice Mapping, and Semantic-Relational Pre-Valida.pdf</x:v>
      </x:c>
      <x:c r="Q353" s="25" t="str">
        <x:v>RECONSTRUCTED_FROM_REPORT</x:v>
      </x:c>
      <x:c r="R353" s="27" t="str">
        <x:v>New surrogate project ID assigned from the compact report table; never an original later-stage structured candidate ID.</x:v>
      </x:c>
    </x:row>
    <x:row r="354" ht="19" customHeight="1">
      <x:c r="A354" s="23" t="str">
        <x:v>FT-SEED-R1B-P-2022-27</x:v>
      </x:c>
      <x:c r="B354" s="25" t="str">
        <x:v>PRIORITY_180</x:v>
      </x:c>
      <x:c r="C354" s="24" t="str"/>
      <x:c r="D354" s="25" t="str">
        <x:v>12</x:v>
      </x:c>
      <x:c r="E354" s="24" t="str">
        <x:v>FT-A2022</x:v>
      </x:c>
      <x:c r="F354" s="24" t="str">
        <x:v>premature deaths</x:v>
      </x:c>
      <x:c r="G354" s="25" t="str">
        <x:v>D</x:v>
      </x:c>
      <x:c r="H354" s="25" t="str">
        <x:v>V1</x:v>
      </x:c>
      <x:c r="I354" s="24" t="str">
        <x:v>S2022-IPCC</x:v>
      </x:c>
      <x:c r="J354" s="25" t="str"/>
      <x:c r="K354" s="25" t="str">
        <x:v>PRIORITY_RANK=27;ORIGINAL_ROW_CONFIDENCE_NOT_EXPOSED</x:v>
      </x:c>
      <x:c r="L354" s="24" t="str">
        <x:v>NOT_EXPOSED</x:v>
      </x:c>
      <x:c r="M354" s="25" t="str">
        <x:v>PRIORITY_RANK_27</x:v>
      </x:c>
      <x:c r="N354" s="25" t="str">
        <x:v>RECONSTRUCTED_FROM_REPORT</x:v>
      </x:c>
      <x:c r="O354" s="25" t="str">
        <x:v>UNRESOLVED</x:v>
      </x:c>
      <x:c r="P354" s="24" t="str">
        <x:v>Fear of Temperature_ Stratified Lexical Expansion, Voice Mapping, and Semantic-Relational Pre-Valida.pdf</x:v>
      </x:c>
      <x:c r="Q354" s="25" t="str">
        <x:v>RECONSTRUCTED_FROM_REPORT</x:v>
      </x:c>
      <x:c r="R354" s="27" t="str">
        <x:v>New surrogate project ID assigned from the compact report table; never an original later-stage structured candidate ID.</x:v>
      </x:c>
    </x:row>
    <x:row r="355" ht="19" customHeight="1">
      <x:c r="A355" s="23" t="str">
        <x:v>FT-SEED-R1B-P-2022-28</x:v>
      </x:c>
      <x:c r="B355" s="25" t="str">
        <x:v>PRIORITY_180</x:v>
      </x:c>
      <x:c r="C355" s="24" t="str"/>
      <x:c r="D355" s="25" t="str">
        <x:v>12</x:v>
      </x:c>
      <x:c r="E355" s="24" t="str">
        <x:v>FT-A2022</x:v>
      </x:c>
      <x:c r="F355" s="24" t="str">
        <x:v>very serious threat</x:v>
      </x:c>
      <x:c r="G355" s="25" t="str">
        <x:v>D</x:v>
      </x:c>
      <x:c r="H355" s="25" t="str">
        <x:v>V5</x:v>
      </x:c>
      <x:c r="I355" s="24" t="str">
        <x:v>S2022-YALE-INT</x:v>
      </x:c>
      <x:c r="J355" s="25" t="str"/>
      <x:c r="K355" s="25" t="str">
        <x:v>PRIORITY_RANK=28;ORIGINAL_ROW_CONFIDENCE_NOT_EXPOSED</x:v>
      </x:c>
      <x:c r="L355" s="24" t="str">
        <x:v>NOT_EXPOSED</x:v>
      </x:c>
      <x:c r="M355" s="25" t="str">
        <x:v>PRIORITY_RANK_28</x:v>
      </x:c>
      <x:c r="N355" s="25" t="str">
        <x:v>RECONSTRUCTED_FROM_REPORT</x:v>
      </x:c>
      <x:c r="O355" s="25" t="str">
        <x:v>UNRESOLVED</x:v>
      </x:c>
      <x:c r="P355" s="24" t="str">
        <x:v>Fear of Temperature_ Stratified Lexical Expansion, Voice Mapping, and Semantic-Relational Pre-Valida.pdf</x:v>
      </x:c>
      <x:c r="Q355" s="25" t="str">
        <x:v>RECONSTRUCTED_FROM_REPORT</x:v>
      </x:c>
      <x:c r="R355" s="27" t="str">
        <x:v>New surrogate project ID assigned from the compact report table; never an original later-stage structured candidate ID.</x:v>
      </x:c>
    </x:row>
    <x:row r="356" ht="19" customHeight="1">
      <x:c r="A356" s="23" t="str">
        <x:v>FT-SEED-R1B-P-2022-09</x:v>
      </x:c>
      <x:c r="B356" s="25" t="str">
        <x:v>PRIORITY_180</x:v>
      </x:c>
      <x:c r="C356" s="24" t="str"/>
      <x:c r="D356" s="25" t="str">
        <x:v>13</x:v>
      </x:c>
      <x:c r="E356" s="24" t="str">
        <x:v>FT-A2022</x:v>
      </x:c>
      <x:c r="F356" s="24" t="str">
        <x:v>angry</x:v>
      </x:c>
      <x:c r="G356" s="25" t="str">
        <x:v>C</x:v>
      </x:c>
      <x:c r="H356" s="25" t="str">
        <x:v>V5</x:v>
      </x:c>
      <x:c r="I356" s="24" t="str">
        <x:v>S2022-YALE-US</x:v>
      </x:c>
      <x:c r="J356" s="25" t="str"/>
      <x:c r="K356" s="25" t="str">
        <x:v>PRIORITY_RANK=9;ORIGINAL_ROW_CONFIDENCE_NOT_EXPOSED</x:v>
      </x:c>
      <x:c r="L356" s="24" t="str">
        <x:v>NOT_EXPOSED</x:v>
      </x:c>
      <x:c r="M356" s="25" t="str">
        <x:v>PRIORITY_RANK_09</x:v>
      </x:c>
      <x:c r="N356" s="25" t="str">
        <x:v>RECONSTRUCTED_FROM_REPORT</x:v>
      </x:c>
      <x:c r="O356" s="25" t="str">
        <x:v>UNRESOLVED</x:v>
      </x:c>
      <x:c r="P356" s="24" t="str">
        <x:v>Fear of Temperature_ Stratified Lexical Expansion, Voice Mapping, and Semantic-Relational Pre-Valida.pdf</x:v>
      </x:c>
      <x:c r="Q356" s="25" t="str">
        <x:v>RECONSTRUCTED_FROM_REPORT</x:v>
      </x:c>
      <x:c r="R356" s="27" t="str">
        <x:v>New surrogate project ID assigned from the compact report table; never an original later-stage structured candidate ID.</x:v>
      </x:c>
    </x:row>
    <x:row r="357" ht="19" customHeight="1">
      <x:c r="A357" s="23" t="str">
        <x:v>FT-SEED-R1B-P-2022-10</x:v>
      </x:c>
      <x:c r="B357" s="25" t="str">
        <x:v>PRIORITY_180</x:v>
      </x:c>
      <x:c r="C357" s="24" t="str"/>
      <x:c r="D357" s="25" t="str">
        <x:v>13</x:v>
      </x:c>
      <x:c r="E357" s="24" t="str">
        <x:v>FT-A2022</x:v>
      </x:c>
      <x:c r="F357" s="24" t="str">
        <x:v>frustrated</x:v>
      </x:c>
      <x:c r="G357" s="25" t="str">
        <x:v>C</x:v>
      </x:c>
      <x:c r="H357" s="25" t="str">
        <x:v>V5</x:v>
      </x:c>
      <x:c r="I357" s="24" t="str">
        <x:v>S2022-YALE-US</x:v>
      </x:c>
      <x:c r="J357" s="25" t="str"/>
      <x:c r="K357" s="25" t="str">
        <x:v>PRIORITY_RANK=10;ORIGINAL_ROW_CONFIDENCE_NOT_EXPOSED</x:v>
      </x:c>
      <x:c r="L357" s="24" t="str">
        <x:v>NOT_EXPOSED</x:v>
      </x:c>
      <x:c r="M357" s="25" t="str">
        <x:v>PRIORITY_RANK_10</x:v>
      </x:c>
      <x:c r="N357" s="25" t="str">
        <x:v>RECONSTRUCTED_FROM_REPORT</x:v>
      </x:c>
      <x:c r="O357" s="25" t="str">
        <x:v>UNRESOLVED</x:v>
      </x:c>
      <x:c r="P357" s="24" t="str">
        <x:v>Fear of Temperature_ Stratified Lexical Expansion, Voice Mapping, and Semantic-Relational Pre-Valida.pdf</x:v>
      </x:c>
      <x:c r="Q357" s="25" t="str">
        <x:v>RECONSTRUCTED_FROM_REPORT</x:v>
      </x:c>
      <x:c r="R357" s="27" t="str">
        <x:v>New surrogate project ID assigned from the compact report table; never an original later-stage structured candidate ID.</x:v>
      </x:c>
    </x:row>
    <x:row r="358" ht="19" customHeight="1">
      <x:c r="A358" s="23" t="str">
        <x:v>FT-SEED-R1B-P-2022-19</x:v>
      </x:c>
      <x:c r="B358" s="25" t="str">
        <x:v>PRIORITY_180</x:v>
      </x:c>
      <x:c r="C358" s="24" t="str"/>
      <x:c r="D358" s="25" t="str">
        <x:v>13</x:v>
      </x:c>
      <x:c r="E358" s="24" t="str">
        <x:v>FT-A2022</x:v>
      </x:c>
      <x:c r="F358" s="24" t="str">
        <x:v>distress</x:v>
      </x:c>
      <x:c r="G358" s="25" t="str">
        <x:v>C</x:v>
      </x:c>
      <x:c r="H358" s="25" t="str">
        <x:v>V1</x:v>
      </x:c>
      <x:c r="I358" s="24" t="str">
        <x:v>S2022-REHLING</x:v>
      </x:c>
      <x:c r="J358" s="25" t="str"/>
      <x:c r="K358" s="25" t="str">
        <x:v>PRIORITY_RANK=19;ORIGINAL_ROW_CONFIDENCE_NOT_EXPOSED</x:v>
      </x:c>
      <x:c r="L358" s="24" t="str">
        <x:v>NOT_EXPOSED</x:v>
      </x:c>
      <x:c r="M358" s="25" t="str">
        <x:v>PRIORITY_RANK_19</x:v>
      </x:c>
      <x:c r="N358" s="25" t="str">
        <x:v>RECONSTRUCTED_FROM_REPORT</x:v>
      </x:c>
      <x:c r="O358" s="25" t="str">
        <x:v>UNRESOLVED</x:v>
      </x:c>
      <x:c r="P358" s="24" t="str">
        <x:v>Fear of Temperature_ Stratified Lexical Expansion, Voice Mapping, and Semantic-Relational Pre-Valida.pdf</x:v>
      </x:c>
      <x:c r="Q358" s="25" t="str">
        <x:v>RECONSTRUCTED_FROM_REPORT</x:v>
      </x:c>
      <x:c r="R358" s="27" t="str">
        <x:v>New surrogate project ID assigned from the compact report table; never an original later-stage structured candidate ID.</x:v>
      </x:c>
    </x:row>
    <x:row r="359" ht="19" customHeight="1">
      <x:c r="A359" s="23" t="str">
        <x:v>FT-SEED-R1B-P-2022-20</x:v>
      </x:c>
      <x:c r="B359" s="25" t="str">
        <x:v>PRIORITY_180</x:v>
      </x:c>
      <x:c r="C359" s="24" t="str"/>
      <x:c r="D359" s="25" t="str">
        <x:v>13</x:v>
      </x:c>
      <x:c r="E359" s="24" t="str">
        <x:v>FT-A2022</x:v>
      </x:c>
      <x:c r="F359" s="24" t="str">
        <x:v>powerlessness</x:v>
      </x:c>
      <x:c r="G359" s="25" t="str">
        <x:v>C</x:v>
      </x:c>
      <x:c r="H359" s="25" t="str">
        <x:v>V1</x:v>
      </x:c>
      <x:c r="I359" s="24" t="str">
        <x:v>S2022-REHLING</x:v>
      </x:c>
      <x:c r="J359" s="25" t="str"/>
      <x:c r="K359" s="25" t="str">
        <x:v>PRIORITY_RANK=20;ORIGINAL_ROW_CONFIDENCE_NOT_EXPOSED</x:v>
      </x:c>
      <x:c r="L359" s="24" t="str">
        <x:v>NOT_EXPOSED</x:v>
      </x:c>
      <x:c r="M359" s="25" t="str">
        <x:v>PRIORITY_RANK_20</x:v>
      </x:c>
      <x:c r="N359" s="25" t="str">
        <x:v>RECONSTRUCTED_FROM_REPORT</x:v>
      </x:c>
      <x:c r="O359" s="25" t="str">
        <x:v>UNRESOLVED</x:v>
      </x:c>
      <x:c r="P359" s="24" t="str">
        <x:v>Fear of Temperature_ Stratified Lexical Expansion, Voice Mapping, and Semantic-Relational Pre-Valida.pdf</x:v>
      </x:c>
      <x:c r="Q359" s="25" t="str">
        <x:v>RECONSTRUCTED_FROM_REPORT</x:v>
      </x:c>
      <x:c r="R359" s="27" t="str">
        <x:v>New surrogate project ID assigned from the compact report table; never an original later-stage structured candidate ID.</x:v>
      </x:c>
    </x:row>
    <x:row r="360" ht="19" customHeight="1">
      <x:c r="A360" s="23" t="str">
        <x:v>FT-SEED-R1B-P-2022-29</x:v>
      </x:c>
      <x:c r="B360" s="25" t="str">
        <x:v>PRIORITY_180</x:v>
      </x:c>
      <x:c r="C360" s="24" t="str"/>
      <x:c r="D360" s="25" t="str">
        <x:v>13</x:v>
      </x:c>
      <x:c r="E360" s="24" t="str">
        <x:v>FT-A2022</x:v>
      </x:c>
      <x:c r="F360" s="24" t="str">
        <x:v>harm future generations</x:v>
      </x:c>
      <x:c r="G360" s="25" t="str">
        <x:v>D</x:v>
      </x:c>
      <x:c r="H360" s="25" t="str">
        <x:v>V5</x:v>
      </x:c>
      <x:c r="I360" s="24" t="str">
        <x:v>S2022-YALE-INT</x:v>
      </x:c>
      <x:c r="J360" s="25" t="str"/>
      <x:c r="K360" s="25" t="str">
        <x:v>PRIORITY_RANK=29;ORIGINAL_ROW_CONFIDENCE_NOT_EXPOSED</x:v>
      </x:c>
      <x:c r="L360" s="24" t="str">
        <x:v>NOT_EXPOSED</x:v>
      </x:c>
      <x:c r="M360" s="25" t="str">
        <x:v>PRIORITY_RANK_29</x:v>
      </x:c>
      <x:c r="N360" s="25" t="str">
        <x:v>RECONSTRUCTED_FROM_REPORT</x:v>
      </x:c>
      <x:c r="O360" s="25" t="str">
        <x:v>UNRESOLVED</x:v>
      </x:c>
      <x:c r="P360" s="24" t="str">
        <x:v>Fear of Temperature_ Stratified Lexical Expansion, Voice Mapping, and Semantic-Relational Pre-Valida.pdf</x:v>
      </x:c>
      <x:c r="Q360" s="25" t="str">
        <x:v>RECONSTRUCTED_FROM_REPORT</x:v>
      </x:c>
      <x:c r="R360" s="27" t="str">
        <x:v>New surrogate project ID assigned from the compact report table; never an original later-stage structured candidate ID.</x:v>
      </x:c>
    </x:row>
    <x:row r="361" ht="19" customHeight="1">
      <x:c r="A361" s="23" t="str">
        <x:v>FT-SEED-R1B-P-2022-30</x:v>
      </x:c>
      <x:c r="B361" s="25" t="str">
        <x:v>PRIORITY_180</x:v>
      </x:c>
      <x:c r="C361" s="24" t="str"/>
      <x:c r="D361" s="25" t="str">
        <x:v>13</x:v>
      </x:c>
      <x:c r="E361" s="24" t="str">
        <x:v>FT-A2022</x:v>
      </x:c>
      <x:c r="F361" s="24" t="str">
        <x:v>climate crisis</x:v>
      </x:c>
      <x:c r="G361" s="25" t="str">
        <x:v>D</x:v>
      </x:c>
      <x:c r="H361" s="25" t="str">
        <x:v>V4</x:v>
      </x:c>
      <x:c r="I361" s="24" t="str">
        <x:v>S2022-XR</x:v>
      </x:c>
      <x:c r="J361" s="25" t="str"/>
      <x:c r="K361" s="25" t="str">
        <x:v>PRIORITY_RANK=30;ORIGINAL_ROW_CONFIDENCE_NOT_EXPOSED</x:v>
      </x:c>
      <x:c r="L361" s="24" t="str">
        <x:v>NOT_EXPOSED</x:v>
      </x:c>
      <x:c r="M361" s="25" t="str">
        <x:v>PRIORITY_RANK_30</x:v>
      </x:c>
      <x:c r="N361" s="25" t="str">
        <x:v>RECONSTRUCTED_FROM_REPORT</x:v>
      </x:c>
      <x:c r="O361" s="25" t="str">
        <x:v>UNRESOLVED</x:v>
      </x:c>
      <x:c r="P361" s="24" t="str">
        <x:v>Fear of Temperature_ Stratified Lexical Expansion, Voice Mapping, and Semantic-Relational Pre-Valida.pdf</x:v>
      </x:c>
      <x:c r="Q361" s="25" t="str">
        <x:v>RECONSTRUCTED_FROM_REPORT</x:v>
      </x:c>
      <x:c r="R361" s="27" t="str">
        <x:v>New surrogate project ID assigned from the compact report table; never an original later-stage structured candidate ID.</x:v>
      </x:c>
    </x:row>
    <x:row r="362" ht="19" customHeight="1">
      <x:c r="A362" s="23" t="str">
        <x:v>FT-SEED-R1B-X-1842-01</x:v>
      </x:c>
      <x:c r="B362" s="25" t="str">
        <x:v>EXPANSION_36</x:v>
      </x:c>
      <x:c r="C362" s="24" t="str"/>
      <x:c r="D362" s="25" t="str">
        <x:v>7</x:v>
      </x:c>
      <x:c r="E362" s="24" t="str">
        <x:v>FT-A1842</x:v>
      </x:c>
      <x:c r="F362" s="24" t="str">
        <x:v>the heat is remarkable</x:v>
      </x:c>
      <x:c r="G362" s="25" t="str">
        <x:v>A</x:v>
      </x:c>
      <x:c r="H362" s="25" t="str"/>
      <x:c r="I362" s="24" t="str"/>
      <x:c r="J362" s="25" t="str"/>
      <x:c r="K362" s="25" t="str">
        <x:v>EXPANSION_ORDER=1;ORIGINAL_ROW_METADATA_NOT_EXPOSED</x:v>
      </x:c>
      <x:c r="L362" s="24" t="str">
        <x:v>NOT_EXPOSED</x:v>
      </x:c>
      <x:c r="M362" s="25" t="str">
        <x:v>EXPANSION_ORDER_01</x:v>
      </x:c>
      <x:c r="N362" s="25" t="str">
        <x:v>RECONSTRUCTED_FROM_REPORT</x:v>
      </x:c>
      <x:c r="O362" s="25" t="str">
        <x:v>UNRESOLVED</x:v>
      </x:c>
      <x:c r="P362" s="24" t="str">
        <x:v>Fear of Temperature_ Stratified Lexical Expansion, Voice Mapping, and Semantic-Relational Pre-Valida.pdf</x:v>
      </x:c>
      <x:c r="Q362" s="25" t="str">
        <x:v>RECONSTRUCTED_FROM_REPORT</x:v>
      </x:c>
      <x:c r="R362" s="27" t="str">
        <x:v>New surrogate project ID assigned from the report's narrative Expansion list; original structured row identity and per-row voice/source metadata were unavailable.</x:v>
      </x:c>
    </x:row>
    <x:row r="363" ht="19" customHeight="1">
      <x:c r="A363" s="23" t="str">
        <x:v>FT-SEED-R1B-X-1842-02</x:v>
      </x:c>
      <x:c r="B363" s="25" t="str">
        <x:v>EXPANSION_36</x:v>
      </x:c>
      <x:c r="C363" s="24" t="str"/>
      <x:c r="D363" s="25" t="str">
        <x:v>7</x:v>
      </x:c>
      <x:c r="E363" s="24" t="str">
        <x:v>FT-A1842</x:v>
      </x:c>
      <x:c r="F363" s="24" t="str">
        <x:v>92° in the shade</x:v>
      </x:c>
      <x:c r="G363" s="25" t="str">
        <x:v>A</x:v>
      </x:c>
      <x:c r="H363" s="25" t="str"/>
      <x:c r="I363" s="24" t="str"/>
      <x:c r="J363" s="25" t="str"/>
      <x:c r="K363" s="25" t="str">
        <x:v>EXPANSION_ORDER=2;ORIGINAL_ROW_METADATA_NOT_EXPOSED</x:v>
      </x:c>
      <x:c r="L363" s="24" t="str">
        <x:v>NOT_EXPOSED</x:v>
      </x:c>
      <x:c r="M363" s="25" t="str">
        <x:v>EXPANSION_ORDER_02</x:v>
      </x:c>
      <x:c r="N363" s="25" t="str">
        <x:v>RECONSTRUCTED_FROM_REPORT</x:v>
      </x:c>
      <x:c r="O363" s="25" t="str">
        <x:v>UNRESOLVED</x:v>
      </x:c>
      <x:c r="P363" s="24" t="str">
        <x:v>Fear of Temperature_ Stratified Lexical Expansion, Voice Mapping, and Semantic-Relational Pre-Valida.pdf</x:v>
      </x:c>
      <x:c r="Q363" s="25" t="str">
        <x:v>RECONSTRUCTED_FROM_REPORT</x:v>
      </x:c>
      <x:c r="R363" s="27" t="str">
        <x:v>New surrogate project ID assigned from the report's narrative Expansion list; original structured row identity and per-row voice/source metadata were unavailable.</x:v>
      </x:c>
    </x:row>
    <x:row r="364" ht="19" customHeight="1">
      <x:c r="A364" s="23" t="str">
        <x:v>FT-SEED-R1B-X-1842-03</x:v>
      </x:c>
      <x:c r="B364" s="25" t="str">
        <x:v>EXPANSION_36</x:v>
      </x:c>
      <x:c r="C364" s="24" t="str"/>
      <x:c r="D364" s="25" t="str">
        <x:v>7</x:v>
      </x:c>
      <x:c r="E364" s="24" t="str">
        <x:v>FT-A1842</x:v>
      </x:c>
      <x:c r="F364" s="24" t="str">
        <x:v>80 yesterday in the shade</x:v>
      </x:c>
      <x:c r="G364" s="25" t="str">
        <x:v>A</x:v>
      </x:c>
      <x:c r="H364" s="25" t="str"/>
      <x:c r="I364" s="24" t="str"/>
      <x:c r="J364" s="25" t="str"/>
      <x:c r="K364" s="25" t="str">
        <x:v>EXPANSION_ORDER=3;ORIGINAL_ROW_METADATA_NOT_EXPOSED</x:v>
      </x:c>
      <x:c r="L364" s="24" t="str">
        <x:v>NOT_EXPOSED</x:v>
      </x:c>
      <x:c r="M364" s="25" t="str">
        <x:v>EXPANSION_ORDER_03</x:v>
      </x:c>
      <x:c r="N364" s="25" t="str">
        <x:v>RECONSTRUCTED_FROM_REPORT</x:v>
      </x:c>
      <x:c r="O364" s="25" t="str">
        <x:v>UNRESOLVED</x:v>
      </x:c>
      <x:c r="P364" s="24" t="str">
        <x:v>Fear of Temperature_ Stratified Lexical Expansion, Voice Mapping, and Semantic-Relational Pre-Valida.pdf</x:v>
      </x:c>
      <x:c r="Q364" s="25" t="str">
        <x:v>RECONSTRUCTED_FROM_REPORT</x:v>
      </x:c>
      <x:c r="R364" s="27" t="str">
        <x:v>New surrogate project ID assigned from the report's narrative Expansion list; original structured row identity and per-row voice/source metadata were unavailable.</x:v>
      </x:c>
    </x:row>
    <x:row r="365" ht="19" customHeight="1">
      <x:c r="A365" s="23" t="str">
        <x:v>FT-SEED-R1B-X-1842-04</x:v>
      </x:c>
      <x:c r="B365" s="25" t="str">
        <x:v>EXPANSION_36</x:v>
      </x:c>
      <x:c r="C365" s="24" t="str"/>
      <x:c r="D365" s="25" t="str">
        <x:v>7</x:v>
      </x:c>
      <x:c r="E365" s="24" t="str">
        <x:v>FT-A1842</x:v>
      </x:c>
      <x:c r="F365" s="24" t="str">
        <x:v>very depressing effect on the energies</x:v>
      </x:c>
      <x:c r="G365" s="25" t="str">
        <x:v>C</x:v>
      </x:c>
      <x:c r="H365" s="25" t="str"/>
      <x:c r="I365" s="24" t="str"/>
      <x:c r="J365" s="25" t="str"/>
      <x:c r="K365" s="25" t="str">
        <x:v>EXPANSION_ORDER=4;ORIGINAL_ROW_METADATA_NOT_EXPOSED</x:v>
      </x:c>
      <x:c r="L365" s="24" t="str">
        <x:v>NOT_EXPOSED</x:v>
      </x:c>
      <x:c r="M365" s="25" t="str">
        <x:v>EXPANSION_ORDER_04</x:v>
      </x:c>
      <x:c r="N365" s="25" t="str">
        <x:v>RECONSTRUCTED_FROM_REPORT</x:v>
      </x:c>
      <x:c r="O365" s="25" t="str">
        <x:v>UNRESOLVED</x:v>
      </x:c>
      <x:c r="P365" s="24" t="str">
        <x:v>Fear of Temperature_ Stratified Lexical Expansion, Voice Mapping, and Semantic-Relational Pre-Valida.pdf</x:v>
      </x:c>
      <x:c r="Q365" s="25" t="str">
        <x:v>RECONSTRUCTED_FROM_REPORT</x:v>
      </x:c>
      <x:c r="R365" s="27" t="str">
        <x:v>New surrogate project ID assigned from the report's narrative Expansion list; original structured row identity and per-row voice/source metadata were unavailable.</x:v>
      </x:c>
    </x:row>
    <x:row r="366" ht="19" customHeight="1">
      <x:c r="A366" s="23" t="str">
        <x:v>FT-SEED-R1B-X-1842-05</x:v>
      </x:c>
      <x:c r="B366" s="25" t="str">
        <x:v>EXPANSION_36</x:v>
      </x:c>
      <x:c r="C366" s="24" t="str"/>
      <x:c r="D366" s="25" t="str">
        <x:v>7</x:v>
      </x:c>
      <x:c r="E366" s="24" t="str">
        <x:v>FT-A1842</x:v>
      </x:c>
      <x:c r="F366" s="24" t="str">
        <x:v>fatal</x:v>
      </x:c>
      <x:c r="G366" s="25" t="str">
        <x:v>D</x:v>
      </x:c>
      <x:c r="H366" s="25" t="str"/>
      <x:c r="I366" s="24" t="str"/>
      <x:c r="J366" s="25" t="str"/>
      <x:c r="K366" s="25" t="str">
        <x:v>EXPANSION_ORDER=5;ORIGINAL_ROW_METADATA_NOT_EXPOSED</x:v>
      </x:c>
      <x:c r="L366" s="24" t="str">
        <x:v>NOT_EXPOSED</x:v>
      </x:c>
      <x:c r="M366" s="25" t="str">
        <x:v>EXPANSION_ORDER_05</x:v>
      </x:c>
      <x:c r="N366" s="25" t="str">
        <x:v>RECONSTRUCTED_FROM_REPORT</x:v>
      </x:c>
      <x:c r="O366" s="25" t="str">
        <x:v>UNRESOLVED</x:v>
      </x:c>
      <x:c r="P366" s="24" t="str">
        <x:v>Fear of Temperature_ Stratified Lexical Expansion, Voice Mapping, and Semantic-Relational Pre-Valida.pdf</x:v>
      </x:c>
      <x:c r="Q366" s="25" t="str">
        <x:v>RECONSTRUCTED_FROM_REPORT</x:v>
      </x:c>
      <x:c r="R366" s="27" t="str">
        <x:v>New surrogate project ID assigned from the report's narrative Expansion list; original structured row identity and per-row voice/source metadata were unavailable.</x:v>
      </x:c>
    </x:row>
    <x:row r="367" ht="19" customHeight="1">
      <x:c r="A367" s="23" t="str">
        <x:v>FT-SEED-R1B-X-1842-06</x:v>
      </x:c>
      <x:c r="B367" s="25" t="str">
        <x:v>EXPANSION_36</x:v>
      </x:c>
      <x:c r="C367" s="24" t="str"/>
      <x:c r="D367" s="25" t="str">
        <x:v>7</x:v>
      </x:c>
      <x:c r="E367" s="24" t="str">
        <x:v>FT-A1842</x:v>
      </x:c>
      <x:c r="F367" s="24" t="str">
        <x:v>mortality</x:v>
      </x:c>
      <x:c r="G367" s="25" t="str">
        <x:v>D</x:v>
      </x:c>
      <x:c r="H367" s="25" t="str"/>
      <x:c r="I367" s="24" t="str"/>
      <x:c r="J367" s="25" t="str"/>
      <x:c r="K367" s="25" t="str">
        <x:v>EXPANSION_ORDER=6;ORIGINAL_ROW_METADATA_NOT_EXPOSED</x:v>
      </x:c>
      <x:c r="L367" s="24" t="str">
        <x:v>NOT_EXPOSED</x:v>
      </x:c>
      <x:c r="M367" s="25" t="str">
        <x:v>EXPANSION_ORDER_06</x:v>
      </x:c>
      <x:c r="N367" s="25" t="str">
        <x:v>RECONSTRUCTED_FROM_REPORT</x:v>
      </x:c>
      <x:c r="O367" s="25" t="str">
        <x:v>UNRESOLVED</x:v>
      </x:c>
      <x:c r="P367" s="24" t="str">
        <x:v>Fear of Temperature_ Stratified Lexical Expansion, Voice Mapping, and Semantic-Relational Pre-Valida.pdf</x:v>
      </x:c>
      <x:c r="Q367" s="25" t="str">
        <x:v>RECONSTRUCTED_FROM_REPORT</x:v>
      </x:c>
      <x:c r="R367" s="27" t="str">
        <x:v>New surrogate project ID assigned from the report's narrative Expansion list; original structured row identity and per-row voice/source metadata were unavailable.</x:v>
      </x:c>
    </x:row>
    <x:row r="368" ht="19" customHeight="1">
      <x:c r="A368" s="23" t="str">
        <x:v>FT-SEED-R1B-X-1938-01</x:v>
      </x:c>
      <x:c r="B368" s="25" t="str">
        <x:v>EXPANSION_36</x:v>
      </x:c>
      <x:c r="C368" s="24" t="str"/>
      <x:c r="D368" s="25" t="str">
        <x:v>8</x:v>
      </x:c>
      <x:c r="E368" s="24" t="str">
        <x:v>FT-A1938</x:v>
      </x:c>
      <x:c r="F368" s="24" t="str">
        <x:v>blinding sun</x:v>
      </x:c>
      <x:c r="G368" s="25" t="str">
        <x:v>D</x:v>
      </x:c>
      <x:c r="H368" s="25" t="str"/>
      <x:c r="I368" s="24" t="str"/>
      <x:c r="J368" s="25" t="str"/>
      <x:c r="K368" s="25" t="str">
        <x:v>EXPANSION_ORDER=1;ORIGINAL_ROW_METADATA_NOT_EXPOSED</x:v>
      </x:c>
      <x:c r="L368" s="24" t="str">
        <x:v>NOT_EXPOSED</x:v>
      </x:c>
      <x:c r="M368" s="25" t="str">
        <x:v>EXPANSION_ORDER_01</x:v>
      </x:c>
      <x:c r="N368" s="25" t="str">
        <x:v>RECONSTRUCTED_FROM_REPORT</x:v>
      </x:c>
      <x:c r="O368" s="25" t="str">
        <x:v>UNRESOLVED</x:v>
      </x:c>
      <x:c r="P368" s="24" t="str">
        <x:v>Fear of Temperature_ Stratified Lexical Expansion, Voice Mapping, and Semantic-Relational Pre-Valida.pdf</x:v>
      </x:c>
      <x:c r="Q368" s="25" t="str">
        <x:v>RECONSTRUCTED_FROM_REPORT</x:v>
      </x:c>
      <x:c r="R368" s="27" t="str">
        <x:v>New surrogate project ID assigned from the report's narrative Expansion list; original structured row identity and per-row voice/source metadata were unavailable.</x:v>
      </x:c>
    </x:row>
    <x:row r="369" ht="19" customHeight="1">
      <x:c r="A369" s="23" t="str">
        <x:v>FT-SEED-R1B-X-1938-02</x:v>
      </x:c>
      <x:c r="B369" s="25" t="str">
        <x:v>EXPANSION_36</x:v>
      </x:c>
      <x:c r="C369" s="24" t="str"/>
      <x:c r="D369" s="25" t="str">
        <x:v>8</x:v>
      </x:c>
      <x:c r="E369" s="24" t="str">
        <x:v>FT-A1938</x:v>
      </x:c>
      <x:c r="F369" s="24" t="str">
        <x:v>choking death from thirst and starvation</x:v>
      </x:c>
      <x:c r="G369" s="25" t="str">
        <x:v>D</x:v>
      </x:c>
      <x:c r="H369" s="25" t="str"/>
      <x:c r="I369" s="24" t="str"/>
      <x:c r="J369" s="25" t="str"/>
      <x:c r="K369" s="25" t="str">
        <x:v>EXPANSION_ORDER=2;ORIGINAL_ROW_METADATA_NOT_EXPOSED</x:v>
      </x:c>
      <x:c r="L369" s="24" t="str">
        <x:v>NOT_EXPOSED</x:v>
      </x:c>
      <x:c r="M369" s="25" t="str">
        <x:v>EXPANSION_ORDER_02</x:v>
      </x:c>
      <x:c r="N369" s="25" t="str">
        <x:v>RECONSTRUCTED_FROM_REPORT</x:v>
      </x:c>
      <x:c r="O369" s="25" t="str">
        <x:v>UNRESOLVED</x:v>
      </x:c>
      <x:c r="P369" s="24" t="str">
        <x:v>Fear of Temperature_ Stratified Lexical Expansion, Voice Mapping, and Semantic-Relational Pre-Valida.pdf</x:v>
      </x:c>
      <x:c r="Q369" s="25" t="str">
        <x:v>RECONSTRUCTED_FROM_REPORT</x:v>
      </x:c>
      <x:c r="R369" s="27" t="str">
        <x:v>New surrogate project ID assigned from the report's narrative Expansion list; original structured row identity and per-row voice/source metadata were unavailable.</x:v>
      </x:c>
    </x:row>
    <x:row r="370" ht="19" customHeight="1">
      <x:c r="A370" s="23" t="str">
        <x:v>FT-SEED-R1B-X-1938-03</x:v>
      </x:c>
      <x:c r="B370" s="25" t="str">
        <x:v>EXPANSION_36</x:v>
      </x:c>
      <x:c r="C370" s="24" t="str"/>
      <x:c r="D370" s="25" t="str">
        <x:v>8</x:v>
      </x:c>
      <x:c r="E370" s="24" t="str">
        <x:v>FT-A1938</x:v>
      </x:c>
      <x:c r="F370" s="24" t="str">
        <x:v>birds dropped dead</x:v>
      </x:c>
      <x:c r="G370" s="25" t="str">
        <x:v>D</x:v>
      </x:c>
      <x:c r="H370" s="25" t="str"/>
      <x:c r="I370" s="24" t="str"/>
      <x:c r="J370" s="25" t="str"/>
      <x:c r="K370" s="25" t="str">
        <x:v>EXPANSION_ORDER=3;ORIGINAL_ROW_METADATA_NOT_EXPOSED</x:v>
      </x:c>
      <x:c r="L370" s="24" t="str">
        <x:v>NOT_EXPOSED</x:v>
      </x:c>
      <x:c r="M370" s="25" t="str">
        <x:v>EXPANSION_ORDER_03</x:v>
      </x:c>
      <x:c r="N370" s="25" t="str">
        <x:v>RECONSTRUCTED_FROM_REPORT</x:v>
      </x:c>
      <x:c r="O370" s="25" t="str">
        <x:v>UNRESOLVED</x:v>
      </x:c>
      <x:c r="P370" s="24" t="str">
        <x:v>Fear of Temperature_ Stratified Lexical Expansion, Voice Mapping, and Semantic-Relational Pre-Valida.pdf</x:v>
      </x:c>
      <x:c r="Q370" s="25" t="str">
        <x:v>RECONSTRUCTED_FROM_REPORT</x:v>
      </x:c>
      <x:c r="R370" s="27" t="str">
        <x:v>New surrogate project ID assigned from the report's narrative Expansion list; original structured row identity and per-row voice/source metadata were unavailable.</x:v>
      </x:c>
    </x:row>
    <x:row r="371" ht="19" customHeight="1">
      <x:c r="A371" s="23" t="str">
        <x:v>FT-SEED-R1B-X-1938-04</x:v>
      </x:c>
      <x:c r="B371" s="25" t="str">
        <x:v>EXPANSION_36</x:v>
      </x:c>
      <x:c r="C371" s="24" t="str"/>
      <x:c r="D371" s="25" t="str">
        <x:v>8</x:v>
      </x:c>
      <x:c r="E371" s="24" t="str">
        <x:v>FT-A1938</x:v>
      </x:c>
      <x:c r="F371" s="24" t="str">
        <x:v>thermometers burst</x:v>
      </x:c>
      <x:c r="G371" s="25" t="str">
        <x:v>A</x:v>
      </x:c>
      <x:c r="H371" s="25" t="str"/>
      <x:c r="I371" s="24" t="str"/>
      <x:c r="J371" s="25" t="str"/>
      <x:c r="K371" s="25" t="str">
        <x:v>EXPANSION_ORDER=4;ORIGINAL_ROW_METADATA_NOT_EXPOSED</x:v>
      </x:c>
      <x:c r="L371" s="24" t="str">
        <x:v>NOT_EXPOSED</x:v>
      </x:c>
      <x:c r="M371" s="25" t="str">
        <x:v>EXPANSION_ORDER_04</x:v>
      </x:c>
      <x:c r="N371" s="25" t="str">
        <x:v>RECONSTRUCTED_FROM_REPORT</x:v>
      </x:c>
      <x:c r="O371" s="25" t="str">
        <x:v>UNRESOLVED</x:v>
      </x:c>
      <x:c r="P371" s="24" t="str">
        <x:v>Fear of Temperature_ Stratified Lexical Expansion, Voice Mapping, and Semantic-Relational Pre-Valida.pdf</x:v>
      </x:c>
      <x:c r="Q371" s="25" t="str">
        <x:v>RECONSTRUCTED_FROM_REPORT</x:v>
      </x:c>
      <x:c r="R371" s="27" t="str">
        <x:v>New surrogate project ID assigned from the report's narrative Expansion list; original structured row identity and per-row voice/source metadata were unavailable.</x:v>
      </x:c>
    </x:row>
    <x:row r="372" ht="19" customHeight="1">
      <x:c r="A372" s="23" t="str">
        <x:v>FT-SEED-R1B-X-1938-05</x:v>
      </x:c>
      <x:c r="B372" s="25" t="str">
        <x:v>EXPANSION_36</x:v>
      </x:c>
      <x:c r="C372" s="24" t="str"/>
      <x:c r="D372" s="25" t="str">
        <x:v>8</x:v>
      </x:c>
      <x:c r="E372" s="24" t="str">
        <x:v>FT-A1938</x:v>
      </x:c>
      <x:c r="F372" s="24" t="str">
        <x:v>heat-related illness</x:v>
      </x:c>
      <x:c r="G372" s="25" t="str">
        <x:v>D</x:v>
      </x:c>
      <x:c r="H372" s="25" t="str"/>
      <x:c r="I372" s="24" t="str"/>
      <x:c r="J372" s="25" t="str"/>
      <x:c r="K372" s="25" t="str">
        <x:v>EXPANSION_ORDER=5;ORIGINAL_ROW_METADATA_NOT_EXPOSED</x:v>
      </x:c>
      <x:c r="L372" s="24" t="str">
        <x:v>NOT_EXPOSED</x:v>
      </x:c>
      <x:c r="M372" s="25" t="str">
        <x:v>EXPANSION_ORDER_05</x:v>
      </x:c>
      <x:c r="N372" s="25" t="str">
        <x:v>RECONSTRUCTED_FROM_REPORT</x:v>
      </x:c>
      <x:c r="O372" s="25" t="str">
        <x:v>UNRESOLVED</x:v>
      </x:c>
      <x:c r="P372" s="24" t="str">
        <x:v>Fear of Temperature_ Stratified Lexical Expansion, Voice Mapping, and Semantic-Relational Pre-Valida.pdf</x:v>
      </x:c>
      <x:c r="Q372" s="25" t="str">
        <x:v>RECONSTRUCTED_FROM_REPORT</x:v>
      </x:c>
      <x:c r="R372" s="27" t="str">
        <x:v>New surrogate project ID assigned from the report's narrative Expansion list; original structured row identity and per-row voice/source metadata were unavailable.</x:v>
      </x:c>
    </x:row>
    <x:row r="373" ht="19" customHeight="1">
      <x:c r="A373" s="23" t="str">
        <x:v>FT-SEED-R1B-X-1938-06</x:v>
      </x:c>
      <x:c r="B373" s="25" t="str">
        <x:v>EXPANSION_36</x:v>
      </x:c>
      <x:c r="C373" s="24" t="str"/>
      <x:c r="D373" s="25" t="str">
        <x:v>8</x:v>
      </x:c>
      <x:c r="E373" s="24" t="str">
        <x:v>FT-A1938</x:v>
      </x:c>
      <x:c r="F373" s="24" t="str">
        <x:v>warming trend</x:v>
      </x:c>
      <x:c r="G373" s="25" t="str">
        <x:v>A</x:v>
      </x:c>
      <x:c r="H373" s="25" t="str"/>
      <x:c r="I373" s="24" t="str"/>
      <x:c r="J373" s="25" t="str"/>
      <x:c r="K373" s="25" t="str">
        <x:v>EXPANSION_ORDER=6;ORIGINAL_ROW_METADATA_NOT_EXPOSED</x:v>
      </x:c>
      <x:c r="L373" s="24" t="str">
        <x:v>NOT_EXPOSED</x:v>
      </x:c>
      <x:c r="M373" s="25" t="str">
        <x:v>EXPANSION_ORDER_06</x:v>
      </x:c>
      <x:c r="N373" s="25" t="str">
        <x:v>RECONSTRUCTED_FROM_REPORT</x:v>
      </x:c>
      <x:c r="O373" s="25" t="str">
        <x:v>UNRESOLVED</x:v>
      </x:c>
      <x:c r="P373" s="24" t="str">
        <x:v>Fear of Temperature_ Stratified Lexical Expansion, Voice Mapping, and Semantic-Relational Pre-Valida.pdf</x:v>
      </x:c>
      <x:c r="Q373" s="25" t="str">
        <x:v>RECONSTRUCTED_FROM_REPORT</x:v>
      </x:c>
      <x:c r="R373" s="27" t="str">
        <x:v>New surrogate project ID assigned from the report's narrative Expansion list; original structured row identity and per-row voice/source metadata were unavailable.</x:v>
      </x:c>
    </x:row>
    <x:row r="374" ht="19" customHeight="1">
      <x:c r="A374" s="23" t="str">
        <x:v>FT-SEED-R1B-X-1988-01</x:v>
      </x:c>
      <x:c r="B374" s="25" t="str">
        <x:v>EXPANSION_36</x:v>
      </x:c>
      <x:c r="C374" s="24" t="str"/>
      <x:c r="D374" s="25" t="str">
        <x:v>9</x:v>
      </x:c>
      <x:c r="E374" s="24" t="str">
        <x:v>FT-A1988</x:v>
      </x:c>
      <x:c r="F374" s="24" t="str">
        <x:v>enemy is invisible but deadly</x:v>
      </x:c>
      <x:c r="G374" s="25" t="str">
        <x:v>D</x:v>
      </x:c>
      <x:c r="H374" s="25" t="str"/>
      <x:c r="I374" s="24" t="str"/>
      <x:c r="J374" s="25" t="str"/>
      <x:c r="K374" s="25" t="str">
        <x:v>EXPANSION_ORDER=1;ORIGINAL_ROW_METADATA_NOT_EXPOSED</x:v>
      </x:c>
      <x:c r="L374" s="24" t="str">
        <x:v>NOT_EXPOSED</x:v>
      </x:c>
      <x:c r="M374" s="25" t="str">
        <x:v>EXPANSION_ORDER_01</x:v>
      </x:c>
      <x:c r="N374" s="25" t="str">
        <x:v>RECONSTRUCTED_FROM_REPORT</x:v>
      </x:c>
      <x:c r="O374" s="25" t="str">
        <x:v>UNRESOLVED</x:v>
      </x:c>
      <x:c r="P374" s="24" t="str">
        <x:v>Fear of Temperature_ Stratified Lexical Expansion, Voice Mapping, and Semantic-Relational Pre-Valida.pdf</x:v>
      </x:c>
      <x:c r="Q374" s="25" t="str">
        <x:v>RECONSTRUCTED_FROM_REPORT</x:v>
      </x:c>
      <x:c r="R374" s="27" t="str">
        <x:v>New surrogate project ID assigned from the report's narrative Expansion list; original structured row identity and per-row voice/source metadata were unavailable.</x:v>
      </x:c>
    </x:row>
    <x:row r="375" ht="19" customHeight="1">
      <x:c r="A375" s="23" t="str">
        <x:v>FT-SEED-R1B-X-1988-02</x:v>
      </x:c>
      <x:c r="B375" s="25" t="str">
        <x:v>EXPANSION_36</x:v>
      </x:c>
      <x:c r="C375" s="24" t="str"/>
      <x:c r="D375" s="25" t="str">
        <x:v>9</x:v>
      </x:c>
      <x:c r="E375" s="24" t="str">
        <x:v>FT-A1988</x:v>
      </x:c>
      <x:c r="F375" s="24" t="str">
        <x:v>traps heat from the sun</x:v>
      </x:c>
      <x:c r="G375" s="25" t="str">
        <x:v>B</x:v>
      </x:c>
      <x:c r="H375" s="25" t="str"/>
      <x:c r="I375" s="24" t="str"/>
      <x:c r="J375" s="25" t="str"/>
      <x:c r="K375" s="25" t="str">
        <x:v>EXPANSION_ORDER=2;ORIGINAL_ROW_METADATA_NOT_EXPOSED</x:v>
      </x:c>
      <x:c r="L375" s="24" t="str">
        <x:v>NOT_EXPOSED</x:v>
      </x:c>
      <x:c r="M375" s="25" t="str">
        <x:v>EXPANSION_ORDER_02</x:v>
      </x:c>
      <x:c r="N375" s="25" t="str">
        <x:v>RECONSTRUCTED_FROM_REPORT</x:v>
      </x:c>
      <x:c r="O375" s="25" t="str">
        <x:v>UNRESOLVED</x:v>
      </x:c>
      <x:c r="P375" s="24" t="str">
        <x:v>Fear of Temperature_ Stratified Lexical Expansion, Voice Mapping, and Semantic-Relational Pre-Valida.pdf</x:v>
      </x:c>
      <x:c r="Q375" s="25" t="str">
        <x:v>RECONSTRUCTED_FROM_REPORT</x:v>
      </x:c>
      <x:c r="R375" s="27" t="str">
        <x:v>New surrogate project ID assigned from the report's narrative Expansion list; original structured row identity and per-row voice/source metadata were unavailable.</x:v>
      </x:c>
    </x:row>
    <x:row r="376" ht="19" customHeight="1">
      <x:c r="A376" s="23" t="str">
        <x:v>FT-SEED-R1B-X-1988-03</x:v>
      </x:c>
      <x:c r="B376" s="25" t="str">
        <x:v>EXPANSION_36</x:v>
      </x:c>
      <x:c r="C376" s="24" t="str"/>
      <x:c r="D376" s="25" t="str">
        <x:v>9</x:v>
      </x:c>
      <x:c r="E376" s="24" t="str">
        <x:v>FT-A1988</x:v>
      </x:c>
      <x:c r="F376" s="24" t="str">
        <x:v>global nuclear war</x:v>
      </x:c>
      <x:c r="G376" s="25" t="str">
        <x:v>D</x:v>
      </x:c>
      <x:c r="H376" s="25" t="str"/>
      <x:c r="I376" s="24" t="str"/>
      <x:c r="J376" s="25" t="str"/>
      <x:c r="K376" s="25" t="str">
        <x:v>EXPANSION_ORDER=3;ORIGINAL_ROW_METADATA_NOT_EXPOSED</x:v>
      </x:c>
      <x:c r="L376" s="24" t="str">
        <x:v>NOT_EXPOSED</x:v>
      </x:c>
      <x:c r="M376" s="25" t="str">
        <x:v>EXPANSION_ORDER_03</x:v>
      </x:c>
      <x:c r="N376" s="25" t="str">
        <x:v>RECONSTRUCTED_FROM_REPORT</x:v>
      </x:c>
      <x:c r="O376" s="25" t="str">
        <x:v>UNRESOLVED</x:v>
      </x:c>
      <x:c r="P376" s="24" t="str">
        <x:v>Fear of Temperature_ Stratified Lexical Expansion, Voice Mapping, and Semantic-Relational Pre-Valida.pdf</x:v>
      </x:c>
      <x:c r="Q376" s="25" t="str">
        <x:v>RECONSTRUCTED_FROM_REPORT</x:v>
      </x:c>
      <x:c r="R376" s="27" t="str">
        <x:v>New surrogate project ID assigned from the report's narrative Expansion list; original structured row identity and per-row voice/source metadata were unavailable.</x:v>
      </x:c>
    </x:row>
    <x:row r="377" ht="19" customHeight="1">
      <x:c r="A377" s="23" t="str">
        <x:v>FT-SEED-R1B-X-1988-04</x:v>
      </x:c>
      <x:c r="B377" s="25" t="str">
        <x:v>EXPANSION_36</x:v>
      </x:c>
      <x:c r="C377" s="24" t="str"/>
      <x:c r="D377" s="25" t="str">
        <x:v>9</x:v>
      </x:c>
      <x:c r="E377" s="24" t="str">
        <x:v>FT-A1988</x:v>
      </x:c>
      <x:c r="F377" s="24" t="str">
        <x:v>high degree of confidence</x:v>
      </x:c>
      <x:c r="G377" s="25" t="str">
        <x:v>C</x:v>
      </x:c>
      <x:c r="H377" s="25" t="str"/>
      <x:c r="I377" s="24" t="str"/>
      <x:c r="J377" s="25" t="str"/>
      <x:c r="K377" s="25" t="str">
        <x:v>EXPANSION_ORDER=4;ORIGINAL_ROW_METADATA_NOT_EXPOSED</x:v>
      </x:c>
      <x:c r="L377" s="24" t="str">
        <x:v>NOT_EXPOSED</x:v>
      </x:c>
      <x:c r="M377" s="25" t="str">
        <x:v>EXPANSION_ORDER_04</x:v>
      </x:c>
      <x:c r="N377" s="25" t="str">
        <x:v>RECONSTRUCTED_FROM_REPORT</x:v>
      </x:c>
      <x:c r="O377" s="25" t="str">
        <x:v>UNRESOLVED</x:v>
      </x:c>
      <x:c r="P377" s="24" t="str">
        <x:v>Fear of Temperature_ Stratified Lexical Expansion, Voice Mapping, and Semantic-Relational Pre-Valida.pdf</x:v>
      </x:c>
      <x:c r="Q377" s="25" t="str">
        <x:v>RECONSTRUCTED_FROM_REPORT</x:v>
      </x:c>
      <x:c r="R377" s="27" t="str">
        <x:v>New surrogate project ID assigned from the report's narrative Expansion list; original structured row identity and per-row voice/source metadata were unavailable.</x:v>
      </x:c>
    </x:row>
    <x:row r="378" ht="19" customHeight="1">
      <x:c r="A378" s="23" t="str">
        <x:v>FT-SEED-R1B-X-1988-05</x:v>
      </x:c>
      <x:c r="B378" s="25" t="str">
        <x:v>EXPANSION_36</x:v>
      </x:c>
      <x:c r="C378" s="24" t="str"/>
      <x:c r="D378" s="25" t="str">
        <x:v>9</x:v>
      </x:c>
      <x:c r="E378" s="24" t="str">
        <x:v>FT-A1988</x:v>
      </x:c>
      <x:c r="F378" s="24" t="str">
        <x:v>probability of occurrence</x:v>
      </x:c>
      <x:c r="G378" s="25" t="str">
        <x:v>D</x:v>
      </x:c>
      <x:c r="H378" s="25" t="str"/>
      <x:c r="I378" s="24" t="str"/>
      <x:c r="J378" s="25" t="str"/>
      <x:c r="K378" s="25" t="str">
        <x:v>EXPANSION_ORDER=5;ORIGINAL_ROW_METADATA_NOT_EXPOSED</x:v>
      </x:c>
      <x:c r="L378" s="24" t="str">
        <x:v>NOT_EXPOSED</x:v>
      </x:c>
      <x:c r="M378" s="25" t="str">
        <x:v>EXPANSION_ORDER_05</x:v>
      </x:c>
      <x:c r="N378" s="25" t="str">
        <x:v>RECONSTRUCTED_FROM_REPORT</x:v>
      </x:c>
      <x:c r="O378" s="25" t="str">
        <x:v>UNRESOLVED</x:v>
      </x:c>
      <x:c r="P378" s="24" t="str">
        <x:v>Fear of Temperature_ Stratified Lexical Expansion, Voice Mapping, and Semantic-Relational Pre-Valida.pdf</x:v>
      </x:c>
      <x:c r="Q378" s="25" t="str">
        <x:v>RECONSTRUCTED_FROM_REPORT</x:v>
      </x:c>
      <x:c r="R378" s="27" t="str">
        <x:v>New surrogate project ID assigned from the report's narrative Expansion list; original structured row identity and per-row voice/source metadata were unavailable.</x:v>
      </x:c>
    </x:row>
    <x:row r="379" ht="19" customHeight="1">
      <x:c r="A379" s="23" t="str">
        <x:v>FT-SEED-R1B-X-1988-06</x:v>
      </x:c>
      <x:c r="B379" s="25" t="str">
        <x:v>EXPANSION_36</x:v>
      </x:c>
      <x:c r="C379" s="24" t="str"/>
      <x:c r="D379" s="25" t="str">
        <x:v>9</x:v>
      </x:c>
      <x:c r="E379" s="24" t="str">
        <x:v>FT-A1988</x:v>
      </x:c>
      <x:c r="F379" s="24" t="str">
        <x:v>more frequent</x:v>
      </x:c>
      <x:c r="G379" s="25" t="str">
        <x:v>A</x:v>
      </x:c>
      <x:c r="H379" s="25" t="str"/>
      <x:c r="I379" s="24" t="str"/>
      <x:c r="J379" s="25" t="str"/>
      <x:c r="K379" s="25" t="str">
        <x:v>EXPANSION_ORDER=6;ORIGINAL_ROW_METADATA_NOT_EXPOSED</x:v>
      </x:c>
      <x:c r="L379" s="24" t="str">
        <x:v>NOT_EXPOSED</x:v>
      </x:c>
      <x:c r="M379" s="25" t="str">
        <x:v>EXPANSION_ORDER_06</x:v>
      </x:c>
      <x:c r="N379" s="25" t="str">
        <x:v>RECONSTRUCTED_FROM_REPORT</x:v>
      </x:c>
      <x:c r="O379" s="25" t="str">
        <x:v>UNRESOLVED</x:v>
      </x:c>
      <x:c r="P379" s="24" t="str">
        <x:v>Fear of Temperature_ Stratified Lexical Expansion, Voice Mapping, and Semantic-Relational Pre-Valida.pdf</x:v>
      </x:c>
      <x:c r="Q379" s="25" t="str">
        <x:v>RECONSTRUCTED_FROM_REPORT</x:v>
      </x:c>
      <x:c r="R379" s="27" t="str">
        <x:v>New surrogate project ID assigned from the report's narrative Expansion list; original structured row identity and per-row voice/source metadata were unavailable.</x:v>
      </x:c>
    </x:row>
    <x:row r="380" ht="19" customHeight="1">
      <x:c r="A380" s="23" t="str">
        <x:v>FT-SEED-R1B-X-0607-01</x:v>
      </x:c>
      <x:c r="B380" s="25" t="str">
        <x:v>EXPANSION_36</x:v>
      </x:c>
      <x:c r="C380" s="24" t="str"/>
      <x:c r="D380" s="25" t="str">
        <x:v>10</x:v>
      </x:c>
      <x:c r="E380" s="24" t="str">
        <x:v>FT-A0607</x:v>
      </x:c>
      <x:c r="F380" s="24" t="str">
        <x:v>effects already begun</x:v>
      </x:c>
      <x:c r="G380" s="25" t="str">
        <x:v>D</x:v>
      </x:c>
      <x:c r="H380" s="25" t="str"/>
      <x:c r="I380" s="24" t="str"/>
      <x:c r="J380" s="25" t="str"/>
      <x:c r="K380" s="25" t="str">
        <x:v>EXPANSION_ORDER=1;ORIGINAL_ROW_METADATA_NOT_EXPOSED</x:v>
      </x:c>
      <x:c r="L380" s="24" t="str">
        <x:v>NOT_EXPOSED</x:v>
      </x:c>
      <x:c r="M380" s="25" t="str">
        <x:v>EXPANSION_ORDER_01</x:v>
      </x:c>
      <x:c r="N380" s="25" t="str">
        <x:v>RECONSTRUCTED_FROM_REPORT</x:v>
      </x:c>
      <x:c r="O380" s="25" t="str">
        <x:v>UNRESOLVED</x:v>
      </x:c>
      <x:c r="P380" s="24" t="str">
        <x:v>Fear of Temperature_ Stratified Lexical Expansion, Voice Mapping, and Semantic-Relational Pre-Valida.pdf</x:v>
      </x:c>
      <x:c r="Q380" s="25" t="str">
        <x:v>RECONSTRUCTED_FROM_REPORT</x:v>
      </x:c>
      <x:c r="R380" s="27" t="str">
        <x:v>New surrogate project ID assigned from the report's narrative Expansion list; original structured row identity and per-row voice/source metadata were unavailable.</x:v>
      </x:c>
    </x:row>
    <x:row r="381" ht="19" customHeight="1">
      <x:c r="A381" s="23" t="str">
        <x:v>FT-SEED-R1B-X-0607-02</x:v>
      </x:c>
      <x:c r="B381" s="25" t="str">
        <x:v>EXPANSION_36</x:v>
      </x:c>
      <x:c r="C381" s="24" t="str"/>
      <x:c r="D381" s="25" t="str">
        <x:v>10</x:v>
      </x:c>
      <x:c r="E381" s="24" t="str">
        <x:v>FT-A0607</x:v>
      </x:c>
      <x:c r="F381" s="24" t="str">
        <x:v>human activities</x:v>
      </x:c>
      <x:c r="G381" s="25" t="str">
        <x:v>B</x:v>
      </x:c>
      <x:c r="H381" s="25" t="str"/>
      <x:c r="I381" s="24" t="str"/>
      <x:c r="J381" s="25" t="str"/>
      <x:c r="K381" s="25" t="str">
        <x:v>EXPANSION_ORDER=2;ORIGINAL_ROW_METADATA_NOT_EXPOSED</x:v>
      </x:c>
      <x:c r="L381" s="24" t="str">
        <x:v>NOT_EXPOSED</x:v>
      </x:c>
      <x:c r="M381" s="25" t="str">
        <x:v>EXPANSION_ORDER_02</x:v>
      </x:c>
      <x:c r="N381" s="25" t="str">
        <x:v>RECONSTRUCTED_FROM_REPORT</x:v>
      </x:c>
      <x:c r="O381" s="25" t="str">
        <x:v>UNRESOLVED</x:v>
      </x:c>
      <x:c r="P381" s="24" t="str">
        <x:v>Fear of Temperature_ Stratified Lexical Expansion, Voice Mapping, and Semantic-Relational Pre-Valida.pdf</x:v>
      </x:c>
      <x:c r="Q381" s="25" t="str">
        <x:v>RECONSTRUCTED_FROM_REPORT</x:v>
      </x:c>
      <x:c r="R381" s="27" t="str">
        <x:v>New surrogate project ID assigned from the report's narrative Expansion list; original structured row identity and per-row voice/source metadata were unavailable.</x:v>
      </x:c>
    </x:row>
    <x:row r="382" ht="19" customHeight="1">
      <x:c r="A382" s="23" t="str">
        <x:v>FT-SEED-R1B-X-0607-03</x:v>
      </x:c>
      <x:c r="B382" s="25" t="str">
        <x:v>EXPANSION_36</x:v>
      </x:c>
      <x:c r="C382" s="24" t="str"/>
      <x:c r="D382" s="25" t="str">
        <x:v>10</x:v>
      </x:c>
      <x:c r="E382" s="24" t="str">
        <x:v>FT-A0607</x:v>
      </x:c>
      <x:c r="F382" s="24" t="str">
        <x:v>media underestimates problem</x:v>
      </x:c>
      <x:c r="G382" s="25" t="str">
        <x:v>C</x:v>
      </x:c>
      <x:c r="H382" s="25" t="str"/>
      <x:c r="I382" s="24" t="str"/>
      <x:c r="J382" s="25" t="str"/>
      <x:c r="K382" s="25" t="str">
        <x:v>EXPANSION_ORDER=3;ORIGINAL_ROW_METADATA_NOT_EXPOSED</x:v>
      </x:c>
      <x:c r="L382" s="24" t="str">
        <x:v>NOT_EXPOSED</x:v>
      </x:c>
      <x:c r="M382" s="25" t="str">
        <x:v>EXPANSION_ORDER_03</x:v>
      </x:c>
      <x:c r="N382" s="25" t="str">
        <x:v>RECONSTRUCTED_FROM_REPORT</x:v>
      </x:c>
      <x:c r="O382" s="25" t="str">
        <x:v>UNRESOLVED</x:v>
      </x:c>
      <x:c r="P382" s="24" t="str">
        <x:v>Fear of Temperature_ Stratified Lexical Expansion, Voice Mapping, and Semantic-Relational Pre-Valida.pdf</x:v>
      </x:c>
      <x:c r="Q382" s="25" t="str">
        <x:v>RECONSTRUCTED_FROM_REPORT</x:v>
      </x:c>
      <x:c r="R382" s="27" t="str">
        <x:v>New surrogate project ID assigned from the report's narrative Expansion list; original structured row identity and per-row voice/source metadata were unavailable.</x:v>
      </x:c>
    </x:row>
    <x:row r="383" ht="19" customHeight="1">
      <x:c r="A383" s="23" t="str">
        <x:v>FT-SEED-R1B-X-0607-04</x:v>
      </x:c>
      <x:c r="B383" s="25" t="str">
        <x:v>EXPANSION_36</x:v>
      </x:c>
      <x:c r="C383" s="24" t="str"/>
      <x:c r="D383" s="25" t="str">
        <x:v>10</x:v>
      </x:c>
      <x:c r="E383" s="24" t="str">
        <x:v>FT-A0607</x:v>
      </x:c>
      <x:c r="F383" s="24" t="str">
        <x:v>very serious concern</x:v>
      </x:c>
      <x:c r="G383" s="25" t="str">
        <x:v>C</x:v>
      </x:c>
      <x:c r="H383" s="25" t="str"/>
      <x:c r="I383" s="24" t="str"/>
      <x:c r="J383" s="25" t="str"/>
      <x:c r="K383" s="25" t="str">
        <x:v>EXPANSION_ORDER=4;ORIGINAL_ROW_METADATA_NOT_EXPOSED</x:v>
      </x:c>
      <x:c r="L383" s="24" t="str">
        <x:v>NOT_EXPOSED</x:v>
      </x:c>
      <x:c r="M383" s="25" t="str">
        <x:v>EXPANSION_ORDER_04</x:v>
      </x:c>
      <x:c r="N383" s="25" t="str">
        <x:v>RECONSTRUCTED_FROM_REPORT</x:v>
      </x:c>
      <x:c r="O383" s="25" t="str">
        <x:v>UNRESOLVED</x:v>
      </x:c>
      <x:c r="P383" s="24" t="str">
        <x:v>Fear of Temperature_ Stratified Lexical Expansion, Voice Mapping, and Semantic-Relational Pre-Valida.pdf</x:v>
      </x:c>
      <x:c r="Q383" s="25" t="str">
        <x:v>RECONSTRUCTED_FROM_REPORT</x:v>
      </x:c>
      <x:c r="R383" s="27" t="str">
        <x:v>New surrogate project ID assigned from the report's narrative Expansion list; original structured row identity and per-row voice/source metadata were unavailable.</x:v>
      </x:c>
    </x:row>
    <x:row r="384" ht="19" customHeight="1">
      <x:c r="A384" s="23" t="str">
        <x:v>FT-SEED-R1B-X-0607-05</x:v>
      </x:c>
      <x:c r="B384" s="25" t="str">
        <x:v>EXPANSION_36</x:v>
      </x:c>
      <x:c r="C384" s="24" t="str"/>
      <x:c r="D384" s="25" t="str">
        <x:v>10</x:v>
      </x:c>
      <x:c r="E384" s="24" t="str">
        <x:v>FT-A0607</x:v>
      </x:c>
      <x:c r="F384" s="24" t="str">
        <x:v>religious duty</x:v>
      </x:c>
      <x:c r="G384" s="25" t="str">
        <x:v>C</x:v>
      </x:c>
      <x:c r="H384" s="25" t="str"/>
      <x:c r="I384" s="24" t="str"/>
      <x:c r="J384" s="25" t="str"/>
      <x:c r="K384" s="25" t="str">
        <x:v>EXPANSION_ORDER=5;ORIGINAL_ROW_METADATA_NOT_EXPOSED</x:v>
      </x:c>
      <x:c r="L384" s="24" t="str">
        <x:v>NOT_EXPOSED</x:v>
      </x:c>
      <x:c r="M384" s="25" t="str">
        <x:v>EXPANSION_ORDER_05</x:v>
      </x:c>
      <x:c r="N384" s="25" t="str">
        <x:v>RECONSTRUCTED_FROM_REPORT</x:v>
      </x:c>
      <x:c r="O384" s="25" t="str">
        <x:v>UNRESOLVED</x:v>
      </x:c>
      <x:c r="P384" s="24" t="str">
        <x:v>Fear of Temperature_ Stratified Lexical Expansion, Voice Mapping, and Semantic-Relational Pre-Valida.pdf</x:v>
      </x:c>
      <x:c r="Q384" s="25" t="str">
        <x:v>RECONSTRUCTED_FROM_REPORT</x:v>
      </x:c>
      <x:c r="R384" s="27" t="str">
        <x:v>New surrogate project ID assigned from the report's narrative Expansion list; original structured row identity and per-row voice/source metadata were unavailable.</x:v>
      </x:c>
    </x:row>
    <x:row r="385" ht="19" customHeight="1">
      <x:c r="A385" s="23" t="str">
        <x:v>FT-SEED-R1B-X-0607-06</x:v>
      </x:c>
      <x:c r="B385" s="25" t="str">
        <x:v>EXPANSION_36</x:v>
      </x:c>
      <x:c r="C385" s="24" t="str"/>
      <x:c r="D385" s="25" t="str">
        <x:v>10</x:v>
      </x:c>
      <x:c r="E385" s="24" t="str">
        <x:v>FT-A0607</x:v>
      </x:c>
      <x:c r="F385" s="24" t="str">
        <x:v>serious challenge of global climate change</x:v>
      </x:c>
      <x:c r="G385" s="25" t="str">
        <x:v>D</x:v>
      </x:c>
      <x:c r="H385" s="25" t="str"/>
      <x:c r="I385" s="24" t="str"/>
      <x:c r="J385" s="25" t="str"/>
      <x:c r="K385" s="25" t="str">
        <x:v>EXPANSION_ORDER=6;ORIGINAL_ROW_METADATA_NOT_EXPOSED</x:v>
      </x:c>
      <x:c r="L385" s="24" t="str">
        <x:v>NOT_EXPOSED</x:v>
      </x:c>
      <x:c r="M385" s="25" t="str">
        <x:v>EXPANSION_ORDER_06</x:v>
      </x:c>
      <x:c r="N385" s="25" t="str">
        <x:v>RECONSTRUCTED_FROM_REPORT</x:v>
      </x:c>
      <x:c r="O385" s="25" t="str">
        <x:v>UNRESOLVED</x:v>
      </x:c>
      <x:c r="P385" s="24" t="str">
        <x:v>Fear of Temperature_ Stratified Lexical Expansion, Voice Mapping, and Semantic-Relational Pre-Valida.pdf</x:v>
      </x:c>
      <x:c r="Q385" s="25" t="str">
        <x:v>RECONSTRUCTED_FROM_REPORT</x:v>
      </x:c>
      <x:c r="R385" s="27" t="str">
        <x:v>New surrogate project ID assigned from the report's narrative Expansion list; original structured row identity and per-row voice/source metadata were unavailable.</x:v>
      </x:c>
    </x:row>
    <x:row r="386" ht="19" customHeight="1">
      <x:c r="A386" s="23" t="str">
        <x:v>FT-SEED-R1B-X-2015-01</x:v>
      </x:c>
      <x:c r="B386" s="25" t="str">
        <x:v>EXPANSION_36</x:v>
      </x:c>
      <x:c r="C386" s="24" t="str"/>
      <x:c r="D386" s="25" t="str">
        <x:v>12</x:v>
      </x:c>
      <x:c r="E386" s="24" t="str">
        <x:v>FT-A2015</x:v>
      </x:c>
      <x:c r="F386" s="24" t="str">
        <x:v>severe weather</x:v>
      </x:c>
      <x:c r="G386" s="25" t="str">
        <x:v>D</x:v>
      </x:c>
      <x:c r="H386" s="25" t="str"/>
      <x:c r="I386" s="24" t="str"/>
      <x:c r="J386" s="25" t="str"/>
      <x:c r="K386" s="25" t="str">
        <x:v>EXPANSION_ORDER=1;ORIGINAL_ROW_METADATA_NOT_EXPOSED</x:v>
      </x:c>
      <x:c r="L386" s="24" t="str">
        <x:v>NOT_EXPOSED</x:v>
      </x:c>
      <x:c r="M386" s="25" t="str">
        <x:v>EXPANSION_ORDER_01</x:v>
      </x:c>
      <x:c r="N386" s="25" t="str">
        <x:v>RECONSTRUCTED_FROM_REPORT</x:v>
      </x:c>
      <x:c r="O386" s="25" t="str">
        <x:v>UNRESOLVED</x:v>
      </x:c>
      <x:c r="P386" s="24" t="str">
        <x:v>Fear of Temperature_ Stratified Lexical Expansion, Voice Mapping, and Semantic-Relational Pre-Valida.pdf</x:v>
      </x:c>
      <x:c r="Q386" s="25" t="str">
        <x:v>RECONSTRUCTED_FROM_REPORT</x:v>
      </x:c>
      <x:c r="R386" s="27" t="str">
        <x:v>New surrogate project ID assigned from the report's narrative Expansion list; original structured row identity and per-row voice/source metadata were unavailable.</x:v>
      </x:c>
    </x:row>
    <x:row r="387" ht="19" customHeight="1">
      <x:c r="A387" s="23" t="str">
        <x:v>FT-SEED-R1B-X-2015-02</x:v>
      </x:c>
      <x:c r="B387" s="25" t="str">
        <x:v>EXPANSION_36</x:v>
      </x:c>
      <x:c r="C387" s="24" t="str"/>
      <x:c r="D387" s="25" t="str">
        <x:v>12</x:v>
      </x:c>
      <x:c r="E387" s="24" t="str">
        <x:v>FT-A2015</x:v>
      </x:c>
      <x:c r="F387" s="24" t="str">
        <x:v>long periods of unusually hot weather</x:v>
      </x:c>
      <x:c r="G387" s="25" t="str">
        <x:v>A</x:v>
      </x:c>
      <x:c r="H387" s="25" t="str"/>
      <x:c r="I387" s="24" t="str"/>
      <x:c r="J387" s="25" t="str"/>
      <x:c r="K387" s="25" t="str">
        <x:v>EXPANSION_ORDER=2;ORIGINAL_ROW_METADATA_NOT_EXPOSED</x:v>
      </x:c>
      <x:c r="L387" s="24" t="str">
        <x:v>NOT_EXPOSED</x:v>
      </x:c>
      <x:c r="M387" s="25" t="str">
        <x:v>EXPANSION_ORDER_02</x:v>
      </x:c>
      <x:c r="N387" s="25" t="str">
        <x:v>RECONSTRUCTED_FROM_REPORT</x:v>
      </x:c>
      <x:c r="O387" s="25" t="str">
        <x:v>UNRESOLVED</x:v>
      </x:c>
      <x:c r="P387" s="24" t="str">
        <x:v>Fear of Temperature_ Stratified Lexical Expansion, Voice Mapping, and Semantic-Relational Pre-Valida.pdf</x:v>
      </x:c>
      <x:c r="Q387" s="25" t="str">
        <x:v>RECONSTRUCTED_FROM_REPORT</x:v>
      </x:c>
      <x:c r="R387" s="27" t="str">
        <x:v>New surrogate project ID assigned from the report's narrative Expansion list; original structured row identity and per-row voice/source metadata were unavailable.</x:v>
      </x:c>
    </x:row>
    <x:row r="388" ht="19" customHeight="1">
      <x:c r="A388" s="23" t="str">
        <x:v>FT-SEED-R1B-X-2015-03</x:v>
      </x:c>
      <x:c r="B388" s="25" t="str">
        <x:v>EXPANSION_36</x:v>
      </x:c>
      <x:c r="C388" s="24" t="str"/>
      <x:c r="D388" s="25" t="str">
        <x:v>12</x:v>
      </x:c>
      <x:c r="E388" s="24" t="str">
        <x:v>FT-A2015</x:v>
      </x:c>
      <x:c r="F388" s="24" t="str">
        <x:v>red line</x:v>
      </x:c>
      <x:c r="G388" s="25" t="str">
        <x:v>D</x:v>
      </x:c>
      <x:c r="H388" s="25" t="str"/>
      <x:c r="I388" s="24" t="str"/>
      <x:c r="J388" s="25" t="str"/>
      <x:c r="K388" s="25" t="str">
        <x:v>EXPANSION_ORDER=3;ORIGINAL_ROW_METADATA_NOT_EXPOSED</x:v>
      </x:c>
      <x:c r="L388" s="24" t="str">
        <x:v>NOT_EXPOSED</x:v>
      </x:c>
      <x:c r="M388" s="25" t="str">
        <x:v>EXPANSION_ORDER_03</x:v>
      </x:c>
      <x:c r="N388" s="25" t="str">
        <x:v>RECONSTRUCTED_FROM_REPORT</x:v>
      </x:c>
      <x:c r="O388" s="25" t="str">
        <x:v>UNRESOLVED</x:v>
      </x:c>
      <x:c r="P388" s="24" t="str">
        <x:v>Fear of Temperature_ Stratified Lexical Expansion, Voice Mapping, and Semantic-Relational Pre-Valida.pdf</x:v>
      </x:c>
      <x:c r="Q388" s="25" t="str">
        <x:v>RECONSTRUCTED_FROM_REPORT</x:v>
      </x:c>
      <x:c r="R388" s="27" t="str">
        <x:v>New surrogate project ID assigned from the report's narrative Expansion list; original structured row identity and per-row voice/source metadata were unavailable.</x:v>
      </x:c>
    </x:row>
    <x:row r="389" ht="19" customHeight="1">
      <x:c r="A389" s="23" t="str">
        <x:v>FT-SEED-R1B-X-2015-04</x:v>
      </x:c>
      <x:c r="B389" s="25" t="str">
        <x:v>EXPANSION_36</x:v>
      </x:c>
      <x:c r="C389" s="24" t="str"/>
      <x:c r="D389" s="25" t="str">
        <x:v>12</x:v>
      </x:c>
      <x:c r="E389" s="24" t="str">
        <x:v>FT-A2015</x:v>
      </x:c>
      <x:c r="F389" s="24" t="str">
        <x:v>at risk from climate change</x:v>
      </x:c>
      <x:c r="G389" s="25" t="str">
        <x:v>D</x:v>
      </x:c>
      <x:c r="H389" s="25" t="str"/>
      <x:c r="I389" s="24" t="str"/>
      <x:c r="J389" s="25" t="str"/>
      <x:c r="K389" s="25" t="str">
        <x:v>EXPANSION_ORDER=4;ORIGINAL_ROW_METADATA_NOT_EXPOSED</x:v>
      </x:c>
      <x:c r="L389" s="24" t="str">
        <x:v>NOT_EXPOSED</x:v>
      </x:c>
      <x:c r="M389" s="25" t="str">
        <x:v>EXPANSION_ORDER_04</x:v>
      </x:c>
      <x:c r="N389" s="25" t="str">
        <x:v>RECONSTRUCTED_FROM_REPORT</x:v>
      </x:c>
      <x:c r="O389" s="25" t="str">
        <x:v>UNRESOLVED</x:v>
      </x:c>
      <x:c r="P389" s="24" t="str">
        <x:v>Fear of Temperature_ Stratified Lexical Expansion, Voice Mapping, and Semantic-Relational Pre-Valida.pdf</x:v>
      </x:c>
      <x:c r="Q389" s="25" t="str">
        <x:v>RECONSTRUCTED_FROM_REPORT</x:v>
      </x:c>
      <x:c r="R389" s="27" t="str">
        <x:v>New surrogate project ID assigned from the report's narrative Expansion list; original structured row identity and per-row voice/source metadata were unavailable.</x:v>
      </x:c>
    </x:row>
    <x:row r="390" ht="19" customHeight="1">
      <x:c r="A390" s="23" t="str">
        <x:v>FT-SEED-R1B-X-2015-05</x:v>
      </x:c>
      <x:c r="B390" s="25" t="str">
        <x:v>EXPANSION_36</x:v>
      </x:c>
      <x:c r="C390" s="24" t="str"/>
      <x:c r="D390" s="25" t="str">
        <x:v>12</x:v>
      </x:c>
      <x:c r="E390" s="24" t="str">
        <x:v>FT-A2015</x:v>
      </x:c>
      <x:c r="F390" s="24" t="str">
        <x:v>for the planet</x:v>
      </x:c>
      <x:c r="G390" s="25" t="str">
        <x:v>D</x:v>
      </x:c>
      <x:c r="H390" s="25" t="str"/>
      <x:c r="I390" s="24" t="str"/>
      <x:c r="J390" s="25" t="str"/>
      <x:c r="K390" s="25" t="str">
        <x:v>EXPANSION_ORDER=5;ORIGINAL_ROW_METADATA_NOT_EXPOSED</x:v>
      </x:c>
      <x:c r="L390" s="24" t="str">
        <x:v>NOT_EXPOSED</x:v>
      </x:c>
      <x:c r="M390" s="25" t="str">
        <x:v>EXPANSION_ORDER_05</x:v>
      </x:c>
      <x:c r="N390" s="25" t="str">
        <x:v>RECONSTRUCTED_FROM_REPORT</x:v>
      </x:c>
      <x:c r="O390" s="25" t="str">
        <x:v>UNRESOLVED</x:v>
      </x:c>
      <x:c r="P390" s="24" t="str">
        <x:v>Fear of Temperature_ Stratified Lexical Expansion, Voice Mapping, and Semantic-Relational Pre-Valida.pdf</x:v>
      </x:c>
      <x:c r="Q390" s="25" t="str">
        <x:v>RECONSTRUCTED_FROM_REPORT</x:v>
      </x:c>
      <x:c r="R390" s="27" t="str">
        <x:v>New surrogate project ID assigned from the report's narrative Expansion list; original structured row identity and per-row voice/source metadata were unavailable.</x:v>
      </x:c>
    </x:row>
    <x:row r="391" ht="19" customHeight="1">
      <x:c r="A391" s="23" t="str">
        <x:v>FT-SEED-R1B-X-2015-06</x:v>
      </x:c>
      <x:c r="B391" s="25" t="str">
        <x:v>EXPANSION_36</x:v>
      </x:c>
      <x:c r="C391" s="24" t="str"/>
      <x:c r="D391" s="25" t="str">
        <x:v>12</x:v>
      </x:c>
      <x:c r="E391" s="24" t="str">
        <x:v>FT-A2015</x:v>
      </x:c>
      <x:c r="F391" s="24" t="str">
        <x:v>future generations</x:v>
      </x:c>
      <x:c r="G391" s="25" t="str">
        <x:v>D</x:v>
      </x:c>
      <x:c r="H391" s="25" t="str"/>
      <x:c r="I391" s="24" t="str"/>
      <x:c r="J391" s="25" t="str"/>
      <x:c r="K391" s="25" t="str">
        <x:v>EXPANSION_ORDER=6;ORIGINAL_ROW_METADATA_NOT_EXPOSED</x:v>
      </x:c>
      <x:c r="L391" s="24" t="str">
        <x:v>NOT_EXPOSED</x:v>
      </x:c>
      <x:c r="M391" s="25" t="str">
        <x:v>EXPANSION_ORDER_06</x:v>
      </x:c>
      <x:c r="N391" s="25" t="str">
        <x:v>RECONSTRUCTED_FROM_REPORT</x:v>
      </x:c>
      <x:c r="O391" s="25" t="str">
        <x:v>UNRESOLVED</x:v>
      </x:c>
      <x:c r="P391" s="24" t="str">
        <x:v>Fear of Temperature_ Stratified Lexical Expansion, Voice Mapping, and Semantic-Relational Pre-Valida.pdf</x:v>
      </x:c>
      <x:c r="Q391" s="25" t="str">
        <x:v>RECONSTRUCTED_FROM_REPORT</x:v>
      </x:c>
      <x:c r="R391" s="27" t="str">
        <x:v>New surrogate project ID assigned from the report's narrative Expansion list; original structured row identity and per-row voice/source metadata were unavailable.</x:v>
      </x:c>
    </x:row>
    <x:row r="392" ht="19" customHeight="1">
      <x:c r="A392" s="23" t="str">
        <x:v>FT-SEED-R1B-X-2022-01</x:v>
      </x:c>
      <x:c r="B392" s="25" t="str">
        <x:v>EXPANSION_36</x:v>
      </x:c>
      <x:c r="C392" s="24" t="str"/>
      <x:c r="D392" s="25" t="str">
        <x:v>13</x:v>
      </x:c>
      <x:c r="E392" s="24" t="str">
        <x:v>FT-A2022</x:v>
      </x:c>
      <x:c r="F392" s="24" t="str">
        <x:v>climate worry</x:v>
      </x:c>
      <x:c r="G392" s="25" t="str">
        <x:v>C</x:v>
      </x:c>
      <x:c r="H392" s="25" t="str"/>
      <x:c r="I392" s="24" t="str"/>
      <x:c r="J392" s="25" t="str"/>
      <x:c r="K392" s="25" t="str">
        <x:v>EXPANSION_ORDER=1;ORIGINAL_ROW_METADATA_NOT_EXPOSED</x:v>
      </x:c>
      <x:c r="L392" s="24" t="str">
        <x:v>NOT_EXPOSED</x:v>
      </x:c>
      <x:c r="M392" s="25" t="str">
        <x:v>EXPANSION_ORDER_01</x:v>
      </x:c>
      <x:c r="N392" s="25" t="str">
        <x:v>RECONSTRUCTED_FROM_REPORT</x:v>
      </x:c>
      <x:c r="O392" s="25" t="str">
        <x:v>UNRESOLVED</x:v>
      </x:c>
      <x:c r="P392" s="24" t="str">
        <x:v>Fear of Temperature_ Stratified Lexical Expansion, Voice Mapping, and Semantic-Relational Pre-Valida.pdf</x:v>
      </x:c>
      <x:c r="Q392" s="25" t="str">
        <x:v>RECONSTRUCTED_FROM_REPORT</x:v>
      </x:c>
      <x:c r="R392" s="27" t="str">
        <x:v>New surrogate project ID assigned from the report's narrative Expansion list; original structured row identity and per-row voice/source metadata were unavailable.</x:v>
      </x:c>
    </x:row>
    <x:row r="393" ht="19" customHeight="1">
      <x:c r="A393" s="23" t="str">
        <x:v>FT-SEED-R1B-X-2022-02</x:v>
      </x:c>
      <x:c r="B393" s="25" t="str">
        <x:v>EXPANSION_36</x:v>
      </x:c>
      <x:c r="C393" s="24" t="str"/>
      <x:c r="D393" s="25" t="str">
        <x:v>13</x:v>
      </x:c>
      <x:c r="E393" s="24" t="str">
        <x:v>FT-A2022</x:v>
      </x:c>
      <x:c r="F393" s="24" t="str">
        <x:v>chronic uncertainty</x:v>
      </x:c>
      <x:c r="G393" s="25" t="str">
        <x:v>C</x:v>
      </x:c>
      <x:c r="H393" s="25" t="str"/>
      <x:c r="I393" s="24" t="str"/>
      <x:c r="J393" s="25" t="str"/>
      <x:c r="K393" s="25" t="str">
        <x:v>EXPANSION_ORDER=2;ORIGINAL_ROW_METADATA_NOT_EXPOSED</x:v>
      </x:c>
      <x:c r="L393" s="24" t="str">
        <x:v>NOT_EXPOSED</x:v>
      </x:c>
      <x:c r="M393" s="25" t="str">
        <x:v>EXPANSION_ORDER_02</x:v>
      </x:c>
      <x:c r="N393" s="25" t="str">
        <x:v>RECONSTRUCTED_FROM_REPORT</x:v>
      </x:c>
      <x:c r="O393" s="25" t="str">
        <x:v>UNRESOLVED</x:v>
      </x:c>
      <x:c r="P393" s="24" t="str">
        <x:v>Fear of Temperature_ Stratified Lexical Expansion, Voice Mapping, and Semantic-Relational Pre-Valida.pdf</x:v>
      </x:c>
      <x:c r="Q393" s="25" t="str">
        <x:v>RECONSTRUCTED_FROM_REPORT</x:v>
      </x:c>
      <x:c r="R393" s="27" t="str">
        <x:v>New surrogate project ID assigned from the report's narrative Expansion list; original structured row identity and per-row voice/source metadata were unavailable.</x:v>
      </x:c>
    </x:row>
    <x:row r="394" ht="19" customHeight="1">
      <x:c r="A394" s="23" t="str">
        <x:v>FT-SEED-R1B-X-2022-03</x:v>
      </x:c>
      <x:c r="B394" s="25" t="str">
        <x:v>EXPANSION_36</x:v>
      </x:c>
      <x:c r="C394" s="24" t="str"/>
      <x:c r="D394" s="25" t="str">
        <x:v>13</x:v>
      </x:c>
      <x:c r="E394" s="24" t="str">
        <x:v>FT-A2022</x:v>
      </x:c>
      <x:c r="F394" s="24" t="str">
        <x:v>isolation</x:v>
      </x:c>
      <x:c r="G394" s="25" t="str">
        <x:v>C</x:v>
      </x:c>
      <x:c r="H394" s="25" t="str"/>
      <x:c r="I394" s="24" t="str"/>
      <x:c r="J394" s="25" t="str"/>
      <x:c r="K394" s="25" t="str">
        <x:v>EXPANSION_ORDER=3;ORIGINAL_ROW_METADATA_NOT_EXPOSED</x:v>
      </x:c>
      <x:c r="L394" s="24" t="str">
        <x:v>NOT_EXPOSED</x:v>
      </x:c>
      <x:c r="M394" s="25" t="str">
        <x:v>EXPANSION_ORDER_03</x:v>
      </x:c>
      <x:c r="N394" s="25" t="str">
        <x:v>RECONSTRUCTED_FROM_REPORT</x:v>
      </x:c>
      <x:c r="O394" s="25" t="str">
        <x:v>UNRESOLVED</x:v>
      </x:c>
      <x:c r="P394" s="24" t="str">
        <x:v>Fear of Temperature_ Stratified Lexical Expansion, Voice Mapping, and Semantic-Relational Pre-Valida.pdf</x:v>
      </x:c>
      <x:c r="Q394" s="25" t="str">
        <x:v>RECONSTRUCTED_FROM_REPORT</x:v>
      </x:c>
      <x:c r="R394" s="27" t="str">
        <x:v>New surrogate project ID assigned from the report's narrative Expansion list; original structured row identity and per-row voice/source metadata were unavailable.</x:v>
      </x:c>
    </x:row>
    <x:row r="395" ht="19" customHeight="1">
      <x:c r="A395" s="23" t="str">
        <x:v>FT-SEED-R1B-X-2022-04</x:v>
      </x:c>
      <x:c r="B395" s="25" t="str">
        <x:v>EXPANSION_36</x:v>
      </x:c>
      <x:c r="C395" s="24" t="str"/>
      <x:c r="D395" s="25" t="str">
        <x:v>13</x:v>
      </x:c>
      <x:c r="E395" s="24" t="str">
        <x:v>FT-A2022</x:v>
      </x:c>
      <x:c r="F395" s="24" t="str">
        <x:v>climate emergency</x:v>
      </x:c>
      <x:c r="G395" s="25" t="str">
        <x:v>D</x:v>
      </x:c>
      <x:c r="H395" s="25" t="str"/>
      <x:c r="I395" s="24" t="str"/>
      <x:c r="J395" s="25" t="str"/>
      <x:c r="K395" s="25" t="str">
        <x:v>EXPANSION_ORDER=4;ORIGINAL_ROW_METADATA_NOT_EXPOSED</x:v>
      </x:c>
      <x:c r="L395" s="24" t="str">
        <x:v>NOT_EXPOSED</x:v>
      </x:c>
      <x:c r="M395" s="25" t="str">
        <x:v>EXPANSION_ORDER_04</x:v>
      </x:c>
      <x:c r="N395" s="25" t="str">
        <x:v>RECONSTRUCTED_FROM_REPORT</x:v>
      </x:c>
      <x:c r="O395" s="25" t="str">
        <x:v>UNRESOLVED</x:v>
      </x:c>
      <x:c r="P395" s="24" t="str">
        <x:v>Fear of Temperature_ Stratified Lexical Expansion, Voice Mapping, and Semantic-Relational Pre-Valida.pdf</x:v>
      </x:c>
      <x:c r="Q395" s="25" t="str">
        <x:v>RECONSTRUCTED_FROM_REPORT</x:v>
      </x:c>
      <x:c r="R395" s="27" t="str">
        <x:v>New surrogate project ID assigned from the report's narrative Expansion list; original structured row identity and per-row voice/source metadata were unavailable.</x:v>
      </x:c>
    </x:row>
    <x:row r="396" ht="19" customHeight="1">
      <x:c r="A396" s="23" t="str">
        <x:v>FT-SEED-R1B-X-2022-05</x:v>
      </x:c>
      <x:c r="B396" s="25" t="str">
        <x:v>EXPANSION_36</x:v>
      </x:c>
      <x:c r="C396" s="24" t="str"/>
      <x:c r="D396" s="25" t="str">
        <x:v>13</x:v>
      </x:c>
      <x:c r="E396" s="24" t="str">
        <x:v>FT-A2022</x:v>
      </x:c>
      <x:c r="F396" s="24" t="str">
        <x:v>chronic fear of environmental doom</x:v>
      </x:c>
      <x:c r="G396" s="25" t="str">
        <x:v>C</x:v>
      </x:c>
      <x:c r="H396" s="25" t="str"/>
      <x:c r="I396" s="24" t="str"/>
      <x:c r="J396" s="25" t="str"/>
      <x:c r="K396" s="25" t="str">
        <x:v>EXPANSION_ORDER=5;ORIGINAL_ROW_METADATA_NOT_EXPOSED</x:v>
      </x:c>
      <x:c r="L396" s="24" t="str">
        <x:v>NOT_EXPOSED</x:v>
      </x:c>
      <x:c r="M396" s="25" t="str">
        <x:v>EXPANSION_ORDER_05</x:v>
      </x:c>
      <x:c r="N396" s="25" t="str">
        <x:v>RECONSTRUCTED_FROM_REPORT</x:v>
      </x:c>
      <x:c r="O396" s="25" t="str">
        <x:v>UNRESOLVED</x:v>
      </x:c>
      <x:c r="P396" s="24" t="str">
        <x:v>Fear of Temperature_ Stratified Lexical Expansion, Voice Mapping, and Semantic-Relational Pre-Valida.pdf</x:v>
      </x:c>
      <x:c r="Q396" s="25" t="str">
        <x:v>RECONSTRUCTED_FROM_REPORT</x:v>
      </x:c>
      <x:c r="R396" s="27" t="str">
        <x:v>New surrogate project ID assigned from the report's narrative Expansion list; original structured row identity and per-row voice/source metadata were unavailable.</x:v>
      </x:c>
    </x:row>
    <x:row r="397" ht="19" customHeight="1">
      <x:c r="A397" s="28" t="str">
        <x:v>FT-SEED-R1B-X-2022-06</x:v>
      </x:c>
      <x:c r="B397" s="30" t="str">
        <x:v>EXPANSION_36</x:v>
      </x:c>
      <x:c r="C397" s="29" t="str"/>
      <x:c r="D397" s="30" t="str">
        <x:v>13</x:v>
      </x:c>
      <x:c r="E397" s="29" t="str">
        <x:v>FT-A2022</x:v>
      </x:c>
      <x:c r="F397" s="29" t="str">
        <x:v>fear of a degraded Earth</x:v>
      </x:c>
      <x:c r="G397" s="30" t="str">
        <x:v>C</x:v>
      </x:c>
      <x:c r="H397" s="30" t="str"/>
      <x:c r="I397" s="29" t="str"/>
      <x:c r="J397" s="30" t="str"/>
      <x:c r="K397" s="30" t="str">
        <x:v>EXPANSION_ORDER=6;ORIGINAL_ROW_METADATA_NOT_EXPOSED</x:v>
      </x:c>
      <x:c r="L397" s="29" t="str">
        <x:v>NOT_EXPOSED</x:v>
      </x:c>
      <x:c r="M397" s="30" t="str">
        <x:v>EXPANSION_ORDER_06</x:v>
      </x:c>
      <x:c r="N397" s="30" t="str">
        <x:v>RECONSTRUCTED_FROM_REPORT</x:v>
      </x:c>
      <x:c r="O397" s="30" t="str">
        <x:v>UNRESOLVED</x:v>
      </x:c>
      <x:c r="P397" s="29" t="str">
        <x:v>Fear of Temperature_ Stratified Lexical Expansion, Voice Mapping, and Semantic-Relational Pre-Valida.pdf</x:v>
      </x:c>
      <x:c r="Q397" s="30" t="str">
        <x:v>RECONSTRUCTED_FROM_REPORT</x:v>
      </x:c>
      <x:c r="R397" s="32" t="str">
        <x:v>New surrogate project ID assigned from the report's narrative Expansion list; original structured row identity and per-row voice/source metadata were unavailable.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214" t="str">
        <x:v>Fear of Temperature — Quantitative Baseline v0.1</x:v>
      </x:c>
      <x:c r="B1" s="214" t="str">
        <x:v>Fear of Temperature — Quantitative Baseline v0.1</x:v>
      </x:c>
      <x:c r="C1" s="214" t="str">
        <x:v>Fear of Temperature — Quantitative Baseline v0.1</x:v>
      </x:c>
      <x:c r="D1" s="214" t="str">
        <x:v>Fear of Temperature — Quantitative Baseline v0.1</x:v>
      </x:c>
      <x:c r="E1" s="214" t="str">
        <x:v>Fear of Temperature — Quantitative Baseline v0.1</x:v>
      </x:c>
      <x:c r="F1" s="214" t="str">
        <x:v>Fear of Temperature — Quantitative Baseline v0.1</x:v>
      </x:c>
      <x:c r="G1" s="214" t="str">
        <x:v>Fear of Temperature — Quantitative Baseline v0.1</x:v>
      </x:c>
      <x:c r="H1" s="214" t="str">
        <x:v>Fear of Temperature — Quantitative Baseline v0.1</x:v>
      </x:c>
    </x:row>
    <x:row r="2">
      <x:c r="A2" s="215" t="str">
        <x:v>Provisional, provenance-labelled research baseline · Google Books Ngram current English corpus · 1842–2022</x:v>
      </x:c>
      <x:c r="B2" s="215" t="str">
        <x:v>Provisional, provenance-labelled research baseline · Google Books Ngram current English corpus · 1842–2022</x:v>
      </x:c>
      <x:c r="C2" s="215" t="str">
        <x:v>Provisional, provenance-labelled research baseline · Google Books Ngram current English corpus · 1842–2022</x:v>
      </x:c>
      <x:c r="D2" s="215" t="str">
        <x:v>Provisional, provenance-labelled research baseline · Google Books Ngram current English corpus · 1842–2022</x:v>
      </x:c>
      <x:c r="E2" s="215" t="str">
        <x:v>Provisional, provenance-labelled research baseline · Google Books Ngram current English corpus · 1842–2022</x:v>
      </x:c>
      <x:c r="F2" s="215" t="str">
        <x:v>Provisional, provenance-labelled research baseline · Google Books Ngram current English corpus · 1842–2022</x:v>
      </x:c>
      <x:c r="G2" s="215" t="str">
        <x:v>Provisional, provenance-labelled research baseline · Google Books Ngram current English corpus · 1842–2022</x:v>
      </x:c>
      <x:c r="H2" s="215" t="str">
        <x:v>Provisional, provenance-labelled research baseline · Google Books Ngram current English corpus · 1842–2022</x:v>
      </x:c>
    </x:row>
    <x:row r="3">
      <x:c r="A3" s="216"/>
      <x:c r="B3" s="216"/>
      <x:c r="C3" s="216"/>
      <x:c r="D3" s="216"/>
      <x:c r="E3" s="216"/>
      <x:c r="F3" s="216"/>
      <x:c r="G3" s="216"/>
      <x:c r="H3" s="216"/>
    </x:row>
    <x:row r="4">
      <x:c r="A4" s="217" t="str">
        <x:v>Research status</x:v>
      </x:c>
      <x:c r="B4" s="217" t="str">
        <x:v>Value</x:v>
      </x:c>
      <x:c r="C4" s="216"/>
      <x:c r="D4" s="218" t="str">
        <x:v>Three supported quantitative observations</x:v>
      </x:c>
      <x:c r="E4" s="218" t="str">
        <x:v>Three supported quantitative observations</x:v>
      </x:c>
      <x:c r="F4" s="218" t="str">
        <x:v>Three supported quantitative observations</x:v>
      </x:c>
      <x:c r="G4" s="218" t="str">
        <x:v>Three supported quantitative observations</x:v>
      </x:c>
      <x:c r="H4" s="218" t="str">
        <x:v>Three supported quantitative observations</x:v>
      </x:c>
    </x:row>
    <x:row r="5">
      <x:c r="A5" s="219" t="str">
        <x:v>Research version</x:v>
      </x:c>
      <x:c r="B5" s="220" t="str">
        <x:v>fear-temperature-quant-v0.1-provisional</x:v>
      </x:c>
      <x:c r="C5" s="216"/>
      <x:c r="D5" s="184" t="str">
        <x:v>1. ‘climate change’ rises from 1.24 occurrences per million in 1988 to 28.90 per million in 2022; this is lexical frequency, not evidence of public fear.</x:v>
      </x:c>
      <x:c r="E5" s="184" t="str">
        <x:v>1. ‘climate change’ rises from 1.24 occurrences per million in 1988 to 28.90 per million in 2022; this is lexical frequency, not evidence of public fear.</x:v>
      </x:c>
      <x:c r="F5" s="184" t="str">
        <x:v>1. ‘climate change’ rises from 1.24 occurrences per million in 1988 to 28.90 per million in 2022; this is lexical frequency, not evidence of public fear.</x:v>
      </x:c>
      <x:c r="G5" s="184" t="str">
        <x:v>1. ‘climate change’ rises from 1.24 occurrences per million in 1988 to 28.90 per million in 2022; this is lexical frequency, not evidence of public fear.</x:v>
      </x:c>
      <x:c r="H5" s="184" t="str">
        <x:v>1. ‘climate change’ rises from 1.24 occurrences per million in 1988 to 28.90 per million in 2022; this is lexical frequency, not evidence of public fear.</x:v>
      </x:c>
    </x:row>
    <x:row r="6">
      <x:c r="A6" s="219" t="str">
        <x:v>Query rules</x:v>
      </x:c>
      <x:c r="B6" s="220" t="n">
        <x:f>COUNTA('Query Audit'!A2:A144)</x:f>
        <x:v>143</x:v>
      </x:c>
      <x:c r="C6" s="216"/>
      <x:c r="D6" s="184" t="str">
        <x:v>1. ‘climate change’ rises from 1.24 occurrences per million in 1988 to 28.90 per million in 2022; this is lexical frequency, not evidence of public fear.</x:v>
      </x:c>
      <x:c r="E6" s="184" t="str">
        <x:v>1. ‘climate change’ rises from 1.24 occurrences per million in 1988 to 28.90 per million in 2022; this is lexical frequency, not evidence of public fear.</x:v>
      </x:c>
      <x:c r="F6" s="184" t="str">
        <x:v>1. ‘climate change’ rises from 1.24 occurrences per million in 1988 to 28.90 per million in 2022; this is lexical frequency, not evidence of public fear.</x:v>
      </x:c>
      <x:c r="G6" s="184" t="str">
        <x:v>1. ‘climate change’ rises from 1.24 occurrences per million in 1988 to 28.90 per million in 2022; this is lexical frequency, not evidence of public fear.</x:v>
      </x:c>
      <x:c r="H6" s="184" t="str">
        <x:v>1. ‘climate change’ rises from 1.24 occurrences per million in 1988 to 28.90 per million in 2022; this is lexical frequency, not evidence of public fear.</x:v>
      </x:c>
    </x:row>
    <x:row r="7">
      <x:c r="A7" s="219" t="str">
        <x:v>Ngram-executable</x:v>
      </x:c>
      <x:c r="B7" s="220" t="n">
        <x:f>COUNTIF('Query Audit'!F2:F144,"True")</x:f>
        <x:v>138</x:v>
      </x:c>
      <x:c r="C7" s="216"/>
      <x:c r="D7" s="184" t="str">
        <x:v>2. ‘global warming’ peaks in 2009 (5.45 per million), while ‘climate change’ reaches its interval maximum in 2022.</x:v>
      </x:c>
      <x:c r="E7" s="184" t="str">
        <x:v>2. ‘global warming’ peaks in 2009 (5.45 per million), while ‘climate change’ reaches its interval maximum in 2022.</x:v>
      </x:c>
      <x:c r="F7" s="184" t="str">
        <x:v>2. ‘global warming’ peaks in 2009 (5.45 per million), while ‘climate change’ reaches its interval maximum in 2022.</x:v>
      </x:c>
      <x:c r="G7" s="184" t="str">
        <x:v>2. ‘global warming’ peaks in 2009 (5.45 per million), while ‘climate change’ reaches its interval maximum in 2022.</x:v>
      </x:c>
      <x:c r="H7" s="184" t="str">
        <x:v>2. ‘global warming’ peaks in 2009 (5.45 per million), while ‘climate change’ reaches its interval maximum in 2022.</x:v>
      </x:c>
    </x:row>
    <x:row r="8">
      <x:c r="A8" s="219" t="str">
        <x:v>Successful non-zero series</x:v>
      </x:c>
      <x:c r="B8" s="220" t="n">
        <x:f>COUNTIF('Ngram Status'!C2:C144,"SUCCEEDED")</x:f>
        <x:v>132</x:v>
      </x:c>
      <x:c r="C8" s="216"/>
      <x:c r="D8" s="184" t="str">
        <x:v>2. ‘global warming’ peaks in 2009 (5.45 per million), while ‘climate change’ reaches its interval maximum in 2022.</x:v>
      </x:c>
      <x:c r="E8" s="184" t="str">
        <x:v>2. ‘global warming’ peaks in 2009 (5.45 per million), while ‘climate change’ reaches its interval maximum in 2022.</x:v>
      </x:c>
      <x:c r="F8" s="184" t="str">
        <x:v>2. ‘global warming’ peaks in 2009 (5.45 per million), while ‘climate change’ reaches its interval maximum in 2022.</x:v>
      </x:c>
      <x:c r="G8" s="184" t="str">
        <x:v>2. ‘global warming’ peaks in 2009 (5.45 per million), while ‘climate change’ reaches its interval maximum in 2022.</x:v>
      </x:c>
      <x:c r="H8" s="184" t="str">
        <x:v>2. ‘global warming’ peaks in 2009 (5.45 per million), while ‘climate change’ reaches its interval maximum in 2022.</x:v>
      </x:c>
    </x:row>
    <x:row r="9">
      <x:c r="A9" s="219" t="str">
        <x:v>Zero-result series</x:v>
      </x:c>
      <x:c r="B9" s="220" t="n">
        <x:f>COUNTIF('Ngram Status'!C2:C144,"ZERO_RESULT")</x:f>
        <x:v>6</x:v>
      </x:c>
      <x:c r="C9" s="216"/>
      <x:c r="D9" s="184" t="str">
        <x:v>3. Modern compounds peak in 2022: climate crisis 0.939, climate emergency 0.263, eco-anxiety 0.0550, and climate anxiety 0.0358 occurrences per million.</x:v>
      </x:c>
      <x:c r="E9" s="184" t="str">
        <x:v>3. Modern compounds peak in 2022: climate crisis 0.939, climate emergency 0.263, eco-anxiety 0.0550, and climate anxiety 0.0358 occurrences per million.</x:v>
      </x:c>
      <x:c r="F9" s="184" t="str">
        <x:v>3. Modern compounds peak in 2022: climate crisis 0.939, climate emergency 0.263, eco-anxiety 0.0550, and climate anxiety 0.0358 occurrences per million.</x:v>
      </x:c>
      <x:c r="G9" s="184" t="str">
        <x:v>3. Modern compounds peak in 2022: climate crisis 0.939, climate emergency 0.263, eco-anxiety 0.0550, and climate anxiety 0.0358 occurrences per million.</x:v>
      </x:c>
      <x:c r="H9" s="184" t="str">
        <x:v>3. Modern compounds peak in 2022: climate crisis 0.939, climate emergency 0.263, eco-anxiety 0.0550, and climate anxiety 0.0358 occurrences per million.</x:v>
      </x:c>
    </x:row>
    <x:row r="10">
      <x:c r="A10" s="219" t="str">
        <x:v>Failed requests</x:v>
      </x:c>
      <x:c r="B10" s="220" t="n">
        <x:f>COUNTIF('Ngram Status'!C2:C144,"FAILED")</x:f>
        <x:v>0</x:v>
      </x:c>
      <x:c r="C10" s="216"/>
      <x:c r="D10" s="184" t="str">
        <x:v>3. Modern compounds peak in 2022: climate crisis 0.939, climate emergency 0.263, eco-anxiety 0.0550, and climate anxiety 0.0358 occurrences per million.</x:v>
      </x:c>
      <x:c r="E10" s="184" t="str">
        <x:v>3. Modern compounds peak in 2022: climate crisis 0.939, climate emergency 0.263, eco-anxiety 0.0550, and climate anxiety 0.0358 occurrences per million.</x:v>
      </x:c>
      <x:c r="F10" s="184" t="str">
        <x:v>3. Modern compounds peak in 2022: climate crisis 0.939, climate emergency 0.263, eco-anxiety 0.0550, and climate anxiety 0.0358 occurrences per million.</x:v>
      </x:c>
      <x:c r="G10" s="184" t="str">
        <x:v>3. Modern compounds peak in 2022: climate crisis 0.939, climate emergency 0.263, eco-anxiety 0.0550, and climate anxiety 0.0358 occurrences per million.</x:v>
      </x:c>
      <x:c r="H10" s="184" t="str">
        <x:v>3. Modern compounds peak in 2022: climate crisis 0.939, climate emergency 0.263, eco-anxiety 0.0550, and climate anxiety 0.0358 occurrences per million.</x:v>
      </x:c>
    </x:row>
    <x:row r="11">
      <x:c r="A11" s="219" t="str">
        <x:v>Not run — incompatible</x:v>
      </x:c>
      <x:c r="B11" s="220" t="n">
        <x:f>COUNTIF('Ngram Status'!C2:C144,"NOT_RUN_INCOMPATIBLE")</x:f>
        <x:v>5</x:v>
      </x:c>
      <x:c r="C11" s="216"/>
      <x:c r="D11" s="216"/>
      <x:c r="E11" s="216"/>
      <x:c r="F11" s="216"/>
      <x:c r="G11" s="216"/>
      <x:c r="H11" s="216"/>
    </x:row>
    <x:row r="12">
      <x:c r="A12" s="219" t="str">
        <x:v>Annual observations</x:v>
      </x:c>
      <x:c r="B12" s="220" t="n">
        <x:f>SUM('Ngram Status'!E2:E144)</x:f>
        <x:v>0</x:v>
      </x:c>
      <x:c r="C12" s="216"/>
      <x:c r="D12" s="216"/>
      <x:c r="E12" s="216"/>
      <x:c r="F12" s="216"/>
      <x:c r="G12" s="216"/>
      <x:c r="H12" s="216"/>
    </x:row>
    <x:row r="13">
      <x:c r="A13" s="219" t="str">
        <x:v>Year start</x:v>
      </x:c>
      <x:c r="B13" s="220" t="n">
        <x:f>MIN('Master Frequency'!J2:J144)</x:f>
        <x:v>1842</x:v>
      </x:c>
      <x:c r="C13" s="216"/>
      <x:c r="D13" s="216"/>
      <x:c r="E13" s="216"/>
      <x:c r="F13" s="216"/>
      <x:c r="G13" s="216"/>
      <x:c r="H13" s="216"/>
    </x:row>
    <x:row r="14">
      <x:c r="A14" s="219" t="str">
        <x:v>Year end</x:v>
      </x:c>
      <x:c r="B14" s="220" t="n">
        <x:f>MAX('Master Frequency'!K2:K144)</x:f>
        <x:v>2022</x:v>
      </x:c>
      <x:c r="C14" s="216"/>
      <x:c r="D14" s="216"/>
      <x:c r="E14" s="216"/>
      <x:c r="F14" s="216"/>
      <x:c r="G14" s="216"/>
      <x:c r="H14" s="216"/>
    </x:row>
    <x:row r="15">
      <x:c r="A15" s="219" t="str">
        <x:v>Seed ledger records</x:v>
      </x:c>
      <x:c r="B15" s="220" t="n">
        <x:f>COUNTA('Seed Ledger'!A2:A397)</x:f>
        <x:v>396</x:v>
      </x:c>
      <x:c r="C15" s="216"/>
      <x:c r="D15" s="216"/>
      <x:c r="E15" s="216"/>
      <x:c r="F15" s="216"/>
      <x:c r="G15" s="216"/>
      <x:c r="H15" s="216"/>
    </x:row>
    <x:row r="16">
      <x:c r="A16" s="219" t="str">
        <x:v>Lexical families</x:v>
      </x:c>
      <x:c r="B16" s="220" t="n">
        <x:f>COUNTA('Family Summary'!A2:A15)</x:f>
        <x:v>14</x:v>
      </x:c>
      <x:c r="C16" s="216"/>
      <x:c r="D16" s="216"/>
      <x:c r="E16" s="216"/>
      <x:c r="F16" s="216"/>
      <x:c r="G16" s="216"/>
      <x:c r="H16" s="216"/>
    </x:row>
    <x:row r="17">
      <x:c r="A17" s="219" t="str">
        <x:v>Voice × anchor cells</x:v>
      </x:c>
      <x:c r="B17" s="220" t="n">
        <x:f>COUNTA('Voice Matrix'!A2:A31)</x:f>
        <x:v>30</x:v>
      </x:c>
      <x:c r="C17" s="216"/>
      <x:c r="D17" s="216"/>
      <x:c r="E17" s="216"/>
      <x:c r="F17" s="216"/>
      <x:c r="G17" s="216"/>
      <x:c r="H17" s="216"/>
    </x:row>
    <x:row r="18">
      <x:c r="A18" s="216"/>
      <x:c r="B18" s="216"/>
      <x:c r="C18" s="216"/>
      <x:c r="D18" s="216"/>
      <x:c r="E18" s="216"/>
      <x:c r="F18" s="216"/>
      <x:c r="G18" s="216"/>
      <x:c r="H18" s="216"/>
    </x:row>
    <x:row r="19">
      <x:c r="A19" s="221" t="str">
        <x:v>Methodological safeguards</x:v>
      </x:c>
      <x:c r="B19" s="221" t="str">
        <x:v>Methodological safeguards</x:v>
      </x:c>
      <x:c r="C19" s="221" t="str">
        <x:v>Methodological safeguards</x:v>
      </x:c>
      <x:c r="D19" s="221" t="str">
        <x:v>Methodological safeguards</x:v>
      </x:c>
      <x:c r="E19" s="221" t="str">
        <x:v>Methodological safeguards</x:v>
      </x:c>
      <x:c r="F19" s="221" t="str">
        <x:v>Methodological safeguards</x:v>
      </x:c>
      <x:c r="G19" s="221" t="str">
        <x:v>Methodological safeguards</x:v>
      </x:c>
      <x:c r="H19" s="221" t="str">
        <x:v>Methodological safeguards</x:v>
      </x:c>
    </x:row>
    <x:row r="20">
      <x:c r="A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B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C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D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E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F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G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H20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</x:row>
    <x:row r="21">
      <x:c r="A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B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C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D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E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F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G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H21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</x:row>
    <x:row r="22">
      <x:c r="A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B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C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D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E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F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G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  <x:c r="H22" s="186" t="str">
        <x:v>Generic string frequency ≠ climate-specific meaning. Threat/risk ≠ emotion. Survey wording, media imperatives, researcher constructs, and participant-generated affect remain distinct. Corpus-observed first presence is not historical coinage. Family members are never summed into a composite index.</x:v>
      </x:c>
    </x:row>
    <x:row r="23">
      <x:c r="A23" s="216"/>
      <x:c r="B23" s="216"/>
      <x:c r="C23" s="216"/>
      <x:c r="D23" s="216"/>
      <x:c r="E23" s="216"/>
      <x:c r="F23" s="216"/>
      <x:c r="G23" s="216"/>
      <x:c r="H23" s="216"/>
    </x:row>
    <x:row r="24">
      <x:c r="A24" s="222" t="str">
        <x:v>Modern compound</x:v>
      </x:c>
      <x:c r="B24" s="222" t="str">
        <x:v>2022 per million</x:v>
      </x:c>
      <x:c r="C24" s="216"/>
      <x:c r="D24" s="216"/>
      <x:c r="E24" s="216"/>
      <x:c r="F24" s="216"/>
      <x:c r="G24" s="216"/>
      <x:c r="H24" s="216"/>
    </x:row>
    <x:row r="25">
      <x:c r="A25" s="220" t="str">
        <x:v>climate crisis</x:v>
      </x:c>
      <x:c r="B25" s="223" t="n">
        <x:f>'Anchor Matrix'!L124*1000000</x:f>
        <x:v>0.938814122442011</x:v>
      </x:c>
      <x:c r="C25" s="216"/>
      <x:c r="D25" s="216"/>
      <x:c r="E25" s="216"/>
      <x:c r="F25" s="216"/>
      <x:c r="G25" s="216"/>
      <x:c r="H25" s="216"/>
    </x:row>
    <x:row r="26">
      <x:c r="A26" s="220" t="str">
        <x:v>climate emergency</x:v>
      </x:c>
      <x:c r="B26" s="223" t="n">
        <x:f>'Anchor Matrix'!L125*1000000</x:f>
        <x:v>0.2626078123846298</x:v>
      </x:c>
      <x:c r="C26" s="216"/>
      <x:c r="D26" s="216"/>
      <x:c r="E26" s="216"/>
      <x:c r="F26" s="216"/>
      <x:c r="G26" s="216"/>
      <x:c r="H26" s="216"/>
    </x:row>
    <x:row r="27">
      <x:c r="A27" s="220" t="str">
        <x:v>climate anxiety</x:v>
      </x:c>
      <x:c r="B27" s="223" t="n">
        <x:f>'Anchor Matrix'!L117*1000000</x:f>
        <x:v>0.03579004737019886</x:v>
      </x:c>
      <x:c r="C27" s="216"/>
      <x:c r="D27" s="216"/>
      <x:c r="E27" s="216"/>
      <x:c r="F27" s="216"/>
      <x:c r="G27" s="216"/>
      <x:c r="H27" s="216"/>
    </x:row>
    <x:row r="28">
      <x:c r="A28" s="220" t="str">
        <x:v>eco-anxiety</x:v>
      </x:c>
      <x:c r="B28" s="223" t="n">
        <x:f>'Anchor Matrix'!L118*1000000</x:f>
        <x:v>0.05496096178170262</x:v>
      </x:c>
      <x:c r="C28" s="216"/>
      <x:c r="D28" s="216"/>
      <x:c r="E28" s="216"/>
      <x:c r="F28" s="216"/>
      <x:c r="G28" s="216"/>
      <x:c r="H28" s="216"/>
    </x:row>
    <x:row r="29">
      <x:c r="A29" s="216"/>
      <x:c r="B29" s="216"/>
      <x:c r="C29" s="216"/>
      <x:c r="D29" s="216"/>
      <x:c r="E29" s="216"/>
      <x:c r="F29" s="216"/>
      <x:c r="G29" s="216"/>
      <x:c r="H29" s="216"/>
    </x:row>
    <x:row r="30">
      <x:c r="A30" s="224" t="str">
        <x:v>Next step</x:v>
      </x:c>
      <x:c r="B30" s="224" t="str">
        <x:v>200-passage semantic retrieval pilot</x:v>
      </x:c>
      <x:c r="C30" s="216"/>
      <x:c r="D30" s="216"/>
      <x:c r="E30" s="216"/>
      <x:c r="F30" s="216"/>
      <x:c r="G30" s="216"/>
      <x:c r="H30" s="216"/>
    </x:row>
    <x:row r="31">
      <x:c r="A31" s="216"/>
      <x:c r="B31" s="216"/>
      <x:c r="C31" s="216"/>
      <x:c r="D31" s="216"/>
      <x:c r="E31" s="216"/>
      <x:c r="F31" s="216"/>
      <x:c r="G31" s="216"/>
      <x:c r="H31" s="216"/>
    </x:row>
    <x:row r="32" ht="28" customHeight="1">
      <x:c r="A32" s="190" t="str">
        <x:v>Provisional: later-stage structured artifacts were unavailable. Reconstructed records use new project IDs; this is not a final research freeze.</x:v>
      </x:c>
      <x:c r="B32" s="191" t="str">
        <x:v>Provisional: later-stage structured artifacts were unavailable. Reconstructed records use new project IDs; this is not a final research freeze.</x:v>
      </x:c>
      <x:c r="C32" s="216"/>
      <x:c r="D32" s="216"/>
      <x:c r="E32" s="216"/>
      <x:c r="F32" s="216"/>
      <x:c r="G32" s="216"/>
      <x:c r="H32" s="216"/>
    </x:row>
    <x:row r="33" ht="28" customHeight="1">
      <x:c r="A33" s="192" t="str">
        <x:v>Provisional: later-stage structured artifacts were unavailable. Reconstructed records use new project IDs; this is not a final research freeze.</x:v>
      </x:c>
      <x:c r="B33" s="193" t="str">
        <x:v>Provisional: later-stage structured artifacts were unavailable. Reconstructed records use new project IDs; this is not a final research freeze.</x:v>
      </x:c>
      <x:c r="C33" s="216"/>
      <x:c r="D33" s="216"/>
      <x:c r="E33" s="216"/>
      <x:c r="F33" s="216"/>
      <x:c r="G33" s="216"/>
      <x:c r="H33" s="216"/>
    </x:row>
    <x:row r="34" ht="28" customHeight="1">
      <x:c r="A34" s="192" t="str">
        <x:v>Provisional: later-stage structured artifacts were unavailable. Reconstructed records use new project IDs; this is not a final research freeze.</x:v>
      </x:c>
      <x:c r="B34" s="193" t="str">
        <x:v>Provisional: later-stage structured artifacts were unavailable. Reconstructed records use new project IDs; this is not a final research freeze.</x:v>
      </x:c>
      <x:c r="C34" s="216"/>
      <x:c r="D34" s="216"/>
      <x:c r="E34" s="216"/>
      <x:c r="F34" s="216"/>
      <x:c r="G34" s="216"/>
      <x:c r="H34" s="216"/>
    </x:row>
    <x:row r="35" ht="28" customHeight="1">
      <x:c r="A35" s="194" t="str">
        <x:v>Provisional: later-stage structured artifacts were unavailable. Reconstructed records use new project IDs; this is not a final research freeze.</x:v>
      </x:c>
      <x:c r="B35" s="195" t="str">
        <x:v>Provisional: later-stage structured artifacts were unavailable. Reconstructed records use new project IDs; this is not a final research freeze.</x:v>
      </x:c>
      <x:c r="C35" s="216"/>
      <x:c r="D35" s="216"/>
      <x:c r="E35" s="216"/>
      <x:c r="F35" s="216"/>
      <x:c r="G35" s="216"/>
      <x:c r="H35" s="216"/>
    </x:row>
    <x:row r="36">
      <x:c r="A36" s="216"/>
      <x:c r="B36" s="216"/>
      <x:c r="C36" s="216"/>
      <x:c r="D36" s="216"/>
      <x:c r="E36" s="216"/>
      <x:c r="F36" s="216"/>
      <x:c r="G36" s="216"/>
      <x:c r="H36" s="216"/>
    </x:row>
    <x:row r="37">
      <x:c r="A37" s="216"/>
      <x:c r="B37" s="216"/>
      <x:c r="C37" s="216"/>
      <x:c r="D37" s="216"/>
      <x:c r="E37" s="216"/>
      <x:c r="F37" s="216"/>
      <x:c r="G37" s="216"/>
      <x:c r="H37" s="216"/>
    </x:row>
  </x:sheetData>
  <x:mergeCells>
    <x:mergeCell ref="A1:H1"/>
    <x:mergeCell ref="A2:H2"/>
    <x:mergeCell ref="D4:H4"/>
    <x:mergeCell ref="D5:H6"/>
    <x:mergeCell ref="D7:H8"/>
    <x:mergeCell ref="D9:H10"/>
    <x:mergeCell ref="A19:H19"/>
    <x:mergeCell ref="A20:H22"/>
    <x:mergeCell ref="A32:B35"/>
  </x:mergeCells>
  <x:pageMargins left="0.7" right="0.7" top="0.75" bottom="0.75" header="0.3" footer="0.3"/>
  <x:drawing xmlns:r="http://schemas.openxmlformats.org/officeDocument/2006/relationships" r:id="R2bf136714ae04149"/>
</x:worksheet>
</file>